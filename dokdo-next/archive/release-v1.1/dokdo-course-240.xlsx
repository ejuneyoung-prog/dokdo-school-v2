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문항_KO" sheetId="2" state="visible" r:id="rId2"/>
    <sheet xmlns:r="http://schemas.openxmlformats.org/officeDocument/2006/relationships" name="문항_EN" sheetId="3" state="visible" r:id="rId3"/>
    <sheet xmlns:r="http://schemas.openxmlformats.org/officeDocument/2006/relationships" name="연령경로" sheetId="4" state="visible" r:id="rId4"/>
    <sheet xmlns:r="http://schemas.openxmlformats.org/officeDocument/2006/relationships" name="단원" sheetId="5" state="visible" r:id="rId5"/>
    <sheet xmlns:r="http://schemas.openxmlformats.org/officeDocument/2006/relationships" name="출처" sheetId="6" state="visible" r:id="rId6"/>
  </sheets>
  <definedNames>
    <definedName name="_xlnm._FilterDatabase" localSheetId="0" hidden="1">'개요'!$A$1:$B$14</definedName>
    <definedName name="_xlnm._FilterDatabase" localSheetId="1" hidden="1">'문항_KO'!$A$1:$Q$241</definedName>
    <definedName name="_xlnm._FilterDatabase" localSheetId="2" hidden="1">'문항_EN'!$A$1:$Q$241</definedName>
    <definedName name="_xlnm._FilterDatabase" localSheetId="3" hidden="1">'연령경로'!$A$1:$I$7</definedName>
    <definedName name="_xlnm._FilterDatabase" localSheetId="4" hidden="1">'단원'!$A$1:$F$13</definedName>
    <definedName name="_xlnm._FilterDatabase" localSheetId="5" hidden="1">'출처'!$A$1:$E$28</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1"/>
    </font>
    <font>
      <name val="맑은 고딕"/>
      <color rgb="00127059"/>
      <sz val="10"/>
    </font>
    <font>
      <name val="맑은 고딕"/>
      <color rgb="00000000"/>
      <sz val="10"/>
    </font>
    <font>
      <name val="맑은 고딕"/>
      <color rgb="00263944"/>
      <sz val="10"/>
    </font>
    <font>
      <name val="맑은 고딕"/>
      <color rgb="00A55B12"/>
      <sz val="10"/>
    </font>
  </fonts>
  <fills count="4">
    <fill>
      <patternFill/>
    </fill>
    <fill>
      <patternFill patternType="gray125"/>
    </fill>
    <fill>
      <patternFill patternType="solid">
        <fgColor rgb="00123747"/>
      </patternFill>
    </fill>
    <fill>
      <patternFill patternType="solid">
        <fgColor rgb="00F2F6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ns0:worksheet xmlns:ns0="http://schemas.openxmlformats.org/spreadsheetml/2006/main">
  <ns0:sheetPr>
    <ns0:outlinePr summaryBelow="1" summaryRight="1"/>
    <ns0:pageSetUpPr/>
  </ns0:sheetPr>
  <ns0:dimension ref="A1:B14"/>
  <ns0:sheetViews>
    <ns0:sheetView showGridLines="0" workbookViewId="0">
      <ns0:pane ySplit="1" topLeftCell="A2" activePane="bottomLeft" state="frozen"/>
      <ns0:selection pane="bottomLeft"/>
      <ns0:selection pane="bottomLeft"/>
      <ns0:selection pane="bottomRight" activeCell="A1" sqref="A1"/>
    </ns0:sheetView>
  </ns0:sheetViews>
  <ns0:sheetFormatPr baseColWidth="8" defaultRowHeight="15"/>
  <ns0:cols>
    <ns0:col width="35" customWidth="1" min="1" max="1"/>
    <ns0:col width="104" customWidth="1" min="2" max="2"/>
  </ns0:cols>
  <ns0:sheetData>
    <ns0:row r="1" ht="31" customHeight="1">
      <ns0:c r="A1" s="1" t="inlineStr">
        <ns0:is>
          <ns0:t>독도 코리아 스쿨 1.1</ns0:t>
        </ns0:is>
      </ns0:c>
      <ns0:c r="B1" s="1" t="inlineStr">
        <ns0:is>
          <ns0:t>실제 반영 내용</ns0:t>
        </ns0:is>
      </ns0:c>
    </ns0:row>
    <ns0:row r="2" ht="54" customHeight="1">
      <ns0:c r="A2" s="2" t="inlineStr">
        <ns0:is>
          <ns0:t>문항 수</ns0:t>
        </ns0:is>
      </ns0:c>
      <ns0:c r="B2" s="3">
        <ns0:f>COUNTA(문항_KO!A2:A241)</ns0:f>
        <ns0:v>240</ns0:v>
      </ns0:c>
    </ns0:row>
    <ns0:row r="3" ht="54" customHeight="1">
      <ns0:c r="A3" s="4" t="inlineStr">
        <ns0:is>
          <ns0:t>개념 묶음</ns0:t>
        </ns0:is>
      </ns0:c>
      <ns0:c r="B3" s="4" t="n">
        <ns0:v>60</ns0:v>
      </ns0:c>
    </ns0:row>
    <ns0:row r="4" ht="54" customHeight="1">
      <ns0:c r="A4" s="2" t="inlineStr">
        <ns0:is>
          <ns0:t>단원 수</ns0:t>
        </ns0:is>
      </ns0:c>
      <ns0:c r="B4" s="3">
        <ns0:f>COUNTA(단원!A2:A13)</ns0:f>
        <ns0:v>12</ns0:v>
      </ns0:c>
    </ns0:row>
    <ns0:row r="5" ht="54" customHeight="1">
      <ns0:c r="A5" s="4" t="inlineStr">
        <ns0:is>
          <ns0:t>L1 알아보기</ns0:t>
        </ns0:is>
      </ns0:c>
      <ns0:c r="B5" s="5">
        <ns0:f>COUNTIF(문항_KO!D2:D241,1)</ns0:f>
        <ns0:v>60</ns0:v>
      </ns0:c>
    </ns0:row>
    <ns0:row r="6" ht="54" customHeight="1">
      <ns0:c r="A6" s="2" t="inlineStr">
        <ns0:is>
          <ns0:t>L2 이어보기</ns0:t>
        </ns0:is>
      </ns0:c>
      <ns0:c r="B6" s="3">
        <ns0:f>COUNTIF(문항_KO!D2:D241,2)</ns0:f>
        <ns0:v>60</ns0:v>
      </ns0:c>
    </ns0:row>
    <ns0:row r="7" ht="54" customHeight="1">
      <ns0:c r="A7" s="4" t="inlineStr">
        <ns0:is>
          <ns0:t>L3 자료읽기</ns0:t>
        </ns0:is>
      </ns0:c>
      <ns0:c r="B7" s="5">
        <ns0:f>COUNTIF(문항_KO!D2:D241,3)</ns0:f>
        <ns0:v>60</ns0:v>
      </ns0:c>
    </ns0:row>
    <ns0:row r="8" ht="54" customHeight="1">
      <ns0:c r="A8" s="2" t="inlineStr">
        <ns0:is>
          <ns0:t>L4 따져보기</ns0:t>
        </ns0:is>
      </ns0:c>
      <ns0:c r="B8" s="3">
        <ns0:f>COUNTIF(문항_KO!D2:D241,4)</ns0:f>
        <ns0:v>60</ns0:v>
      </ns0:c>
    </ns0:row>
    <ns0:row r="9" ht="54" customHeight="1">
      <ns0:c r="A9" s="4" t="inlineStr">
        <ns0:is>
          <ns0:t>원본 엑셀 대조</ns0:t>
        </ns0:is>
      </ns0:c>
      <ns0:c r="B9" s="4" t="inlineStr">
        <ns0:is>
          <ns0:t>질문 1,513개가 원본 questions.json과 일치, 변경된 질문 0개. 진단표이지 수정 문항집은 아닙니다.</ns0:t>
        </ns0:is>
      </ns0:c>
    </ns0:row>
    <ns0:row r="10" ht="54" customHeight="1">
      <ns0:c r="A10" s="2" t="inlineStr">
        <ns0:is>
          <ns0:t>이번 파일의 범위</ns0:t>
        </ns0:is>
      </ns0:c>
      <ns0:c r="B10" s="2" t="inlineStr">
        <ns0:is>
          <ns0:t>새 240문항(한국어·영어 쌍)을 실제 앱에 연결. 같은 사실을 네 사고 단계로 묻는 60개 묶음입니다. 원본 1,513문항 전부를 고쳤다는 뜻이 아닙니다.</ns0:t>
        </ns0:is>
      </ns0:c>
    </ns0:row>
    <ns0:row r="11" ht="54" customHeight="1">
      <ns0:c r="A11" s="4" t="inlineStr">
        <ns0:is>
          <ns0:t>기록 보호</ns0:t>
        </ns0:is>
      </ns0:c>
      <ns0:c r="B11" s="4" t="inlineStr">
        <ns0:is>
          <ns0:t>새 문항 ID 910001~910240. 이전 1,513문항과 48문항의 학습 기록은 보존하며 새 출제에서는 제외합니다.</ns0:t>
        </ns0:is>
      </ns0:c>
    </ns0:row>
    <ns0:row r="12" ht="54" customHeight="1">
      <ns0:c r="A12" s="2" t="inlineStr">
        <ns0:is>
          <ns0:t>자료와 검수</ns0:t>
        </ns0:is>
      </ns0:c>
      <ns0:c r="B12" s="2" t="inlineStr">
        <ns0:is>
          <ns0:t>출처를 연결한 자체 검토본입니다. 독립 교사 검수·국가 교육과정 인증·실기기 검증 완료를 주장하지 않습니다.</ns0:t>
        </ns0:is>
      </ns0:c>
    </ns0:row>
    <ns0:row r="13" ht="54" customHeight="1">
      <ns0:c r="A13" s="4" t="inlineStr">
        <ns0:is>
          <ns0:t>엑셀 편집과 배포</ns0:t>
        </ns0:is>
      </ns0:c>
      <ns0:c r="B13" s="4" t="inlineStr">
        <ns0:is>
          <ns0:t>이 파일은 검토·편집용입니다. 엑셀을 고쳐도 웹앱이 자동 변경되지는 않습니다. tools/content의 작성 원본을 수정하고 npm run content:build 및 테스트를 실행하세요.</ns0:t>
        </ns0:is>
      </ns0:c>
    </ns0:row>
    <ns0:row r="14" ht="54" customHeight="1">
      <ns0:c r="A14" s="2" t="inlineStr">
        <ns0:is>
          <ns0:t>지도 범위</ns0:t>
        </ns0:is>
      </ns0:c>
      <ns0:c r="B14" s="2" t="inlineStr">
        <ns0:is>
          <ns0:t>지도 보기에는 동도의 낮고 넓은 상부를 설명하는 형상 비교도를 추가했습니다. 감상용 홈 이미지는 생성 일러스트로 유지하며, 실측 3D 지형이나 시설 위치를 재현했다고 표시하지 않습니다.</ns0:t>
        </ns0:is>
      </ns0:c>
    </ns0:row>
  </ns0:sheetData>
  <ns0:autoFilter ref="A1:B14"/>
  <ns0:pageMargins left="0.75" right="0.75" top="1" bottom="1" header="0.5" footer="0.5"/>
</ns0:worksheet>
</file>

<file path=xl/worksheets/sheet2.xml><?xml version="1.0" encoding="utf-8"?>
<ns0:worksheet xmlns:ns0="http://schemas.openxmlformats.org/spreadsheetml/2006/main">
  <ns0:sheetPr>
    <ns0:outlinePr summaryBelow="1" summaryRight="0"/>
    <ns0:pageSetUpPr/>
  </ns0:sheetPr>
  <ns0:dimension ref="A1:Q241"/>
  <ns0:sheetViews>
    <ns0:sheetView showGridLines="0" workbookViewId="0">
      <ns0:pane xSplit="4" ySplit="1" topLeftCell="E2" activePane="bottomRight" state="frozen"/>
      <ns0:selection pane="topRight"/>
      <ns0:selection pane="bottomLeft"/>
      <ns0:selection pane="bottomRight" activeCell="A1" sqref="A1"/>
    </ns0:sheetView>
  </ns0:sheetViews>
  <ns0:sheetFormatPr baseColWidth="8" defaultRowHeight="15"/>
  <ns0:cols>
    <ns0:col width="13" customWidth="1" min="1" max="1"/>
    <ns0:col width="8" customWidth="1" min="2" max="2"/>
    <ns0:col width="26" customWidth="1" min="3" max="3"/>
    <ns0:col width="10" customWidth="1" min="4" max="4"/>
    <ns0:col width="54" customWidth="1" min="5" max="5"/>
    <ns0:col width="35" customWidth="1" min="6" max="6"/>
    <ns0:col width="35" customWidth="1" min="7" max="7"/>
    <ns0:col width="35" customWidth="1" min="8" max="8"/>
    <ns0:col width="10" customWidth="1" min="9" max="9"/>
    <ns0:col width="70" customWidth="1" min="10" max="10"/>
    <ns0:col hidden="1" outlineLevel="1" width="62" customWidth="1" min="11" max="14"/>
    <ns0:col width="88" customWidth="1" min="15" max="15"/>
    <ns0:col width="22" customWidth="1" min="16" max="16"/>
    <ns0:col width="28" customWidth="1" min="17" max="17"/>
  </ns0:cols>
  <ns0:sheetData>
    <ns0:row r="1" ht="31" customHeight="1">
      <ns0:c r="A1" s="1" t="inlineStr">
        <ns0:is>
          <ns0:t>문항 ID</ns0:t>
        </ns0:is>
      </ns0:c>
      <ns0:c r="B1" s="1" t="inlineStr">
        <ns0:is>
          <ns0:t>단원</ns0:t>
        </ns0:is>
      </ns0:c>
      <ns0:c r="C1" s="1" t="inlineStr">
        <ns0:is>
          <ns0:t>개념 묶음</ns0:t>
        </ns0:is>
      </ns0:c>
      <ns0:c r="D1" s="1" t="inlineStr">
        <ns0:is>
          <ns0:t>인지단계</ns0:t>
        </ns0:is>
      </ns0:c>
      <ns0:c r="E1" s="1" t="inlineStr">
        <ns0:is>
          <ns0:t>질문</ns0:t>
        </ns0:is>
      </ns0:c>
      <ns0:c r="F1" s="1" t="inlineStr">
        <ns0:is>
          <ns0:t>보기 1</ns0:t>
        </ns0:is>
      </ns0:c>
      <ns0:c r="G1" s="1" t="inlineStr">
        <ns0:is>
          <ns0:t>보기 2</ns0:t>
        </ns0:is>
      </ns0:c>
      <ns0:c r="H1" s="1" t="inlineStr">
        <ns0:is>
          <ns0:t>보기 3</ns0:t>
        </ns0:is>
      </ns0:c>
      <ns0:c r="I1" s="1" t="inlineStr">
        <ns0:is>
          <ns0:t>정답 번호</ns0:t>
        </ns0:is>
      </ns0:c>
      <ns0:c r="J1" s="1" t="inlineStr">
        <ns0:is>
          <ns0:t>사실·해설</ns0:t>
        </ns0:is>
      </ns0:c>
      <ns0:c r="K1" s="1" t="inlineStr">
        <ns0:is>
          <ns0:t>오답 해설 1</ns0:t>
        </ns0:is>
      </ns0:c>
      <ns0:c r="L1" s="1" t="inlineStr">
        <ns0:is>
          <ns0:t>오답 해설 2</ns0:t>
        </ns0:is>
      </ns0:c>
      <ns0:c r="M1" s="1" t="inlineStr">
        <ns0:is>
          <ns0:t>오답 해설 3</ns0:t>
        </ns0:is>
      </ns0:c>
      <ns0:c r="N1" s="1" t="inlineStr">
        <ns0:is>
          <ns0:t>판단 자료</ns0:t>
        </ns0:is>
      </ns0:c>
      <ns0:c r="O1" s="1" t="inlineStr">
        <ns0:is>
          <ns0:t>출처 URL</ns0:t>
        </ns0:is>
      </ns0:c>
      <ns0:c r="P1" s="1" t="inlineStr">
        <ns0:is>
          <ns0:t>질문+최장보기 글자수</ns0:t>
        </ns0:is>
      </ns0:c>
      <ns0:c r="Q1" s="1" t="inlineStr">
        <ns0:is>
          <ns0:t>검토 상태</ns0:t>
        </ns0:is>
      </ns0:c>
    </ns0:row>
    <ns0:row r="2" ht="98" customHeight="1">
      <ns0:c r="A2" s="2" t="n">
        <ns0:v>910001</ns0:v>
      </ns0:c>
      <ns0:c r="B2" s="2" t="n">
        <ns0:v>1</ns0:v>
      </ns0:c>
      <ns0:c r="C2" s="2" t="inlineStr">
        <ns0:is>
          <ns0:t>dk-composition</ns0:t>
        </ns0:is>
      </ns0:c>
      <ns0:c r="D2" s="2" t="n">
        <ns0:v>1</ns0:v>
      </ns0:c>
      <ns0:c r="E2" s="6" t="inlineStr">
        <ns0:is>
          <ns0:t>독도의 두 큰 섬은?</ns0:t>
        </ns0:is>
      </ns0:c>
      <ns0:c r="F2" s="6" t="inlineStr">
        <ns0:is>
          <ns0:t>제주도와 서도</ns0:t>
        </ns0:is>
      </ns0:c>
      <ns0:c r="G2" s="6" t="inlineStr">
        <ns0:is>
          <ns0:t>동도와 서도</ns0:t>
        </ns0:is>
      </ns0:c>
      <ns0:c r="H2" s="6" t="inlineStr">
        <ns0:is>
          <ns0:t>울릉도와 동도</ns0:t>
        </ns0:is>
      </ns0:c>
      <ns0:c r="I2" s="6" t="n">
        <ns0:v>2</ns0:v>
      </ns0:c>
      <ns0:c r="J2" s="6" t="inlineStr">
        <ns0:is>
          <ns0:t>독도는 동도와 서도, 그리고 주변의 작은 바위섬들로 이루어져 있어요.</ns0:t>
        </ns0:is>
      </ns0:c>
      <ns0:c r="K2" s="6" t="inlineStr">
        <ns0:is>
          <ns0:t>고른 보기 ‘제주도와 서도’와 달라요. 이 문항의 정답은 ‘동도와 서도’입니다. 독도는 동도와 서도, 그리고 주변의 작은 바위섬들로 이루어져 있어요.</ns0:t>
        </ns0:is>
      </ns0:c>
      <ns0:c r="L2" s="6" t="inlineStr">
        <ns0:is>
          <ns0:t>독도는 동도와 서도, 그리고 주변의 작은 바위섬들로 이루어져 있어요.</ns0:t>
        </ns0:is>
      </ns0:c>
      <ns0:c r="M2" s="6" t="inlineStr">
        <ns0:is>
          <ns0:t>고른 보기 ‘울릉도와 동도’와 달라요. 이 문항의 정답은 ‘동도와 서도’입니다. 독도는 동도와 서도, 그리고 주변의 작은 바위섬들로 이루어져 있어요.</ns0:t>
        </ns0:is>
      </ns0:c>
      <ns0:c r="N2" s="6" t="inlineStr"/>
      <ns0:c r="O2" s="6" t="inlineStr">
        <ns0:is>
          <ns0:t>https://dokdo.mofa.go.kr/kor/introduce/location.jsp</ns0:t>
        </ns0:is>
      </ns0:c>
      <ns0:c r="P2" s="3">
        <ns0:f>LEN(E2)+MAX(LEN(F2),LEN(G2),LEN(H2))</ns0:f>
        <ns0:v>18</ns0:v>
      </ns0:c>
      <ns0:c r="Q2" s="7" t="inlineStr">
        <ns0:is>
          <ns0:t>출처 기반 자체 검토 / 독립 승인 전</ns0:t>
        </ns0:is>
      </ns0:c>
    </ns0:row>
    <ns0:row r="3" ht="98" customHeight="1">
      <ns0:c r="A3" s="4" t="n">
        <ns0:v>910002</ns0:v>
      </ns0:c>
      <ns0:c r="B3" s="4" t="n">
        <ns0:v>1</ns0:v>
      </ns0:c>
      <ns0:c r="C3" s="4" t="inlineStr">
        <ns0:is>
          <ns0:t>dk-composition</ns0:t>
        </ns0:is>
      </ns0:c>
      <ns0:c r="D3" s="4" t="n">
        <ns0:v>2</ns0:v>
      </ns0:c>
      <ns0:c r="E3" s="8" t="inlineStr">
        <ns0:is>
          <ns0:t>동도·서도만 그리면 빠지는 것은?</ns0:t>
        </ns0:is>
      </ns0:c>
      <ns0:c r="F3" s="8" t="inlineStr">
        <ns0:is>
          <ns0:t>주변의 작은 바위섬</ns0:t>
        </ns0:is>
      </ns0:c>
      <ns0:c r="G3" s="8" t="inlineStr">
        <ns0:is>
          <ns0:t>두 큰 섬의 위치</ns0:t>
        </ns0:is>
      </ns0:c>
      <ns0:c r="H3" s="8" t="inlineStr">
        <ns0:is>
          <ns0:t>서도라는 섬</ns0:t>
        </ns0:is>
      </ns0:c>
      <ns0:c r="I3" s="8" t="n">
        <ns0:v>1</ns0:v>
      </ns0:c>
      <ns0:c r="J3" s="8" t="inlineStr">
        <ns0:is>
          <ns0:t>독도는 동도와 서도, 그리고 주변의 작은 바위섬들로 이루어져 있어요.</ns0:t>
        </ns0:is>
      </ns0:c>
      <ns0:c r="K3" s="8" t="inlineStr">
        <ns0:is>
          <ns0:t>독도는 동도와 서도, 그리고 주변의 작은 바위섬들로 이루어져 있어요.</ns0:t>
        </ns0:is>
      </ns0:c>
      <ns0:c r="L3" s="8" t="inlineStr">
        <ns0:is>
          <ns0:t>고른 보기 ‘두 큰 섬의 위치’와 달라요. 이 문항의 정답은 ‘주변의 작은 바위섬’입니다. 독도는 동도와 서도, 그리고 주변의 작은 바위섬들로 이루어져 있어요.</ns0:t>
        </ns0:is>
      </ns0:c>
      <ns0:c r="M3" s="8" t="inlineStr">
        <ns0:is>
          <ns0:t>고른 보기 ‘서도라는 섬’와 달라요. 이 문항의 정답은 ‘주변의 작은 바위섬’입니다. 독도는 동도와 서도, 그리고 주변의 작은 바위섬들로 이루어져 있어요.</ns0:t>
        </ns0:is>
      </ns0:c>
      <ns0:c r="N3" s="8" t="inlineStr"/>
      <ns0:c r="O3" s="8" t="inlineStr">
        <ns0:is>
          <ns0:t>https://dokdo.mofa.go.kr/kor/introduce/location.jsp</ns0:t>
        </ns0:is>
      </ns0:c>
      <ns0:c r="P3" s="5">
        <ns0:f>LEN(E3)+MAX(LEN(F3),LEN(G3),LEN(H3))</ns0:f>
        <ns0:v>28</ns0:v>
      </ns0:c>
      <ns0:c r="Q3" s="9" t="inlineStr">
        <ns0:is>
          <ns0:t>출처 기반 자체 검토 / 독립 승인 전</ns0:t>
        </ns0:is>
      </ns0:c>
    </ns0:row>
    <ns0:row r="4" ht="98" customHeight="1">
      <ns0:c r="A4" s="2" t="n">
        <ns0:v>910003</ns0:v>
      </ns0:c>
      <ns0:c r="B4" s="2" t="n">
        <ns0:v>1</ns0:v>
      </ns0:c>
      <ns0:c r="C4" s="2" t="inlineStr">
        <ns0:is>
          <ns0:t>dk-composition</ns0:t>
        </ns0:is>
      </ns0:c>
      <ns0:c r="D4" s="2" t="n">
        <ns0:v>3</ns0:v>
      </ns0:c>
      <ns0:c r="E4" s="6" t="inlineStr">
        <ns0:is>
          <ns0:t>자료의 89개는 무엇을 센 수일까요?</ns0:t>
        </ns0:is>
      </ns0:c>
      <ns0:c r="F4" s="6" t="inlineStr">
        <ns0:is>
          <ns0:t>동도와 서도를 포함한 모든 섬</ns0:t>
        </ns0:is>
      </ns0:c>
      <ns0:c r="G4" s="6" t="inlineStr">
        <ns0:is>
          <ns0:t>동도 안에 있는 봉우리</ns0:t>
        </ns0:is>
      </ns0:c>
      <ns0:c r="H4" s="6" t="inlineStr">
        <ns0:is>
          <ns0:t>두 큰 섬과 별도로 센 부속 도서</ns0:t>
        </ns0:is>
      </ns0:c>
      <ns0:c r="I4" s="6" t="n">
        <ns0:v>3</ns0:v>
      </ns0:c>
      <ns0:c r="J4" s="6" t="inlineStr">
        <ns0:is>
          <ns0:t>독도는 동도와 서도, 그리고 주변의 작은 바위섬들로 이루어져 있어요.</ns0:t>
        </ns0:is>
      </ns0:c>
      <ns0:c r="K4" s="6" t="inlineStr">
        <ns0:is>
          <ns0:t>고른 보기 ‘동도와 서도를 포함한 모든 섬’와 달라요. 이 문항의 정답은 ‘두 큰 섬과 별도로 센 부속 도서’입니다. 독도는 동도와 서도, 그리고 주변의 작은 바위섬들로 이루어져 있어요.</ns0:t>
        </ns0:is>
      </ns0:c>
      <ns0:c r="L4" s="6" t="inlineStr">
        <ns0:is>
          <ns0:t>고른 보기 ‘동도 안에 있는 봉우리’와 달라요. 이 문항의 정답은 ‘두 큰 섬과 별도로 센 부속 도서’입니다. 독도는 동도와 서도, 그리고 주변의 작은 바위섬들로 이루어져 있어요.</ns0:t>
        </ns0:is>
      </ns0:c>
      <ns0:c r="M4" s="6" t="inlineStr">
        <ns0:is>
          <ns0:t>독도는 동도와 서도, 그리고 주변의 작은 바위섬들로 이루어져 있어요.</ns0:t>
        </ns0:is>
      </ns0:c>
      <ns0:c r="N4" s="6" t="inlineStr">
        <ns0:is>
          <ns0:t>외교부 자료: 두 큰 섬 동도·서도와 부속 도서 89개로 독도를 설명합니다.</ns0:t>
        </ns0:is>
      </ns0:c>
      <ns0:c r="O4" s="6" t="inlineStr">
        <ns0:is>
          <ns0:t>https://dokdo.mofa.go.kr/kor/introduce/location.jsp</ns0:t>
        </ns0:is>
      </ns0:c>
      <ns0:c r="P4" s="3">
        <ns0:f>LEN(E4)+MAX(LEN(F4),LEN(G4),LEN(H4))</ns0:f>
        <ns0:v>38</ns0:v>
      </ns0:c>
      <ns0:c r="Q4" s="7" t="inlineStr">
        <ns0:is>
          <ns0:t>출처 기반 자체 검토 / 독립 승인 전</ns0:t>
        </ns0:is>
      </ns0:c>
    </ns0:row>
    <ns0:row r="5" ht="98" customHeight="1">
      <ns0:c r="A5" s="4" t="n">
        <ns0:v>910004</ns0:v>
      </ns0:c>
      <ns0:c r="B5" s="4" t="n">
        <ns0:v>1</ns0:v>
      </ns0:c>
      <ns0:c r="C5" s="4" t="inlineStr">
        <ns0:is>
          <ns0:t>dk-composition</ns0:t>
        </ns0:is>
      </ns0:c>
      <ns0:c r="D5" s="4" t="n">
        <ns0:v>4</ns0:v>
      </ns0:c>
      <ns0:c r="E5" s="8" t="inlineStr">
        <ns0:is>
          <ns0:t>독도를 ‘섬 두 개뿐’이라 소개한 글의 수정은?</ns0:t>
        </ns0:is>
      </ns0:c>
      <ns0:c r="F5" s="8" t="inlineStr">
        <ns0:is>
          <ns0:t>89개가 모두 큰 섬이라고 고친다</ns0:t>
        </ns0:is>
      </ns0:c>
      <ns0:c r="G5" s="8" t="inlineStr">
        <ns0:is>
          <ns0:t>두 큰 섬과 부속 도서를 구분해 쓴다</ns0:t>
        </ns0:is>
      </ns0:c>
      <ns0:c r="H5" s="8" t="inlineStr">
        <ns0:is>
          <ns0:t>작은 바위섬은 모두 독도에서 뺀다</ns0:t>
        </ns0:is>
      </ns0:c>
      <ns0:c r="I5" s="8" t="n">
        <ns0:v>2</ns0:v>
      </ns0:c>
      <ns0:c r="J5" s="8" t="inlineStr">
        <ns0:is>
          <ns0:t>독도는 동도와 서도, 그리고 주변의 작은 바위섬들로 이루어져 있어요. 대표적인 두 섬과 독도의 전체 구성은 구분해야 합니다.</ns0:t>
        </ns0:is>
      </ns0:c>
      <ns0:c r="K5" s="8" t="inlineStr">
        <ns0:is>
          <ns0:t>고른 보기 ‘89개가 모두 큰 섬이라고 고친다’와 달라요. 이 문항의 정답은 ‘두 큰 섬과 부속 도서를 구분해 쓴다’입니다. 독도는 동도와 서도, 그리고 주변의 작은 바위섬들로 이루어져 있어요. 대표적인 두 섬과 독도의 전체 구성은 구분해야 합니다.</ns0:t>
        </ns0:is>
      </ns0:c>
      <ns0:c r="L5" s="8" t="inlineStr">
        <ns0:is>
          <ns0:t>독도는 동도와 서도, 그리고 주변의 작은 바위섬들로 이루어져 있어요. 대표적인 두 섬과 독도의 전체 구성은 구분해야 합니다.</ns0:t>
        </ns0:is>
      </ns0:c>
      <ns0:c r="M5" s="8" t="inlineStr">
        <ns0:is>
          <ns0:t>고른 보기 ‘작은 바위섬은 모두 독도에서 뺀다’와 달라요. 이 문항의 정답은 ‘두 큰 섬과 부속 도서를 구분해 쓴다’입니다. 독도는 동도와 서도, 그리고 주변의 작은 바위섬들로 이루어져 있어요. 대표적인 두 섬과 독도의 전체 구성은 구분해야 합니다.</ns0:t>
        </ns0:is>
      </ns0:c>
      <ns0:c r="N5" s="8" t="inlineStr">
        <ns0:is>
          <ns0:t>외교부 자료: 두 큰 섬 동도·서도와 부속 도서 89개로 독도를 설명합니다.</ns0:t>
        </ns0:is>
      </ns0:c>
      <ns0:c r="O5" s="8" t="inlineStr">
        <ns0:is>
          <ns0:t>https://dokdo.mofa.go.kr/kor/introduce/location.jsp</ns0:t>
        </ns0:is>
      </ns0:c>
      <ns0:c r="P5" s="5">
        <ns0:f>LEN(E5)+MAX(LEN(F5),LEN(G5),LEN(H5))</ns0:f>
        <ns0:v>46</ns0:v>
      </ns0:c>
      <ns0:c r="Q5" s="9" t="inlineStr">
        <ns0:is>
          <ns0:t>출처 기반 자체 검토 / 독립 승인 전</ns0:t>
        </ns0:is>
      </ns0:c>
    </ns0:row>
    <ns0:row r="6" ht="98" customHeight="1">
      <ns0:c r="A6" s="2" t="n">
        <ns0:v>910005</ns0:v>
      </ns0:c>
      <ns0:c r="B6" s="2" t="n">
        <ns0:v>1</ns0:v>
      </ns0:c>
      <ns0:c r="C6" s="2" t="inlineStr">
        <ns0:is>
          <ns0:t>dk-relative-location</ns0:t>
        </ns0:is>
      </ns0:c>
      <ns0:c r="D6" s="2" t="n">
        <ns0:v>1</ns0:v>
      </ns0:c>
      <ns0:c r="E6" s="6" t="inlineStr">
        <ns0:is>
          <ns0:t>울릉도에서 독도는 어느 방향일까요?</ns0:t>
        </ns0:is>
      </ns0:c>
      <ns0:c r="F6" s="6" t="inlineStr">
        <ns0:is>
          <ns0:t>동남쪽</ns0:t>
        </ns0:is>
      </ns0:c>
      <ns0:c r="G6" s="6" t="inlineStr">
        <ns0:is>
          <ns0:t>서북쪽</ns0:t>
        </ns0:is>
      </ns0:c>
      <ns0:c r="H6" s="6" t="inlineStr">
        <ns0:is>
          <ns0:t>남서쪽</ns0:t>
        </ns0:is>
      </ns0:c>
      <ns0:c r="I6" s="6" t="n">
        <ns0:v>1</ns0:v>
      </ns0:c>
      <ns0:c r="J6" s="6" t="inlineStr">
        <ns0:is>
          <ns0:t>독도는 울릉도에서 동남쪽으로 약 87.4km 떨어져 있어요.</ns0:t>
        </ns0:is>
      </ns0:c>
      <ns0:c r="K6" s="6" t="inlineStr">
        <ns0:is>
          <ns0:t>독도는 울릉도에서 동남쪽으로 약 87.4km 떨어져 있어요.</ns0:t>
        </ns0:is>
      </ns0:c>
      <ns0:c r="L6" s="6" t="inlineStr">
        <ns0:is>
          <ns0:t>고른 보기 ‘서북쪽’와 달라요. 이 문항의 정답은 ‘동남쪽’입니다. 독도는 울릉도에서 동남쪽으로 약 87.4km 떨어져 있어요.</ns0:t>
        </ns0:is>
      </ns0:c>
      <ns0:c r="M6" s="6" t="inlineStr">
        <ns0:is>
          <ns0:t>고른 보기 ‘남서쪽’와 달라요. 이 문항의 정답은 ‘동남쪽’입니다. 독도는 울릉도에서 동남쪽으로 약 87.4km 떨어져 있어요.</ns0:t>
        </ns0:is>
      </ns0:c>
      <ns0:c r="N6" s="6" t="inlineStr"/>
      <ns0:c r="O6" s="6" t="inlineStr">
        <ns0:is>
          <ns0:t>https://dokdo.mofa.go.kr/kor/introduce/location.jsp</ns0:t>
        </ns0:is>
      </ns0:c>
      <ns0:c r="P6" s="3">
        <ns0:f>LEN(E6)+MAX(LEN(F6),LEN(G6),LEN(H6))</ns0:f>
        <ns0:v>22</ns0:v>
      </ns0:c>
      <ns0:c r="Q6" s="7" t="inlineStr">
        <ns0:is>
          <ns0:t>출처 기반 자체 검토 / 독립 승인 전</ns0:t>
        </ns0:is>
      </ns0:c>
    </ns0:row>
    <ns0:row r="7" ht="98" customHeight="1">
      <ns0:c r="A7" s="4" t="n">
        <ns0:v>910006</ns0:v>
      </ns0:c>
      <ns0:c r="B7" s="4" t="n">
        <ns0:v>1</ns0:v>
      </ns0:c>
      <ns0:c r="C7" s="4" t="inlineStr">
        <ns0:is>
          <ns0:t>dk-relative-location</ns0:t>
        </ns0:is>
      </ns0:c>
      <ns0:c r="D7" s="4" t="n">
        <ns0:v>2</ns0:v>
      </ns0:c>
      <ns0:c r="E7" s="8" t="inlineStr">
        <ns0:is>
          <ns0:t>울릉도와 독도의 관계는?</ns0:t>
        </ns0:is>
      </ns0:c>
      <ns0:c r="F7" s="8" t="inlineStr">
        <ns0:is>
          <ns0:t>한 섬의 동쪽과 서쪽 이름</ns0:t>
        </ns0:is>
      </ns0:c>
      <ns0:c r="G7" s="8" t="inlineStr">
        <ns0:is>
          <ns0:t>두 섬 모두 동도 안에 있음</ns0:t>
        </ns0:is>
      </ns0:c>
      <ns0:c r="H7" s="8" t="inlineStr">
        <ns0:is>
          <ns0:t>바다를 사이에 둔 서로 다른 섬</ns0:t>
        </ns0:is>
      </ns0:c>
      <ns0:c r="I7" s="8" t="n">
        <ns0:v>3</ns0:v>
      </ns0:c>
      <ns0:c r="J7" s="8" t="inlineStr">
        <ns0:is>
          <ns0:t>독도는 울릉도에서 동남쪽으로 약 87.4km 떨어져 있어요.</ns0:t>
        </ns0:is>
      </ns0:c>
      <ns0:c r="K7" s="8" t="inlineStr">
        <ns0:is>
          <ns0:t>고른 보기 ‘한 섬의 동쪽과 서쪽 이름’와 달라요. 이 문항의 정답은 ‘바다를 사이에 둔 서로 다른 섬’입니다. 독도는 울릉도에서 동남쪽으로 약 87.4km 떨어져 있어요.</ns0:t>
        </ns0:is>
      </ns0:c>
      <ns0:c r="L7" s="8" t="inlineStr">
        <ns0:is>
          <ns0:t>고른 보기 ‘두 섬 모두 동도 안에 있음’와 달라요. 이 문항의 정답은 ‘바다를 사이에 둔 서로 다른 섬’입니다. 독도는 울릉도에서 동남쪽으로 약 87.4km 떨어져 있어요.</ns0:t>
        </ns0:is>
      </ns0:c>
      <ns0:c r="M7" s="8" t="inlineStr">
        <ns0:is>
          <ns0:t>독도는 울릉도에서 동남쪽으로 약 87.4km 떨어져 있어요.</ns0:t>
        </ns0:is>
      </ns0:c>
      <ns0:c r="N7" s="8" t="inlineStr"/>
      <ns0:c r="O7" s="8" t="inlineStr">
        <ns0:is>
          <ns0:t>https://dokdo.mofa.go.kr/kor/introduce/location.jsp</ns0:t>
        </ns0:is>
      </ns0:c>
      <ns0:c r="P7" s="5">
        <ns0:f>LEN(E7)+MAX(LEN(F7),LEN(G7),LEN(H7))</ns0:f>
        <ns0:v>30</ns0:v>
      </ns0:c>
      <ns0:c r="Q7" s="9" t="inlineStr">
        <ns0:is>
          <ns0:t>출처 기반 자체 검토 / 독립 승인 전</ns0:t>
        </ns0:is>
      </ns0:c>
    </ns0:row>
    <ns0:row r="8" ht="98" customHeight="1">
      <ns0:c r="A8" s="2" t="n">
        <ns0:v>910007</ns0:v>
      </ns0:c>
      <ns0:c r="B8" s="2" t="n">
        <ns0:v>1</ns0:v>
      </ns0:c>
      <ns0:c r="C8" s="2" t="inlineStr">
        <ns0:is>
          <ns0:t>dk-relative-location</ns0:t>
        </ns0:is>
      </ns0:c>
      <ns0:c r="D8" s="2" t="n">
        <ns0:v>3</ns0:v>
      </ns0:c>
      <ns0:c r="E8" s="6" t="inlineStr">
        <ns0:is>
          <ns0:t>주어진 거리에서 독도에 더 가까운 곳은?</ns0:t>
        </ns0:is>
      </ns0:c>
      <ns0:c r="F8" s="6" t="inlineStr">
        <ns0:is>
          <ns0:t>두 곳의 거리가 같음</ns0:t>
        </ns0:is>
      </ns0:c>
      <ns0:c r="G8" s="6" t="inlineStr">
        <ns0:is>
          <ns0:t>울릉도</ns0:t>
        </ns0:is>
      </ns0:c>
      <ns0:c r="H8" s="6" t="inlineStr">
        <ns0:is>
          <ns0:t>오키섬</ns0:t>
        </ns0:is>
      </ns0:c>
      <ns0:c r="I8" s="6" t="n">
        <ns0:v>2</ns0:v>
      </ns0:c>
      <ns0:c r="J8" s="6" t="inlineStr">
        <ns0:is>
          <ns0:t>독도는 울릉도에서 동남쪽으로 약 87.4km 떨어져 있어요. 87.4km가 157.5km보다 짧습니다.</ns0:t>
        </ns0:is>
      </ns0:c>
      <ns0:c r="K8" s="6" t="inlineStr">
        <ns0:is>
          <ns0:t>고른 보기 ‘두 곳의 거리가 같음’와 달라요. 이 문항의 정답은 ‘울릉도’입니다. 독도는 울릉도에서 동남쪽으로 약 87.4km 떨어져 있어요. 87.4km가 157.5km보다 짧습니다.</ns0:t>
        </ns0:is>
      </ns0:c>
      <ns0:c r="L8" s="6" t="inlineStr">
        <ns0:is>
          <ns0:t>독도는 울릉도에서 동남쪽으로 약 87.4km 떨어져 있어요. 87.4km가 157.5km보다 짧습니다.</ns0:t>
        </ns0:is>
      </ns0:c>
      <ns0:c r="M8" s="6" t="inlineStr">
        <ns0:is>
          <ns0:t>고른 보기 ‘오키섬’와 달라요. 이 문항의 정답은 ‘울릉도’입니다. 독도는 울릉도에서 동남쪽으로 약 87.4km 떨어져 있어요. 87.4km가 157.5km보다 짧습니다.</ns0:t>
        </ns0:is>
      </ns0:c>
      <ns0:c r="N8" s="6" t="inlineStr">
        <ns0:is>
          <ns0:t>독도 기준 거리: 울릉도 87.4km, 일본 오키섬 157.5km. 두 거리의 출발점은 모두 독도입니다.</ns0:t>
        </ns0:is>
      </ns0:c>
      <ns0:c r="O8" s="6" t="inlineStr">
        <ns0:is>
          <ns0:t>https://dokdo.mofa.go.kr/kor/introduce/location.jsp</ns0:t>
        </ns0:is>
      </ns0:c>
      <ns0:c r="P8" s="3">
        <ns0:f>LEN(E8)+MAX(LEN(F8),LEN(G8),LEN(H8))</ns0:f>
        <ns0:v>33</ns0:v>
      </ns0:c>
      <ns0:c r="Q8" s="7" t="inlineStr">
        <ns0:is>
          <ns0:t>출처 기반 자체 검토 / 독립 승인 전</ns0:t>
        </ns0:is>
      </ns0:c>
    </ns0:row>
    <ns0:row r="9" ht="98" customHeight="1">
      <ns0:c r="A9" s="4" t="n">
        <ns0:v>910008</ns0:v>
      </ns0:c>
      <ns0:c r="B9" s="4" t="n">
        <ns0:v>1</ns0:v>
      </ns0:c>
      <ns0:c r="C9" s="4" t="inlineStr">
        <ns0:is>
          <ns0:t>dk-relative-location</ns0:t>
        </ns0:is>
      </ns0:c>
      <ns0:c r="D9" s="4" t="n">
        <ns0:v>4</ns0:v>
      </ns0:c>
      <ns0:c r="E9" s="8" t="inlineStr">
        <ns0:is>
          <ns0:t>이 거리 표만으로 뒷받침되는 말은?</ns0:t>
        </ns0:is>
      </ns0:c>
      <ns0:c r="F9" s="8" t="inlineStr">
        <ns0:is>
          <ns0:t>울릉도가 오키섬보다 독도에 가깝다</ns0:t>
        </ns0:is>
      </ns0:c>
      <ns0:c r="G9" s="8" t="inlineStr">
        <ns0:is>
          <ns0:t>거리만으로 영토의 모든 역사가 결정된다</ns0:t>
        </ns0:is>
      </ns0:c>
      <ns0:c r="H9" s="8" t="inlineStr">
        <ns0:is>
          <ns0:t>울릉도와 독도가 육지로 이어진다</ns0:t>
        </ns0:is>
      </ns0:c>
      <ns0:c r="I9" s="8" t="n">
        <ns0:v>1</ns0:v>
      </ns0:c>
      <ns0:c r="J9" s="8" t="inlineStr">
        <ns0:is>
          <ns0:t>독도는 울릉도에서 동남쪽으로 약 87.4km 떨어져 있어요. 거리 비교와 역사·법적 근거의 판단은 구분합니다.</ns0:t>
        </ns0:is>
      </ns0:c>
      <ns0:c r="K9" s="8" t="inlineStr">
        <ns0:is>
          <ns0:t>독도는 울릉도에서 동남쪽으로 약 87.4km 떨어져 있어요. 거리 비교와 역사·법적 근거의 판단은 구분합니다.</ns0:t>
        </ns0:is>
      </ns0:c>
      <ns0:c r="L9" s="8" t="inlineStr">
        <ns0:is>
          <ns0:t>고른 보기 ‘거리만으로 영토의 모든 역사가 결정된다’와 달라요. 이 문항의 정답은 ‘울릉도가 오키섬보다 독도에 가깝다’입니다. 독도는 울릉도에서 동남쪽으로 약 87.4km 떨어져 있어요. 거리 비교와 역사·법적 근거의 판단은 구분합니다.</ns0:t>
        </ns0:is>
      </ns0:c>
      <ns0:c r="M9" s="8" t="inlineStr">
        <ns0:is>
          <ns0:t>고른 보기 ‘울릉도와 독도가 육지로 이어진다’와 달라요. 이 문항의 정답은 ‘울릉도가 오키섬보다 독도에 가깝다’입니다. 독도는 울릉도에서 동남쪽으로 약 87.4km 떨어져 있어요. 거리 비교와 역사·법적 근거의 판단은 구분합니다.</ns0:t>
        </ns0:is>
      </ns0:c>
      <ns0:c r="N9" s="8" t="inlineStr">
        <ns0:is>
          <ns0:t>독도 기준 거리: 울릉도 87.4km, 일본 오키섬 157.5km. 두 거리의 출발점은 모두 독도입니다.</ns0:t>
        </ns0:is>
      </ns0:c>
      <ns0:c r="O9" s="8" t="inlineStr">
        <ns0:is>
          <ns0:t>https://dokdo.mofa.go.kr/kor/introduce/location.jsp</ns0:t>
        </ns0:is>
      </ns0:c>
      <ns0:c r="P9" s="5">
        <ns0:f>LEN(E9)+MAX(LEN(F9),LEN(G9),LEN(H9))</ns0:f>
        <ns0:v>40</ns0:v>
      </ns0:c>
      <ns0:c r="Q9" s="9" t="inlineStr">
        <ns0:is>
          <ns0:t>출처 기반 자체 검토 / 독립 승인 전</ns0:t>
        </ns0:is>
      </ns0:c>
    </ns0:row>
    <ns0:row r="10" ht="98" customHeight="1">
      <ns0:c r="A10" s="2" t="n">
        <ns0:v>910009</ns0:v>
      </ns0:c>
      <ns0:c r="B10" s="2" t="n">
        <ns0:v>1</ns0:v>
      </ns0:c>
      <ns0:c r="C10" s="2" t="inlineStr">
        <ns0:is>
          <ns0:t>dk-orientation</ns0:t>
        </ns0:is>
      </ns0:c>
      <ns0:c r="D10" s="2" t="n">
        <ns0:v>1</ns0:v>
      </ns0:c>
      <ns0:c r="E10" s="6" t="inlineStr">
        <ns0:is>
          <ns0:t>독도의 동쪽 큰 섬 이름은?</ns0:t>
        </ns0:is>
      </ns0:c>
      <ns0:c r="F10" s="6" t="inlineStr">
        <ns0:is>
          <ns0:t>서도</ns0:t>
        </ns0:is>
      </ns0:c>
      <ns0:c r="G10" s="6" t="inlineStr">
        <ns0:is>
          <ns0:t>울릉도</ns0:t>
        </ns0:is>
      </ns0:c>
      <ns0:c r="H10" s="6" t="inlineStr">
        <ns0:is>
          <ns0:t>동도</ns0:t>
        </ns0:is>
      </ns0:c>
      <ns0:c r="I10" s="6" t="n">
        <ns0:v>3</ns0:v>
      </ns0:c>
      <ns0:c r="J10" s="6" t="inlineStr">
        <ns0:is>
          <ns0:t>서도는 서쪽, 동도는 동쪽의 큰 섬이에요. 지도를 돌려도 실제 동쪽과 서쪽은 바뀌지 않아요.</ns0:t>
        </ns0:is>
      </ns0:c>
      <ns0:c r="K10" s="6" t="inlineStr">
        <ns0:is>
          <ns0:t>고른 보기 ‘서도’와 달라요. 이 문항의 정답은 ‘동도’입니다. 서도는 서쪽, 동도는 동쪽의 큰 섬이에요. 지도를 돌려도 실제 동쪽과 서쪽은 바뀌지 않아요.</ns0:t>
        </ns0:is>
      </ns0:c>
      <ns0:c r="L10" s="6" t="inlineStr">
        <ns0:is>
          <ns0:t>고른 보기 ‘울릉도’와 달라요. 이 문항의 정답은 ‘동도’입니다. 서도는 서쪽, 동도는 동쪽의 큰 섬이에요. 지도를 돌려도 실제 동쪽과 서쪽은 바뀌지 않아요.</ns0:t>
        </ns0:is>
      </ns0:c>
      <ns0:c r="M10" s="6" t="inlineStr">
        <ns0:is>
          <ns0:t>서도는 서쪽, 동도는 동쪽의 큰 섬이에요. 지도를 돌려도 실제 동쪽과 서쪽은 바뀌지 않아요.</ns0:t>
        </ns0:is>
      </ns0:c>
      <ns0:c r="N10" s="6" t="inlineStr"/>
      <ns0:c r="O10" s="6" t="inlineStr">
        <ns0:is>
          <ns0:t>https://dokdo.mofa.go.kr/kor/introduce/location.jsp</ns0:t>
        </ns0:is>
      </ns0:c>
      <ns0:c r="P10" s="3">
        <ns0:f>LEN(E10)+MAX(LEN(F10),LEN(G10),LEN(H10))</ns0:f>
        <ns0:v>18</ns0:v>
      </ns0:c>
      <ns0:c r="Q10" s="7" t="inlineStr">
        <ns0:is>
          <ns0:t>출처 기반 자체 검토 / 독립 승인 전</ns0:t>
        </ns0:is>
      </ns0:c>
    </ns0:row>
    <ns0:row r="11" ht="98" customHeight="1">
      <ns0:c r="A11" s="4" t="n">
        <ns0:v>910010</ns0:v>
      </ns0:c>
      <ns0:c r="B11" s="4" t="n">
        <ns0:v>1</ns0:v>
      </ns0:c>
      <ns0:c r="C11" s="4" t="inlineStr">
        <ns0:is>
          <ns0:t>dk-orientation</ns0:t>
        </ns0:is>
      </ns0:c>
      <ns0:c r="D11" s="4" t="n">
        <ns0:v>2</ns0:v>
      </ns0:c>
      <ns0:c r="E11" s="8" t="inlineStr">
        <ns0:is>
          <ns0:t>서도 이름의 ‘서’와 연결되는 방향은?</ns0:t>
        </ns0:is>
      </ns0:c>
      <ns0:c r="F11" s="8" t="inlineStr">
        <ns0:is>
          <ns0:t>북쪽</ns0:t>
        </ns0:is>
      </ns0:c>
      <ns0:c r="G11" s="8" t="inlineStr">
        <ns0:is>
          <ns0:t>서쪽</ns0:t>
        </ns0:is>
      </ns0:c>
      <ns0:c r="H11" s="8" t="inlineStr">
        <ns0:is>
          <ns0:t>동쪽</ns0:t>
        </ns0:is>
      </ns0:c>
      <ns0:c r="I11" s="8" t="n">
        <ns0:v>2</ns0:v>
      </ns0:c>
      <ns0:c r="J11" s="8" t="inlineStr">
        <ns0:is>
          <ns0:t>서도는 서쪽, 동도는 동쪽의 큰 섬이에요. 지도를 돌려도 실제 동쪽과 서쪽은 바뀌지 않아요.</ns0:t>
        </ns0:is>
      </ns0:c>
      <ns0:c r="K11" s="8" t="inlineStr">
        <ns0:is>
          <ns0:t>고른 보기 ‘북쪽’와 달라요. 이 문항의 정답은 ‘서쪽’입니다. 서도는 서쪽, 동도는 동쪽의 큰 섬이에요. 지도를 돌려도 실제 동쪽과 서쪽은 바뀌지 않아요.</ns0:t>
        </ns0:is>
      </ns0:c>
      <ns0:c r="L11" s="8" t="inlineStr">
        <ns0:is>
          <ns0:t>서도는 서쪽, 동도는 동쪽의 큰 섬이에요. 지도를 돌려도 실제 동쪽과 서쪽은 바뀌지 않아요.</ns0:t>
        </ns0:is>
      </ns0:c>
      <ns0:c r="M11" s="8" t="inlineStr">
        <ns0:is>
          <ns0:t>고른 보기 ‘동쪽’와 달라요. 이 문항의 정답은 ‘서쪽’입니다. 서도는 서쪽, 동도는 동쪽의 큰 섬이에요. 지도를 돌려도 실제 동쪽과 서쪽은 바뀌지 않아요.</ns0:t>
        </ns0:is>
      </ns0:c>
      <ns0:c r="N11" s="8" t="inlineStr"/>
      <ns0:c r="O11" s="8" t="inlineStr">
        <ns0:is>
          <ns0:t>https://dokdo.mofa.go.kr/kor/introduce/location.jsp</ns0:t>
        </ns0:is>
      </ns0:c>
      <ns0:c r="P11" s="5">
        <ns0:f>LEN(E11)+MAX(LEN(F11),LEN(G11),LEN(H11))</ns0:f>
        <ns0:v>23</ns0:v>
      </ns0:c>
      <ns0:c r="Q11" s="9" t="inlineStr">
        <ns0:is>
          <ns0:t>출처 기반 자체 검토 / 독립 승인 전</ns0:t>
        </ns0:is>
      </ns0:c>
    </ns0:row>
    <ns0:row r="12" ht="98" customHeight="1">
      <ns0:c r="A12" s="2" t="n">
        <ns0:v>910011</ns0:v>
      </ns0:c>
      <ns0:c r="B12" s="2" t="n">
        <ns0:v>1</ns0:v>
      </ns0:c>
      <ns0:c r="C12" s="2" t="inlineStr">
        <ns0:is>
          <ns0:t>dk-orientation</ns0:t>
        </ns0:is>
      </ns0:c>
      <ns0:c r="D12" s="2" t="n">
        <ns0:v>3</ns0:v>
      </ns0:c>
      <ns0:c r="E12" s="6" t="inlineStr">
        <ns0:is>
          <ns0:t>주어진 방향도에서 동도는 서도의 어느 쪽인가요?</ns0:t>
        </ns0:is>
      </ns0:c>
      <ns0:c r="F12" s="6" t="inlineStr">
        <ns0:is>
          <ns0:t>오른쪽</ns0:t>
        </ns0:is>
      </ns0:c>
      <ns0:c r="G12" s="6" t="inlineStr">
        <ns0:is>
          <ns0:t>왼쪽</ns0:t>
        </ns0:is>
      </ns0:c>
      <ns0:c r="H12" s="6" t="inlineStr">
        <ns0:is>
          <ns0:t>같은 지점</ns0:t>
        </ns0:is>
      </ns0:c>
      <ns0:c r="I12" s="6" t="n">
        <ns0:v>1</ns0:v>
      </ns0:c>
      <ns0:c r="J12" s="6" t="inlineStr">
        <ns0:is>
          <ns0:t>서도는 서쪽, 동도는 동쪽의 큰 섬이에요. 지도를 돌려도 실제 동쪽과 서쪽은 바뀌지 않아요.</ns0:t>
        </ns0:is>
      </ns0:c>
      <ns0:c r="K12" s="6" t="inlineStr">
        <ns0:is>
          <ns0:t>서도는 서쪽, 동도는 동쪽의 큰 섬이에요. 지도를 돌려도 실제 동쪽과 서쪽은 바뀌지 않아요.</ns0:t>
        </ns0:is>
      </ns0:c>
      <ns0:c r="L12" s="6" t="inlineStr">
        <ns0:is>
          <ns0:t>고른 보기 ‘왼쪽’와 달라요. 이 문항의 정답은 ‘오른쪽’입니다. 서도는 서쪽, 동도는 동쪽의 큰 섬이에요. 지도를 돌려도 실제 동쪽과 서쪽은 바뀌지 않아요.</ns0:t>
        </ns0:is>
      </ns0:c>
      <ns0:c r="M12" s="6" t="inlineStr">
        <ns0:is>
          <ns0:t>고른 보기 ‘같은 지점’와 달라요. 이 문항의 정답은 ‘오른쪽’입니다. 서도는 서쪽, 동도는 동쪽의 큰 섬이에요. 지도를 돌려도 실제 동쪽과 서쪽은 바뀌지 않아요.</ns0:t>
        </ns0:is>
      </ns0:c>
      <ns0:c r="N12" s="6" t="inlineStr">
        <ns0:is>
          <ns0:t>방향을 익히는 개략도: 북쪽 ↑, 서쪽 ←, 동쪽 →. 서도가 왼쪽, 동도가 오른쪽에 있습니다. 두 섬의 해안선이나 정확한 거리를 나타내는 도면은 아닙니다.</ns0:t>
        </ns0:is>
      </ns0:c>
      <ns0:c r="O12" s="6" t="inlineStr">
        <ns0:is>
          <ns0:t>https://dokdo.mofa.go.kr/kor/introduce/location.jsp</ns0:t>
        </ns0:is>
      </ns0:c>
      <ns0:c r="P12" s="3">
        <ns0:f>LEN(E12)+MAX(LEN(F12),LEN(G12),LEN(H12))</ns0:f>
        <ns0:v>31</ns0:v>
      </ns0:c>
      <ns0:c r="Q12" s="7" t="inlineStr">
        <ns0:is>
          <ns0:t>출처 기반 자체 검토 / 독립 승인 전</ns0:t>
        </ns0:is>
      </ns0:c>
    </ns0:row>
    <ns0:row r="13" ht="98" customHeight="1">
      <ns0:c r="A13" s="4" t="n">
        <ns0:v>910012</ns0:v>
      </ns0:c>
      <ns0:c r="B13" s="4" t="n">
        <ns0:v>1</ns0:v>
      </ns0:c>
      <ns0:c r="C13" s="4" t="inlineStr">
        <ns0:is>
          <ns0:t>dk-orientation</ns0:t>
        </ns0:is>
      </ns0:c>
      <ns0:c r="D13" s="4" t="n">
        <ns0:v>4</ns0:v>
      </ns0:c>
      <ns0:c r="E13" s="8" t="inlineStr">
        <ns0:is>
          <ns0:t>지도를 돌려 동도가 왼쪽에 보이면?</ns0:t>
        </ns0:is>
      </ns0:c>
      <ns0:c r="F13" s="8" t="inlineStr">
        <ns0:is>
          <ns0:t>동도의 이름을 서도로 바꾼다</ns0:t>
        </ns0:is>
      </ns0:c>
      <ns0:c r="G13" s="8" t="inlineStr">
        <ns0:is>
          <ns0:t>섬이 실제로 이동했다고 판단한다</ns0:t>
        </ns0:is>
      </ns0:c>
      <ns0:c r="H13" s="8" t="inlineStr">
        <ns0:is>
          <ns0:t>방향표로 실제 동서 관계를 확인한다</ns0:t>
        </ns0:is>
      </ns0:c>
      <ns0:c r="I13" s="8" t="n">
        <ns0:v>3</ns0:v>
      </ns0:c>
      <ns0:c r="J13" s="8" t="inlineStr">
        <ns0:is>
          <ns0:t>서도는 서쪽, 동도는 동쪽의 큰 섬이에요. 지도를 돌려도 실제 동쪽과 서쪽은 바뀌지 않아요. 화면의 좌우와 지리적 동서는 다를 수 있습니다.</ns0:t>
        </ns0:is>
      </ns0:c>
      <ns0:c r="K13" s="8" t="inlineStr">
        <ns0:is>
          <ns0:t>고른 보기 ‘동도의 이름을 서도로 바꾼다’와 달라요. 이 문항의 정답은 ‘방향표로 실제 동서 관계를 확인한다’입니다. 서도는 서쪽, 동도는 동쪽의 큰 섬이에요. 지도를 돌려도 실제 동쪽과 서쪽은 바뀌지 않아요. 화면의 좌우와 지리적 동서는 다를 수 있습니다.</ns0:t>
        </ns0:is>
      </ns0:c>
      <ns0:c r="L13" s="8" t="inlineStr">
        <ns0:is>
          <ns0:t>고른 보기 ‘섬이 실제로 이동했다고 판단한다’와 달라요. 이 문항의 정답은 ‘방향표로 실제 동서 관계를 확인한다’입니다. 서도는 서쪽, 동도는 동쪽의 큰 섬이에요. 지도를 돌려도 실제 동쪽과 서쪽은 바뀌지 않아요. 화면의 좌우와 지리적 동서는 다를 수 있습니다.</ns0:t>
        </ns0:is>
      </ns0:c>
      <ns0:c r="M13" s="8" t="inlineStr">
        <ns0:is>
          <ns0:t>서도는 서쪽, 동도는 동쪽의 큰 섬이에요. 지도를 돌려도 실제 동쪽과 서쪽은 바뀌지 않아요. 화면의 좌우와 지리적 동서는 다를 수 있습니다.</ns0:t>
        </ns0:is>
      </ns0:c>
      <ns0:c r="N13" s="8" t="inlineStr">
        <ns0:is>
          <ns0:t>방향을 익히는 개략도: 북쪽 ↑, 서쪽 ←, 동쪽 →. 서도가 왼쪽, 동도가 오른쪽에 있습니다. 두 섬의 해안선이나 정확한 거리를 나타내는 도면은 아닙니다.</ns0:t>
        </ns0:is>
      </ns0:c>
      <ns0:c r="O13" s="8" t="inlineStr">
        <ns0:is>
          <ns0:t>https://dokdo.mofa.go.kr/kor/introduce/location.jsp</ns0:t>
        </ns0:is>
      </ns0:c>
      <ns0:c r="P13" s="5">
        <ns0:f>LEN(E13)+MAX(LEN(F13),LEN(G13),LEN(H13))</ns0:f>
        <ns0:v>38</ns0:v>
      </ns0:c>
      <ns0:c r="Q13" s="9" t="inlineStr">
        <ns0:is>
          <ns0:t>출처 기반 자체 검토 / 독립 승인 전</ns0:t>
        </ns0:is>
      </ns0:c>
    </ns0:row>
    <ns0:row r="14" ht="98" customHeight="1">
      <ns0:c r="A14" s="2" t="n">
        <ns0:v>910013</ns0:v>
      </ns0:c>
      <ns0:c r="B14" s="2" t="n">
        <ns0:v>1</ns0:v>
      </ns0:c>
      <ns0:c r="C14" s="2" t="inlineStr">
        <ns0:is>
          <ns0:t>dk-visibility</ns0:t>
        </ns0:is>
      </ns0:c>
      <ns0:c r="D14" s="2" t="n">
        <ns0:v>1</ns0:v>
      </ns0:c>
      <ns0:c r="E14" s="6" t="inlineStr">
        <ns0:is>
          <ns0:t>울릉도에서 독도를 보기 좋은 날씨는?</ns0:t>
        </ns0:is>
      </ns0:c>
      <ns0:c r="F14" s="6" t="inlineStr">
        <ns0:is>
          <ns0:t>시야를 가리는 비</ns0:t>
        </ns0:is>
      </ns0:c>
      <ns0:c r="G14" s="6" t="inlineStr">
        <ns0:is>
          <ns0:t>맑은 날</ns0:t>
        </ns0:is>
      </ns0:c>
      <ns0:c r="H14" s="6" t="inlineStr">
        <ns0:is>
          <ns0:t>짙은 안개</ns0:t>
        </ns0:is>
      </ns0:c>
      <ns0:c r="I14" s="6" t="n">
        <ns0:v>2</ns0:v>
      </ns0:c>
      <ns0:c r="J14" s="6" t="inlineStr">
        <ns0:is>
          <ns0:t>울릉도에서는 맑은 날 독도를 볼 수 있어요. 안개나 비가 시야를 가리면 보이지 않을 수도 있어요.</ns0:t>
        </ns0:is>
      </ns0:c>
      <ns0:c r="K14" s="6" t="inlineStr">
        <ns0:is>
          <ns0:t>고른 보기 ‘시야를 가리는 비’와 달라요. 이 문항의 정답은 ‘맑은 날’입니다. 울릉도에서는 맑은 날 독도를 볼 수 있어요. 안개나 비가 시야를 가리면 보이지 않을 수도 있어요.</ns0:t>
        </ns0:is>
      </ns0:c>
      <ns0:c r="L14" s="6" t="inlineStr">
        <ns0:is>
          <ns0:t>울릉도에서는 맑은 날 독도를 볼 수 있어요. 안개나 비가 시야를 가리면 보이지 않을 수도 있어요.</ns0:t>
        </ns0:is>
      </ns0:c>
      <ns0:c r="M14" s="6" t="inlineStr">
        <ns0:is>
          <ns0:t>고른 보기 ‘짙은 안개’와 달라요. 이 문항의 정답은 ‘맑은 날’입니다. 울릉도에서는 맑은 날 독도를 볼 수 있어요. 안개나 비가 시야를 가리면 보이지 않을 수도 있어요.</ns0:t>
        </ns0:is>
      </ns0:c>
      <ns0:c r="N14" s="6" t="inlineStr"/>
      <ns0:c r="O14" s="6" t="inlineStr">
        <ns0:is>
          <ns0:t>https://dokdo.mofa.go.kr/kor/introduce/location.jsp
https://dokdo.mofa.go.kr/kor/pds/part06_view02.jsp</ns0:t>
        </ns0:is>
      </ns0:c>
      <ns0:c r="P14" s="3">
        <ns0:f>LEN(E14)+MAX(LEN(F14),LEN(G14),LEN(H14))</ns0:f>
        <ns0:v>29</ns0:v>
      </ns0:c>
      <ns0:c r="Q14" s="7" t="inlineStr">
        <ns0:is>
          <ns0:t>출처 기반 자체 검토 / 독립 승인 전</ns0:t>
        </ns0:is>
      </ns0:c>
    </ns0:row>
    <ns0:row r="15" ht="98" customHeight="1">
      <ns0:c r="A15" s="4" t="n">
        <ns0:v>910014</ns0:v>
      </ns0:c>
      <ns0:c r="B15" s="4" t="n">
        <ns0:v>1</ns0:v>
      </ns0:c>
      <ns0:c r="C15" s="4" t="inlineStr">
        <ns0:is>
          <ns0:t>dk-visibility</ns0:t>
        </ns0:is>
      </ns0:c>
      <ns0:c r="D15" s="4" t="n">
        <ns0:v>2</ns0:v>
      </ns0:c>
      <ns0:c r="E15" s="8" t="inlineStr">
        <ns0:is>
          <ns0:t>오늘 독도가 안 보이면 먼저 살필 것은?</ns0:t>
        </ns0:is>
      </ns0:c>
      <ns0:c r="F15" s="8" t="inlineStr">
        <ns0:is>
          <ns0:t>안개 같은 날씨 조건</ns0:t>
        </ns0:is>
      </ns0:c>
      <ns0:c r="G15" s="8" t="inlineStr">
        <ns0:is>
          <ns0:t>섬 이름의 변경</ns0:t>
        </ns0:is>
      </ns0:c>
      <ns0:c r="H15" s="8" t="inlineStr">
        <ns0:is>
          <ns0:t>서도의 면적 증가</ns0:t>
        </ns0:is>
      </ns0:c>
      <ns0:c r="I15" s="8" t="n">
        <ns0:v>1</ns0:v>
      </ns0:c>
      <ns0:c r="J15" s="8" t="inlineStr">
        <ns0:is>
          <ns0:t>울릉도에서는 맑은 날 독도를 볼 수 있어요. 안개나 비가 시야를 가리면 보이지 않을 수도 있어요.</ns0:t>
        </ns0:is>
      </ns0:c>
      <ns0:c r="K15" s="8" t="inlineStr">
        <ns0:is>
          <ns0:t>울릉도에서는 맑은 날 독도를 볼 수 있어요. 안개나 비가 시야를 가리면 보이지 않을 수도 있어요.</ns0:t>
        </ns0:is>
      </ns0:c>
      <ns0:c r="L15" s="8" t="inlineStr">
        <ns0:is>
          <ns0:t>고른 보기 ‘섬 이름의 변경’와 달라요. 이 문항의 정답은 ‘안개 같은 날씨 조건’입니다. 울릉도에서는 맑은 날 독도를 볼 수 있어요. 안개나 비가 시야를 가리면 보이지 않을 수도 있어요.</ns0:t>
        </ns0:is>
      </ns0:c>
      <ns0:c r="M15" s="8" t="inlineStr">
        <ns0:is>
          <ns0:t>고른 보기 ‘서도의 면적 증가’와 달라요. 이 문항의 정답은 ‘안개 같은 날씨 조건’입니다. 울릉도에서는 맑은 날 독도를 볼 수 있어요. 안개나 비가 시야를 가리면 보이지 않을 수도 있어요.</ns0:t>
        </ns0:is>
      </ns0:c>
      <ns0:c r="N15" s="8" t="inlineStr"/>
      <ns0:c r="O15" s="8" t="inlineStr">
        <ns0:is>
          <ns0:t>https://dokdo.mofa.go.kr/kor/introduce/location.jsp
https://dokdo.mofa.go.kr/kor/pds/part06_view02.jsp</ns0:t>
        </ns0:is>
      </ns0:c>
      <ns0:c r="P15" s="5">
        <ns0:f>LEN(E15)+MAX(LEN(F15),LEN(G15),LEN(H15))</ns0:f>
        <ns0:v>33</ns0:v>
      </ns0:c>
      <ns0:c r="Q15" s="9" t="inlineStr">
        <ns0:is>
          <ns0:t>출처 기반 자체 검토 / 독립 승인 전</ns0:t>
        </ns0:is>
      </ns0:c>
    </ns0:row>
    <ns0:row r="16" ht="98" customHeight="1">
      <ns0:c r="A16" s="2" t="n">
        <ns0:v>910015</ns0:v>
      </ns0:c>
      <ns0:c r="B16" s="2" t="n">
        <ns0:v>1</ns0:v>
      </ns0:c>
      <ns0:c r="C16" s="2" t="inlineStr">
        <ns0:is>
          <ns0:t>dk-visibility</ns0:t>
        </ns0:is>
      </ns0:c>
      <ns0:c r="D16" s="2" t="n">
        <ns0:v>3</ns0:v>
      </ns0:c>
      <ns0:c r="E16" s="6" t="inlineStr">
        <ns0:is>
          <ns0:t>옛 기록이 가시성에 붙인 조건은?</ns0:t>
        </ns0:is>
      </ns0:c>
      <ns0:c r="F16" s="6" t="inlineStr">
        <ns0:is>
          <ns0:t>모든 날씨에 항상</ns0:t>
        </ns0:is>
      </ns0:c>
      <ns0:c r="G16" s="6" t="inlineStr">
        <ns0:is>
          <ns0:t>겨울에만</ns0:t>
        </ns0:is>
      </ns0:c>
      <ns0:c r="H16" s="6" t="inlineStr">
        <ns0:is>
          <ns0:t>날씨가 맑을 때</ns0:t>
        </ns0:is>
      </ns0:c>
      <ns0:c r="I16" s="6" t="n">
        <ns0:v>3</ns0:v>
      </ns0:c>
      <ns0:c r="J16" s="6" t="inlineStr">
        <ns0:is>
          <ns0:t>울릉도에서는 맑은 날 독도를 볼 수 있어요. 안개나 비가 시야를 가리면 보이지 않을 수도 있어요.</ns0:t>
        </ns0:is>
      </ns0:c>
      <ns0:c r="K16" s="6" t="inlineStr">
        <ns0:is>
          <ns0:t>고른 보기 ‘모든 날씨에 항상’와 달라요. 이 문항의 정답은 ‘날씨가 맑을 때’입니다. 울릉도에서는 맑은 날 독도를 볼 수 있어요. 안개나 비가 시야를 가리면 보이지 않을 수도 있어요.</ns0:t>
        </ns0:is>
      </ns0:c>
      <ns0:c r="L16" s="6" t="inlineStr">
        <ns0:is>
          <ns0:t>고른 보기 ‘겨울에만’와 달라요. 이 문항의 정답은 ‘날씨가 맑을 때’입니다. 울릉도에서는 맑은 날 독도를 볼 수 있어요. 안개나 비가 시야를 가리면 보이지 않을 수도 있어요.</ns0:t>
        </ns0:is>
      </ns0:c>
      <ns0:c r="M16" s="6" t="inlineStr">
        <ns0:is>
          <ns0:t>울릉도에서는 맑은 날 독도를 볼 수 있어요. 안개나 비가 시야를 가리면 보이지 않을 수도 있어요.</ns0:t>
        </ns0:is>
      </ns0:c>
      <ns0:c r="N16" s="6" t="inlineStr">
        <ns0:is>
          <ns0:t>외교부가 소개한 『세종실록』 지리지는 우산·무릉 두 섬이 서로 멀지 않아 날씨가 맑으면 바라볼 수 있다고 설명합니다.</ns0:t>
        </ns0:is>
      </ns0:c>
      <ns0:c r="O16" s="6" t="inlineStr">
        <ns0:is>
          <ns0:t>https://dokdo.mofa.go.kr/kor/introduce/location.jsp
https://dokdo.mofa.go.kr/kor/pds/part06_view02.jsp</ns0:t>
        </ns0:is>
      </ns0:c>
      <ns0:c r="P16" s="3">
        <ns0:f>LEN(E16)+MAX(LEN(F16),LEN(G16),LEN(H16))</ns0:f>
        <ns0:v>27</ns0:v>
      </ns0:c>
      <ns0:c r="Q16" s="7" t="inlineStr">
        <ns0:is>
          <ns0:t>출처 기반 자체 검토 / 독립 승인 전</ns0:t>
        </ns0:is>
      </ns0:c>
    </ns0:row>
    <ns0:row r="17" ht="98" customHeight="1">
      <ns0:c r="A17" s="4" t="n">
        <ns0:v>910016</ns0:v>
      </ns0:c>
      <ns0:c r="B17" s="4" t="n">
        <ns0:v>1</ns0:v>
      </ns0:c>
      <ns0:c r="C17" s="4" t="inlineStr">
        <ns0:is>
          <ns0:t>dk-visibility</ns0:t>
        </ns0:is>
      </ns0:c>
      <ns0:c r="D17" s="4" t="n">
        <ns0:v>4</ns0:v>
      </ns0:c>
      <ns0:c r="E17" s="8" t="inlineStr">
        <ns0:is>
          <ns0:t>‘울릉도에서 독도는 항상 보인다’는 요약은?</ns0:t>
        </ns0:is>
      </ns0:c>
      <ns0:c r="F17" s="8" t="inlineStr">
        <ns0:is>
          <ns0:t>가까운 섬에는 날씨가 영향을 주지 않는다</ns0:t>
        </ns0:is>
      </ns0:c>
      <ns0:c r="G17" s="8" t="inlineStr">
        <ns0:is>
          <ns0:t>맑은 날이라는 조건이 빠져 부정확하다</ns0:t>
        </ns0:is>
      </ns0:c>
      <ns0:c r="H17" s="8" t="inlineStr">
        <ns0:is>
          <ns0:t>섬 이름이 맞으므로 충분히 정확하다</ns0:t>
        </ns0:is>
      </ns0:c>
      <ns0:c r="I17" s="8" t="n">
        <ns0:v>2</ns0:v>
      </ns0:c>
      <ns0:c r="J17" s="8" t="inlineStr">
        <ns0:is>
          <ns0:t>울릉도에서는 맑은 날 독도를 볼 수 있어요. 안개나 비가 시야를 가리면 보이지 않을 수도 있어요.</ns0:t>
        </ns0:is>
      </ns0:c>
      <ns0:c r="K17" s="8" t="inlineStr">
        <ns0:is>
          <ns0:t>고른 보기 ‘가까운 섬에는 날씨가 영향을 주지 않는다’와 달라요. 이 문항의 정답은 ‘맑은 날이라는 조건이 빠져 부정확하다’입니다. 울릉도에서는 맑은 날 독도를 볼 수 있어요. 안개나 비가 시야를 가리면 보이지 않을 수도 있어요.</ns0:t>
        </ns0:is>
      </ns0:c>
      <ns0:c r="L17" s="8" t="inlineStr">
        <ns0:is>
          <ns0:t>울릉도에서는 맑은 날 독도를 볼 수 있어요. 안개나 비가 시야를 가리면 보이지 않을 수도 있어요.</ns0:t>
        </ns0:is>
      </ns0:c>
      <ns0:c r="M17" s="8" t="inlineStr">
        <ns0:is>
          <ns0:t>고른 보기 ‘섬 이름이 맞으므로 충분히 정확하다’와 달라요. 이 문항의 정답은 ‘맑은 날이라는 조건이 빠져 부정확하다’입니다. 울릉도에서는 맑은 날 독도를 볼 수 있어요. 안개나 비가 시야를 가리면 보이지 않을 수도 있어요.</ns0:t>
        </ns0:is>
      </ns0:c>
      <ns0:c r="N17" s="8" t="inlineStr">
        <ns0:is>
          <ns0:t>외교부가 소개한 『세종실록』 지리지는 우산·무릉 두 섬이 서로 멀지 않아 날씨가 맑으면 바라볼 수 있다고 설명합니다.</ns0:t>
        </ns0:is>
      </ns0:c>
      <ns0:c r="O17" s="8" t="inlineStr">
        <ns0:is>
          <ns0:t>https://dokdo.mofa.go.kr/kor/introduce/location.jsp
https://dokdo.mofa.go.kr/kor/pds/part06_view02.jsp</ns0:t>
        </ns0:is>
      </ns0:c>
      <ns0:c r="P17" s="5">
        <ns0:f>LEN(E17)+MAX(LEN(F17),LEN(G17),LEN(H17))</ns0:f>
        <ns0:v>46</ns0:v>
      </ns0:c>
      <ns0:c r="Q17" s="9" t="inlineStr">
        <ns0:is>
          <ns0:t>출처 기반 자체 검토 / 독립 승인 전</ns0:t>
        </ns0:is>
      </ns0:c>
    </ns0:row>
    <ns0:row r="18" ht="98" customHeight="1">
      <ns0:c r="A18" s="2" t="n">
        <ns0:v>910017</ns0:v>
      </ns0:c>
      <ns0:c r="B18" s="2" t="n">
        <ns0:v>1</ns0:v>
      </ns0:c>
      <ns0:c r="C18" s="2" t="inlineStr">
        <ns0:is>
          <ns0:t>dk-islet-count</ns0:t>
        </ns0:is>
      </ns0:c>
      <ns0:c r="D18" s="2" t="n">
        <ns0:v>1</ns0:v>
      </ns0:c>
      <ns0:c r="E18" s="6" t="inlineStr">
        <ns0:is>
          <ns0:t>작은 바위섬도 독도의 일부일까요?</ns0:t>
        </ns0:is>
      </ns0:c>
      <ns0:c r="F18" s="6" t="inlineStr">
        <ns0:is>
          <ns0:t>네, 독도의 일부예요</ns0:t>
        </ns0:is>
      </ns0:c>
      <ns0:c r="G18" s="6" t="inlineStr">
        <ns0:is>
          <ns0:t>아니요, 큰 섬만 독도예요</ns0:t>
        </ns0:is>
      </ns0:c>
      <ns0:c r="H18" s="6" t="inlineStr">
        <ns0:is>
          <ns0:t>모두 울릉도의 일부예요</ns0:t>
        </ns0:is>
      </ns0:c>
      <ns0:c r="I18" s="6" t="n">
        <ns0:v>1</ns0:v>
      </ns0:c>
      <ns0:c r="J18" s="6" t="inlineStr">
        <ns0:is>
          <ns0:t>독도 전체 면적에는 동도·서도뿐 아니라 부속 도서의 땅도 포함돼요.</ns0:t>
        </ns0:is>
      </ns0:c>
      <ns0:c r="K18" s="6" t="inlineStr">
        <ns0:is>
          <ns0:t>독도 전체 면적에는 동도·서도뿐 아니라 부속 도서의 땅도 포함돼요.</ns0:t>
        </ns0:is>
      </ns0:c>
      <ns0:c r="L18" s="6" t="inlineStr">
        <ns0:is>
          <ns0:t>고른 보기 ‘아니요, 큰 섬만 독도예요’와 달라요. 이 문항의 정답은 ‘네, 독도의 일부예요’입니다. 독도 전체 면적에는 동도·서도뿐 아니라 부속 도서의 땅도 포함돼요.</ns0:t>
        </ns0:is>
      </ns0:c>
      <ns0:c r="M18" s="6" t="inlineStr">
        <ns0:is>
          <ns0:t>고른 보기 ‘모두 울릉도의 일부예요’와 달라요. 이 문항의 정답은 ‘네, 독도의 일부예요’입니다. 독도 전체 면적에는 동도·서도뿐 아니라 부속 도서의 땅도 포함돼요.</ns0:t>
        </ns0:is>
      </ns0:c>
      <ns0:c r="N18" s="6" t="inlineStr"/>
      <ns0:c r="O18" s="6" t="inlineStr">
        <ns0:is>
          <ns0:t>https://dokdo.mofa.go.kr/kor/introduce/location.jsp</ns0:t>
        </ns0:is>
      </ns0:c>
      <ns0:c r="P18" s="3">
        <ns0:f>LEN(E18)+MAX(LEN(F18),LEN(G18),LEN(H18))</ns0:f>
        <ns0:v>32</ns0:v>
      </ns0:c>
      <ns0:c r="Q18" s="7" t="inlineStr">
        <ns0:is>
          <ns0:t>출처 기반 자체 검토 / 독립 승인 전</ns0:t>
        </ns0:is>
      </ns0:c>
    </ns0:row>
    <ns0:row r="19" ht="98" customHeight="1">
      <ns0:c r="A19" s="4" t="n">
        <ns0:v>910018</ns0:v>
      </ns0:c>
      <ns0:c r="B19" s="4" t="n">
        <ns0:v>1</ns0:v>
      </ns0:c>
      <ns0:c r="C19" s="4" t="inlineStr">
        <ns0:is>
          <ns0:t>dk-islet-count</ns0:t>
        </ns0:is>
      </ns0:c>
      <ns0:c r="D19" s="4" t="n">
        <ns0:v>2</ns0:v>
      </ns0:c>
      <ns0:c r="E19" s="8" t="inlineStr">
        <ns0:is>
          <ns0:t>독도 전체 넓이를 구할 때 더할 것은?</ns0:t>
        </ns0:is>
      </ns0:c>
      <ns0:c r="F19" s="8" t="inlineStr">
        <ns0:is>
          <ns0:t>두 큰 섬의 높이</ns0:t>
        </ns0:is>
      </ns0:c>
      <ns0:c r="G19" s="8" t="inlineStr">
        <ns0:is>
          <ns0:t>울릉도 전체 넓이</ns0:t>
        </ns0:is>
      </ns0:c>
      <ns0:c r="H19" s="8" t="inlineStr">
        <ns0:is>
          <ns0:t>두 큰 섬과 부속 도서의 넓이</ns0:t>
        </ns0:is>
      </ns0:c>
      <ns0:c r="I19" s="8" t="n">
        <ns0:v>3</ns0:v>
      </ns0:c>
      <ns0:c r="J19" s="8" t="inlineStr">
        <ns0:is>
          <ns0:t>독도 전체 면적에는 동도·서도뿐 아니라 부속 도서의 땅도 포함돼요.</ns0:t>
        </ns0:is>
      </ns0:c>
      <ns0:c r="K19" s="8" t="inlineStr">
        <ns0:is>
          <ns0:t>고른 보기 ‘두 큰 섬의 높이’와 달라요. 이 문항의 정답은 ‘두 큰 섬과 부속 도서의 넓이’입니다. 독도 전체 면적에는 동도·서도뿐 아니라 부속 도서의 땅도 포함돼요.</ns0:t>
        </ns0:is>
      </ns0:c>
      <ns0:c r="L19" s="8" t="inlineStr">
        <ns0:is>
          <ns0:t>고른 보기 ‘울릉도 전체 넓이’와 달라요. 이 문항의 정답은 ‘두 큰 섬과 부속 도서의 넓이’입니다. 독도 전체 면적에는 동도·서도뿐 아니라 부속 도서의 땅도 포함돼요.</ns0:t>
        </ns0:is>
      </ns0:c>
      <ns0:c r="M19" s="8" t="inlineStr">
        <ns0:is>
          <ns0:t>독도 전체 면적에는 동도·서도뿐 아니라 부속 도서의 땅도 포함돼요.</ns0:t>
        </ns0:is>
      </ns0:c>
      <ns0:c r="N19" s="8" t="inlineStr"/>
      <ns0:c r="O19" s="8" t="inlineStr">
        <ns0:is>
          <ns0:t>https://dokdo.mofa.go.kr/kor/introduce/location.jsp</ns0:t>
        </ns0:is>
      </ns0:c>
      <ns0:c r="P19" s="5">
        <ns0:f>LEN(E19)+MAX(LEN(F19),LEN(G19),LEN(H19))</ns0:f>
        <ns0:v>37</ns0:v>
      </ns0:c>
      <ns0:c r="Q19" s="9" t="inlineStr">
        <ns0:is>
          <ns0:t>출처 기반 자체 검토 / 독립 승인 전</ns0:t>
        </ns0:is>
      </ns0:c>
    </ns0:row>
    <ns0:row r="20" ht="98" customHeight="1">
      <ns0:c r="A20" s="2" t="n">
        <ns0:v>910019</ns0:v>
      </ns0:c>
      <ns0:c r="B20" s="2" t="n">
        <ns0:v>1</ns0:v>
      </ns0:c>
      <ns0:c r="C20" s="2" t="inlineStr">
        <ns0:is>
          <ns0:t>dk-islet-count</ns0:t>
        </ns0:is>
      </ns0:c>
      <ns0:c r="D20" s="2" t="n">
        <ns0:v>3</ns0:v>
      </ns0:c>
      <ns0:c r="E20" s="6" t="inlineStr">
        <ns0:is>
          <ns0:t>두 큰 섬의 면적 합이 전체보다 작은 까닭은?</ns0:t>
        </ns0:is>
      </ns0:c>
      <ns0:c r="F20" s="6" t="inlineStr">
        <ns0:is>
          <ns0:t>섬의 높이가 면적에서 빠졌기 때문</ns0:t>
        </ns0:is>
      </ns0:c>
      <ns0:c r="G20" s="6" t="inlineStr">
        <ns0:is>
          <ns0:t>부속 도서 면적이 따로 있기 때문</ns0:t>
        </ns0:is>
      </ns0:c>
      <ns0:c r="H20" s="6" t="inlineStr">
        <ns0:is>
          <ns0:t>바다 넓이를 두 배로 계산했기 때문</ns0:t>
        </ns0:is>
      </ns0:c>
      <ns0:c r="I20" s="6" t="n">
        <ns0:v>2</ns0:v>
      </ns0:c>
      <ns0:c r="J20" s="6" t="inlineStr">
        <ns0:is>
          <ns0:t>독도 전체 면적에는 동도·서도뿐 아니라 부속 도서의 땅도 포함돼요.</ns0:t>
        </ns0:is>
      </ns0:c>
      <ns0:c r="K20" s="6" t="inlineStr">
        <ns0:is>
          <ns0:t>고른 보기 ‘섬의 높이가 면적에서 빠졌기 때문’와 달라요. 이 문항의 정답은 ‘부속 도서 면적이 따로 있기 때문’입니다. 독도 전체 면적에는 동도·서도뿐 아니라 부속 도서의 땅도 포함돼요.</ns0:t>
        </ns0:is>
      </ns0:c>
      <ns0:c r="L20" s="6" t="inlineStr">
        <ns0:is>
          <ns0:t>독도 전체 면적에는 동도·서도뿐 아니라 부속 도서의 땅도 포함돼요.</ns0:t>
        </ns0:is>
      </ns0:c>
      <ns0:c r="M20" s="6" t="inlineStr">
        <ns0:is>
          <ns0:t>고른 보기 ‘바다 넓이를 두 배로 계산했기 때문’와 달라요. 이 문항의 정답은 ‘부속 도서 면적이 따로 있기 때문’입니다. 독도 전체 면적에는 동도·서도뿐 아니라 부속 도서의 땅도 포함돼요.</ns0:t>
        </ns0:is>
      </ns0:c>
      <ns0:c r="N20" s="6" t="inlineStr">
        <ns0:is>
          <ns0:t>면적 자료: 동도 73,297㎡, 서도 88,740㎡, 독도 전체 187,554㎡. 전체에는 부속 도서가 포함됩니다.</ns0:t>
        </ns0:is>
      </ns0:c>
      <ns0:c r="O20" s="6" t="inlineStr">
        <ns0:is>
          <ns0:t>https://dokdo.mofa.go.kr/kor/introduce/location.jsp</ns0:t>
        </ns0:is>
      </ns0:c>
      <ns0:c r="P20" s="3">
        <ns0:f>LEN(E20)+MAX(LEN(F20),LEN(G20),LEN(H20))</ns0:f>
        <ns0:v>44</ns0:v>
      </ns0:c>
      <ns0:c r="Q20" s="7" t="inlineStr">
        <ns0:is>
          <ns0:t>출처 기반 자체 검토 / 독립 승인 전</ns0:t>
        </ns0:is>
      </ns0:c>
    </ns0:row>
    <ns0:row r="21" ht="98" customHeight="1">
      <ns0:c r="A21" s="4" t="n">
        <ns0:v>910020</ns0:v>
      </ns0:c>
      <ns0:c r="B21" s="4" t="n">
        <ns0:v>1</ns0:v>
      </ns0:c>
      <ns0:c r="C21" s="4" t="inlineStr">
        <ns0:is>
          <ns0:t>dk-islet-count</ns0:t>
        </ns0:is>
      </ns0:c>
      <ns0:c r="D21" s="4" t="n">
        <ns0:v>4</ns0:v>
      </ns0:c>
      <ns0:c r="E21" s="8" t="inlineStr">
        <ns0:is>
          <ns0:t>사진 한 장에 보이는 바위 수를 전체 수라 한다면?</ns0:t>
        </ns0:is>
      </ns0:c>
      <ns0:c r="F21" s="8" t="inlineStr">
        <ns0:is>
          <ns0:t>사진 밖의 부속 도서를 빠뜨릴 수 있다</ns0:t>
        </ns0:is>
      </ns0:c>
      <ns0:c r="G21" s="8" t="inlineStr">
        <ns0:is>
          <ns0:t>사진의 바위는 모두 독도가 아니다</ns0:t>
        </ns0:is>
      </ns0:c>
      <ns0:c r="H21" s="8" t="inlineStr">
        <ns0:is>
          <ns0:t>사진이면 반드시 전체를 보여준다</ns0:t>
        </ns0:is>
      </ns0:c>
      <ns0:c r="I21" s="8" t="n">
        <ns0:v>1</ns0:v>
      </ns0:c>
      <ns0:c r="J21" s="8" t="inlineStr">
        <ns0:is>
          <ns0:t>독도 전체 면적에는 동도·서도뿐 아니라 부속 도서의 땅도 포함돼요.</ns0:t>
        </ns0:is>
      </ns0:c>
      <ns0:c r="K21" s="8" t="inlineStr">
        <ns0:is>
          <ns0:t>독도 전체 면적에는 동도·서도뿐 아니라 부속 도서의 땅도 포함돼요.</ns0:t>
        </ns0:is>
      </ns0:c>
      <ns0:c r="L21" s="8" t="inlineStr">
        <ns0:is>
          <ns0:t>고른 보기 ‘사진의 바위는 모두 독도가 아니다’와 달라요. 이 문항의 정답은 ‘사진 밖의 부속 도서를 빠뜨릴 수 있다’입니다. 독도 전체 면적에는 동도·서도뿐 아니라 부속 도서의 땅도 포함돼요.</ns0:t>
        </ns0:is>
      </ns0:c>
      <ns0:c r="M21" s="8" t="inlineStr">
        <ns0:is>
          <ns0:t>고른 보기 ‘사진이면 반드시 전체를 보여준다’와 달라요. 이 문항의 정답은 ‘사진 밖의 부속 도서를 빠뜨릴 수 있다’입니다. 독도 전체 면적에는 동도·서도뿐 아니라 부속 도서의 땅도 포함돼요.</ns0:t>
        </ns0:is>
      </ns0:c>
      <ns0:c r="N21" s="8" t="inlineStr">
        <ns0:is>
          <ns0:t>면적 자료: 동도 73,297㎡, 서도 88,740㎡, 독도 전체 187,554㎡. 전체에는 부속 도서가 포함됩니다.</ns0:t>
        </ns0:is>
      </ns0:c>
      <ns0:c r="O21" s="8" t="inlineStr">
        <ns0:is>
          <ns0:t>https://dokdo.mofa.go.kr/kor/introduce/location.jsp</ns0:t>
        </ns0:is>
      </ns0:c>
      <ns0:c r="P21" s="5">
        <ns0:f>LEN(E21)+MAX(LEN(F21),LEN(G21),LEN(H21))</ns0:f>
        <ns0:v>49</ns0:v>
      </ns0:c>
      <ns0:c r="Q21" s="9" t="inlineStr">
        <ns0:is>
          <ns0:t>출처 기반 자체 검토 / 독립 승인 전</ns0:t>
        </ns0:is>
      </ns0:c>
    </ns0:row>
    <ns0:row r="22" ht="98" customHeight="1">
      <ns0:c r="A22" s="2" t="n">
        <ns0:v>910021</ns0:v>
      </ns0:c>
      <ns0:c r="B22" s="2" t="n">
        <ns0:v>2</ns0:v>
      </ns0:c>
      <ns0:c r="C22" s="2" t="inlineStr">
        <ns0:is>
          <ns0:t>dk-heights</ns0:t>
        </ns0:is>
      </ns0:c>
      <ns0:c r="D22" s="2" t="n">
        <ns0:v>1</ns0:v>
      </ns0:c>
      <ns0:c r="E22" s="6" t="inlineStr">
        <ns0:is>
          <ns0:t>두 큰 섬 중 더 높은 섬은?</ns0:t>
        </ns0:is>
      </ns0:c>
      <ns0:c r="F22" s="6" t="inlineStr">
        <ns0:is>
          <ns0:t>동도</ns0:t>
        </ns0:is>
      </ns0:c>
      <ns0:c r="G22" s="6" t="inlineStr">
        <ns0:is>
          <ns0:t>두 섬이 같아요</ns0:t>
        </ns0:is>
      </ns0:c>
      <ns0:c r="H22" s="6" t="inlineStr">
        <ns0:is>
          <ns0:t>서도</ns0:t>
        </ns0:is>
      </ns0:c>
      <ns0:c r="I22" s="6" t="n">
        <ns0:v>3</ns0:v>
      </ns0:c>
      <ns0:c r="J22" s="6" t="inlineStr">
        <ns0:is>
          <ns0:t>서도의 최고 높이는 168.5m, 동도는 98.6m예요. 서도가 더 높아요.</ns0:t>
        </ns0:is>
      </ns0:c>
      <ns0:c r="K22" s="6" t="inlineStr">
        <ns0:is>
          <ns0:t>고른 보기 ‘동도’와 달라요. 이 문항의 정답은 ‘서도’입니다. 서도의 최고 높이는 168.5m, 동도는 98.6m예요. 서도가 더 높아요.</ns0:t>
        </ns0:is>
      </ns0:c>
      <ns0:c r="L22" s="6" t="inlineStr">
        <ns0:is>
          <ns0:t>고른 보기 ‘두 섬이 같아요’와 달라요. 이 문항의 정답은 ‘서도’입니다. 서도의 최고 높이는 168.5m, 동도는 98.6m예요. 서도가 더 높아요.</ns0:t>
        </ns0:is>
      </ns0:c>
      <ns0:c r="M22" s="6" t="inlineStr">
        <ns0:is>
          <ns0:t>서도의 최고 높이는 168.5m, 동도는 98.6m예요. 서도가 더 높아요.</ns0:t>
        </ns0:is>
      </ns0:c>
      <ns0:c r="N22" s="6" t="inlineStr"/>
      <ns0:c r="O22" s="6" t="inlineStr">
        <ns0:is>
          <ns0:t>https://dokdo.mofa.go.kr/kor/introduce/location.jsp</ns0:t>
        </ns0:is>
      </ns0:c>
      <ns0:c r="P22" s="3">
        <ns0:f>LEN(E22)+MAX(LEN(F22),LEN(G22),LEN(H22))</ns0:f>
        <ns0:v>24</ns0:v>
      </ns0:c>
      <ns0:c r="Q22" s="7" t="inlineStr">
        <ns0:is>
          <ns0:t>출처 기반 자체 검토 / 독립 승인 전</ns0:t>
        </ns0:is>
      </ns0:c>
    </ns0:row>
    <ns0:row r="23" ht="98" customHeight="1">
      <ns0:c r="A23" s="4" t="n">
        <ns0:v>910022</ns0:v>
      </ns0:c>
      <ns0:c r="B23" s="4" t="n">
        <ns0:v>2</ns0:v>
      </ns0:c>
      <ns0:c r="C23" s="4" t="inlineStr">
        <ns0:is>
          <ns0:t>dk-heights</ns0:t>
        </ns0:is>
      </ns0:c>
      <ns0:c r="D23" s="4" t="n">
        <ns0:v>2</ns0:v>
      </ns0:c>
      <ns0:c r="E23" s="8" t="inlineStr">
        <ns0:is>
          <ns0:t>높이를 바르게 연결한 것은?</ns0:t>
        </ns0:is>
      </ns0:c>
      <ns0:c r="F23" s="8" t="inlineStr">
        <ns0:is>
          <ns0:t>두 섬 모두 168.5m</ns0:t>
        </ns0:is>
      </ns0:c>
      <ns0:c r="G23" s="8" t="inlineStr">
        <ns0:is>
          <ns0:t>서도 168.5m·동도 98.6m</ns0:t>
        </ns0:is>
      </ns0:c>
      <ns0:c r="H23" s="8" t="inlineStr">
        <ns0:is>
          <ns0:t>서도 98.6m·동도 168.5m</ns0:t>
        </ns0:is>
      </ns0:c>
      <ns0:c r="I23" s="8" t="n">
        <ns0:v>2</ns0:v>
      </ns0:c>
      <ns0:c r="J23" s="8" t="inlineStr">
        <ns0:is>
          <ns0:t>서도의 최고 높이는 168.5m, 동도는 98.6m예요. 서도가 더 높아요.</ns0:t>
        </ns0:is>
      </ns0:c>
      <ns0:c r="K23" s="8" t="inlineStr">
        <ns0:is>
          <ns0:t>고른 보기 ‘두 섬 모두 168.5m’와 달라요. 이 문항의 정답은 ‘서도 168.5m·동도 98.6m’입니다. 서도의 최고 높이는 168.5m, 동도는 98.6m예요. 서도가 더 높아요.</ns0:t>
        </ns0:is>
      </ns0:c>
      <ns0:c r="L23" s="8" t="inlineStr">
        <ns0:is>
          <ns0:t>서도의 최고 높이는 168.5m, 동도는 98.6m예요. 서도가 더 높아요.</ns0:t>
        </ns0:is>
      </ns0:c>
      <ns0:c r="M23" s="8" t="inlineStr">
        <ns0:is>
          <ns0:t>고른 보기 ‘서도 98.6m·동도 168.5m’와 달라요. 이 문항의 정답은 ‘서도 168.5m·동도 98.6m’입니다. 서도의 최고 높이는 168.5m, 동도는 98.6m예요. 서도가 더 높아요.</ns0:t>
        </ns0:is>
      </ns0:c>
      <ns0:c r="N23" s="8" t="inlineStr"/>
      <ns0:c r="O23" s="8" t="inlineStr">
        <ns0:is>
          <ns0:t>https://dokdo.mofa.go.kr/kor/introduce/location.jsp</ns0:t>
        </ns0:is>
      </ns0:c>
      <ns0:c r="P23" s="5">
        <ns0:f>LEN(E23)+MAX(LEN(F23),LEN(G23),LEN(H23))</ns0:f>
        <ns0:v>33</ns0:v>
      </ns0:c>
      <ns0:c r="Q23" s="9" t="inlineStr">
        <ns0:is>
          <ns0:t>출처 기반 자체 검토 / 독립 승인 전</ns0:t>
        </ns0:is>
      </ns0:c>
    </ns0:row>
    <ns0:row r="24" ht="98" customHeight="1">
      <ns0:c r="A24" s="2" t="n">
        <ns0:v>910023</ns0:v>
      </ns0:c>
      <ns0:c r="B24" s="2" t="n">
        <ns0:v>2</ns0:v>
      </ns0:c>
      <ns0:c r="C24" s="2" t="inlineStr">
        <ns0:is>
          <ns0:t>dk-heights</ns0:t>
        </ns0:is>
      </ns0:c>
      <ns0:c r="D24" s="2" t="n">
        <ns0:v>3</ns0:v>
      </ns0:c>
      <ns0:c r="E24" s="6" t="inlineStr">
        <ns0:is>
          <ns0:t>자료에서 최고 높이의 차이는?</ns0:t>
        </ns0:is>
      </ns0:c>
      <ns0:c r="F24" s="6" t="inlineStr">
        <ns0:is>
          <ns0:t>69.9m</ns0:t>
        </ns0:is>
      </ns0:c>
      <ns0:c r="G24" s="6" t="inlineStr">
        <ns0:is>
          <ns0:t>267.1m</ns0:t>
        </ns0:is>
      </ns0:c>
      <ns0:c r="H24" s="6" t="inlineStr">
        <ns0:is>
          <ns0:t>87.4m</ns0:t>
        </ns0:is>
      </ns0:c>
      <ns0:c r="I24" s="6" t="n">
        <ns0:v>1</ns0:v>
      </ns0:c>
      <ns0:c r="J24" s="6" t="inlineStr">
        <ns0:is>
          <ns0:t>서도의 최고 높이는 168.5m, 동도는 98.6m예요. 서도가 더 높아요. 168.5−98.6=69.9m입니다. 더하기가 아니라 차이를 구합니다.</ns0:t>
        </ns0:is>
      </ns0:c>
      <ns0:c r="K24" s="6" t="inlineStr">
        <ns0:is>
          <ns0:t>서도의 최고 높이는 168.5m, 동도는 98.6m예요. 서도가 더 높아요. 168.5−98.6=69.9m입니다. 더하기가 아니라 차이를 구합니다.</ns0:t>
        </ns0:is>
      </ns0:c>
      <ns0:c r="L24" s="6" t="inlineStr">
        <ns0:is>
          <ns0:t>고른 보기 ‘267.1m’와 달라요. 이 문항의 정답은 ‘69.9m’입니다. 서도의 최고 높이는 168.5m, 동도는 98.6m예요. 서도가 더 높아요. 168.5−98.6=69.9m입니다. 더하기가 아니라 차이를 구합니다.</ns0:t>
        </ns0:is>
      </ns0:c>
      <ns0:c r="M24" s="6" t="inlineStr">
        <ns0:is>
          <ns0:t>고른 보기 ‘87.4m’와 달라요. 이 문항의 정답은 ‘69.9m’입니다. 서도의 최고 높이는 168.5m, 동도는 98.6m예요. 서도가 더 높아요. 168.5−98.6=69.9m입니다. 더하기가 아니라 차이를 구합니다.</ns0:t>
        </ns0:is>
      </ns0:c>
      <ns0:c r="N24" s="6" t="inlineStr">
        <ns0:is>
          <ns0:t>높이 자료: 서도 168.5m / 동도 98.6m. 두 값 모두 해수면을 기준으로 한 높이입니다.</ns0:t>
        </ns0:is>
      </ns0:c>
      <ns0:c r="O24" s="6" t="inlineStr">
        <ns0:is>
          <ns0:t>https://dokdo.mofa.go.kr/kor/introduce/location.jsp</ns0:t>
        </ns0:is>
      </ns0:c>
      <ns0:c r="P24" s="3">
        <ns0:f>LEN(E24)+MAX(LEN(F24),LEN(G24),LEN(H24))</ns0:f>
        <ns0:v>22</ns0:v>
      </ns0:c>
      <ns0:c r="Q24" s="7" t="inlineStr">
        <ns0:is>
          <ns0:t>출처 기반 자체 검토 / 독립 승인 전</ns0:t>
        </ns0:is>
      </ns0:c>
    </ns0:row>
    <ns0:row r="25" ht="98" customHeight="1">
      <ns0:c r="A25" s="4" t="n">
        <ns0:v>910024</ns0:v>
      </ns0:c>
      <ns0:c r="B25" s="4" t="n">
        <ns0:v>2</ns0:v>
      </ns0:c>
      <ns0:c r="C25" s="4" t="inlineStr">
        <ns0:is>
          <ns0:t>dk-heights</ns0:t>
        </ns0:is>
      </ns0:c>
      <ns0:c r="D25" s="4" t="n">
        <ns0:v>4</ns0:v>
      </ns0:c>
      <ns0:c r="E25" s="8" t="inlineStr">
        <ns0:is>
          <ns0:t>사진 속 동도가 더 커 보일 때 옳은 판단은?</ns0:t>
        </ns0:is>
      </ns0:c>
      <ns0:c r="F25" s="8" t="inlineStr">
        <ns0:is>
          <ns0:t>사진 크기만으로 동도가 더 높다고 한다</ns0:t>
        </ns0:is>
      </ns0:c>
      <ns0:c r="G25" s="8" t="inlineStr">
        <ns0:is>
          <ns0:t>사진마다 실제 표고가 달라진다고 한다</ns0:t>
        </ns0:is>
      </ns0:c>
      <ns0:c r="H25" s="8" t="inlineStr">
        <ns0:is>
          <ns0:t>원근과 실제 높이 자료를 함께 살핀다</ns0:t>
        </ns0:is>
      </ns0:c>
      <ns0:c r="I25" s="8" t="n">
        <ns0:v>3</ns0:v>
      </ns0:c>
      <ns0:c r="J25" s="8" t="inlineStr">
        <ns0:is>
          <ns0:t>서도의 최고 높이는 168.5m, 동도는 98.6m예요. 서도가 더 높아요.</ns0:t>
        </ns0:is>
      </ns0:c>
      <ns0:c r="K25" s="8" t="inlineStr">
        <ns0:is>
          <ns0:t>고른 보기 ‘사진 크기만으로 동도가 더 높다고 한다’와 달라요. 이 문항의 정답은 ‘원근과 실제 높이 자료를 함께 살핀다’입니다. 서도의 최고 높이는 168.5m, 동도는 98.6m예요. 서도가 더 높아요.</ns0:t>
        </ns0:is>
      </ns0:c>
      <ns0:c r="L25" s="8" t="inlineStr">
        <ns0:is>
          <ns0:t>고른 보기 ‘사진마다 실제 표고가 달라진다고 한다’와 달라요. 이 문항의 정답은 ‘원근과 실제 높이 자료를 함께 살핀다’입니다. 서도의 최고 높이는 168.5m, 동도는 98.6m예요. 서도가 더 높아요.</ns0:t>
        </ns0:is>
      </ns0:c>
      <ns0:c r="M25" s="8" t="inlineStr">
        <ns0:is>
          <ns0:t>서도의 최고 높이는 168.5m, 동도는 98.6m예요. 서도가 더 높아요.</ns0:t>
        </ns0:is>
      </ns0:c>
      <ns0:c r="N25" s="8" t="inlineStr">
        <ns0:is>
          <ns0:t>높이 자료: 서도 168.5m / 동도 98.6m. 두 값 모두 해수면을 기준으로 한 높이입니다.</ns0:t>
        </ns0:is>
      </ns0:c>
      <ns0:c r="O25" s="8" t="inlineStr">
        <ns0:is>
          <ns0:t>https://dokdo.mofa.go.kr/kor/introduce/location.jsp</ns0:t>
        </ns0:is>
      </ns0:c>
      <ns0:c r="P25" s="5">
        <ns0:f>LEN(E25)+MAX(LEN(F25),LEN(G25),LEN(H25))</ns0:f>
        <ns0:v>46</ns0:v>
      </ns0:c>
      <ns0:c r="Q25" s="9" t="inlineStr">
        <ns0:is>
          <ns0:t>출처 기반 자체 검토 / 독립 승인 전</ns0:t>
        </ns0:is>
      </ns0:c>
    </ns0:row>
    <ns0:row r="26" ht="98" customHeight="1">
      <ns0:c r="A26" s="2" t="n">
        <ns0:v>910025</ns0:v>
      </ns0:c>
      <ns0:c r="B26" s="2" t="n">
        <ns0:v>2</ns0:v>
      </ns0:c>
      <ns0:c r="C26" s="2" t="inlineStr">
        <ns0:is>
          <ns0:t>dk-area</ns0:t>
        </ns0:is>
      </ns0:c>
      <ns0:c r="D26" s="2" t="n">
        <ns0:v>1</ns0:v>
      </ns0:c>
      <ns0:c r="E26" s="6" t="inlineStr">
        <ns0:is>
          <ns0:t>땅의 넓이가 더 넓은 큰 섬은?</ns0:t>
        </ns0:is>
      </ns0:c>
      <ns0:c r="F26" s="6" t="inlineStr">
        <ns0:is>
          <ns0:t>두 섬이 같아요</ns0:t>
        </ns0:is>
      </ns0:c>
      <ns0:c r="G26" s="6" t="inlineStr">
        <ns0:is>
          <ns0:t>서도</ns0:t>
        </ns0:is>
      </ns0:c>
      <ns0:c r="H26" s="6" t="inlineStr">
        <ns0:is>
          <ns0:t>동도</ns0:t>
        </ns0:is>
      </ns0:c>
      <ns0:c r="I26" s="6" t="n">
        <ns0:v>2</ns0:v>
      </ns0:c>
      <ns0:c r="J26" s="6" t="inlineStr">
        <ns0:is>
          <ns0:t>서도는 동도보다 땅의 넓이도 넓어요. 높이와 면적은 서로 다른 값이에요.</ns0:t>
        </ns0:is>
      </ns0:c>
      <ns0:c r="K26" s="6" t="inlineStr">
        <ns0:is>
          <ns0:t>고른 보기 ‘두 섬이 같아요’와 달라요. 이 문항의 정답은 ‘서도’입니다. 서도는 동도보다 땅의 넓이도 넓어요. 높이와 면적은 서로 다른 값이에요.</ns0:t>
        </ns0:is>
      </ns0:c>
      <ns0:c r="L26" s="6" t="inlineStr">
        <ns0:is>
          <ns0:t>서도는 동도보다 땅의 넓이도 넓어요. 높이와 면적은 서로 다른 값이에요.</ns0:t>
        </ns0:is>
      </ns0:c>
      <ns0:c r="M26" s="6" t="inlineStr">
        <ns0:is>
          <ns0:t>고른 보기 ‘동도’와 달라요. 이 문항의 정답은 ‘서도’입니다. 서도는 동도보다 땅의 넓이도 넓어요. 높이와 면적은 서로 다른 값이에요.</ns0:t>
        </ns0:is>
      </ns0:c>
      <ns0:c r="N26" s="6" t="inlineStr"/>
      <ns0:c r="O26" s="6" t="inlineStr">
        <ns0:is>
          <ns0:t>https://dokdo.mofa.go.kr/kor/introduce/location.jsp</ns0:t>
        </ns0:is>
      </ns0:c>
      <ns0:c r="P26" s="3">
        <ns0:f>LEN(E26)+MAX(LEN(F26),LEN(G26),LEN(H26))</ns0:f>
        <ns0:v>25</ns0:v>
      </ns0:c>
      <ns0:c r="Q26" s="7" t="inlineStr">
        <ns0:is>
          <ns0:t>출처 기반 자체 검토 / 독립 승인 전</ns0:t>
        </ns0:is>
      </ns0:c>
    </ns0:row>
    <ns0:row r="27" ht="98" customHeight="1">
      <ns0:c r="A27" s="4" t="n">
        <ns0:v>910026</ns0:v>
      </ns0:c>
      <ns0:c r="B27" s="4" t="n">
        <ns0:v>2</ns0:v>
      </ns0:c>
      <ns0:c r="C27" s="4" t="inlineStr">
        <ns0:is>
          <ns0:t>dk-area</ns0:t>
        </ns0:is>
      </ns0:c>
      <ns0:c r="D27" s="4" t="n">
        <ns0:v>2</ns0:v>
      </ns0:c>
      <ns0:c r="E27" s="8" t="inlineStr">
        <ns0:is>
          <ns0:t>‘서도가 더 넓다’는 무엇을 비교한 말인가요?</ns0:t>
        </ns0:is>
      </ns0:c>
      <ns0:c r="F27" s="8" t="inlineStr">
        <ns0:is>
          <ns0:t>땅의 넓이</ns0:t>
        </ns0:is>
      </ns0:c>
      <ns0:c r="G27" s="8" t="inlineStr">
        <ns0:is>
          <ns0:t>바다의 깊이</ns0:t>
        </ns0:is>
      </ns0:c>
      <ns0:c r="H27" s="8" t="inlineStr">
        <ns0:is>
          <ns0:t>등대의 높이</ns0:t>
        </ns0:is>
      </ns0:c>
      <ns0:c r="I27" s="8" t="n">
        <ns0:v>1</ns0:v>
      </ns0:c>
      <ns0:c r="J27" s="8" t="inlineStr">
        <ns0:is>
          <ns0:t>서도는 동도보다 땅의 넓이도 넓어요. 높이와 면적은 서로 다른 값이에요.</ns0:t>
        </ns0:is>
      </ns0:c>
      <ns0:c r="K27" s="8" t="inlineStr">
        <ns0:is>
          <ns0:t>서도는 동도보다 땅의 넓이도 넓어요. 높이와 면적은 서로 다른 값이에요.</ns0:t>
        </ns0:is>
      </ns0:c>
      <ns0:c r="L27" s="8" t="inlineStr">
        <ns0:is>
          <ns0:t>고른 보기 ‘바다의 깊이’와 달라요. 이 문항의 정답은 ‘땅의 넓이’입니다. 서도는 동도보다 땅의 넓이도 넓어요. 높이와 면적은 서로 다른 값이에요.</ns0:t>
        </ns0:is>
      </ns0:c>
      <ns0:c r="M27" s="8" t="inlineStr">
        <ns0:is>
          <ns0:t>고른 보기 ‘등대의 높이’와 달라요. 이 문항의 정답은 ‘땅의 넓이’입니다. 서도는 동도보다 땅의 넓이도 넓어요. 높이와 면적은 서로 다른 값이에요.</ns0:t>
        </ns0:is>
      </ns0:c>
      <ns0:c r="N27" s="8" t="inlineStr"/>
      <ns0:c r="O27" s="8" t="inlineStr">
        <ns0:is>
          <ns0:t>https://dokdo.mofa.go.kr/kor/introduce/location.jsp</ns0:t>
        </ns0:is>
      </ns0:c>
      <ns0:c r="P27" s="5">
        <ns0:f>LEN(E27)+MAX(LEN(F27),LEN(G27),LEN(H27))</ns0:f>
        <ns0:v>31</ns0:v>
      </ns0:c>
      <ns0:c r="Q27" s="9" t="inlineStr">
        <ns0:is>
          <ns0:t>출처 기반 자체 검토 / 독립 승인 전</ns0:t>
        </ns0:is>
      </ns0:c>
    </ns0:row>
    <ns0:row r="28" ht="98" customHeight="1">
      <ns0:c r="A28" s="2" t="n">
        <ns0:v>910027</ns0:v>
      </ns0:c>
      <ns0:c r="B28" s="2" t="n">
        <ns0:v>2</ns0:v>
      </ns0:c>
      <ns0:c r="C28" s="2" t="inlineStr">
        <ns0:is>
          <ns0:t>dk-area</ns0:t>
        </ns0:is>
      </ns0:c>
      <ns0:c r="D28" s="2" t="n">
        <ns0:v>3</ns0:v>
      </ns0:c>
      <ns0:c r="E28" s="6" t="inlineStr">
        <ns0:is>
          <ns0:t>두 섬의 면적을 비교할 때 사용할 값은?</ns0:t>
        </ns0:is>
      </ns0:c>
      <ns0:c r="F28" s="6" t="inlineStr">
        <ns0:is>
          <ns0:t>168.5m와 98.6m</ns0:t>
        </ns0:is>
      </ns0:c>
      <ns0:c r="G28" s="6" t="inlineStr">
        <ns0:is>
          <ns0:t>87.4km와 151m</ns0:t>
        </ns0:is>
      </ns0:c>
      <ns0:c r="H28" s="6" t="inlineStr">
        <ns0:is>
          <ns0:t>88,740㎡와 73,297㎡</ns0:t>
        </ns0:is>
      </ns0:c>
      <ns0:c r="I28" s="6" t="n">
        <ns0:v>3</ns0:v>
      </ns0:c>
      <ns0:c r="J28" s="6" t="inlineStr">
        <ns0:is>
          <ns0:t>서도는 동도보다 땅의 넓이도 넓어요. 높이와 면적은 서로 다른 값이에요.</ns0:t>
        </ns0:is>
      </ns0:c>
      <ns0:c r="K28" s="6" t="inlineStr">
        <ns0:is>
          <ns0:t>고른 보기 ‘168.5m와 98.6m’와 달라요. 이 문항의 정답은 ‘88,740㎡와 73,297㎡’입니다. 서도는 동도보다 땅의 넓이도 넓어요. 높이와 면적은 서로 다른 값이에요.</ns0:t>
        </ns0:is>
      </ns0:c>
      <ns0:c r="L28" s="6" t="inlineStr">
        <ns0:is>
          <ns0:t>고른 보기 ‘87.4km와 151m’와 달라요. 이 문항의 정답은 ‘88,740㎡와 73,297㎡’입니다. 서도는 동도보다 땅의 넓이도 넓어요. 높이와 면적은 서로 다른 값이에요.</ns0:t>
        </ns0:is>
      </ns0:c>
      <ns0:c r="M28" s="6" t="inlineStr">
        <ns0:is>
          <ns0:t>서도는 동도보다 땅의 넓이도 넓어요. 높이와 면적은 서로 다른 값이에요.</ns0:t>
        </ns0:is>
      </ns0:c>
      <ns0:c r="N28" s="6" t="inlineStr">
        <ns0:is>
          <ns0:t>서도 면적 88,740㎡, 동도 면적 73,297㎡. 높이는 m, 면적은 ㎡로 표시합니다.</ns0:t>
        </ns0:is>
      </ns0:c>
      <ns0:c r="O28" s="6" t="inlineStr">
        <ns0:is>
          <ns0:t>https://dokdo.mofa.go.kr/kor/introduce/location.jsp</ns0:t>
        </ns0:is>
      </ns0:c>
      <ns0:c r="P28" s="3">
        <ns0:f>LEN(E28)+MAX(LEN(F28),LEN(G28),LEN(H28))</ns0:f>
        <ns0:v>38</ns0:v>
      </ns0:c>
      <ns0:c r="Q28" s="7" t="inlineStr">
        <ns0:is>
          <ns0:t>출처 기반 자체 검토 / 독립 승인 전</ns0:t>
        </ns0:is>
      </ns0:c>
    </ns0:row>
    <ns0:row r="29" ht="98" customHeight="1">
      <ns0:c r="A29" s="4" t="n">
        <ns0:v>910028</ns0:v>
      </ns0:c>
      <ns0:c r="B29" s="4" t="n">
        <ns0:v>2</ns0:v>
      </ns0:c>
      <ns0:c r="C29" s="4" t="inlineStr">
        <ns0:is>
          <ns0:t>dk-area</ns0:t>
        </ns0:is>
      </ns0:c>
      <ns0:c r="D29" s="4" t="n">
        <ns0:v>4</ns0:v>
      </ns0:c>
      <ns0:c r="E29" s="8" t="inlineStr">
        <ns0:is>
          <ns0:t>‘서도는 높으니 반드시 넓다’라는 설명은?</ns0:t>
        </ns0:is>
      </ns0:c>
      <ns0:c r="F29" s="8" t="inlineStr">
        <ns0:is>
          <ns0:t>높은 섬은 언제나 면적이 작다</ns0:t>
        </ns0:is>
      </ns0:c>
      <ns0:c r="G29" s="8" t="inlineStr">
        <ns0:is>
          <ns0:t>면적은 별도의 면적 자료로 확인해야 한다</ns0:t>
        </ns0:is>
      </ns0:c>
      <ns0:c r="H29" s="8" t="inlineStr">
        <ns0:is>
          <ns0:t>높이를 더하면 면적이 되므로 옳다</ns0:t>
        </ns0:is>
      </ns0:c>
      <ns0:c r="I29" s="8" t="n">
        <ns0:v>2</ns0:v>
      </ns0:c>
      <ns0:c r="J29" s="8" t="inlineStr">
        <ns0:is>
          <ns0:t>서도는 동도보다 땅의 넓이도 넓어요. 높이와 면적은 서로 다른 값이에요. 이번 경우 두 값 모두 서도가 크지만, 높이만으로 면적을 증명할 수는 없습니다.</ns0:t>
        </ns0:is>
      </ns0:c>
      <ns0:c r="K29" s="8" t="inlineStr">
        <ns0:is>
          <ns0:t>고른 보기 ‘높은 섬은 언제나 면적이 작다’와 달라요. 이 문항의 정답은 ‘면적은 별도의 면적 자료로 확인해야 한다’입니다. 서도는 동도보다 땅의 넓이도 넓어요. 높이와 면적은 서로 다른 값이에요. 이번 경우 두 값 모두 서도가 크지만, 높이만으로 면적을 증명할 수는 없습니다.</ns0:t>
        </ns0:is>
      </ns0:c>
      <ns0:c r="L29" s="8" t="inlineStr">
        <ns0:is>
          <ns0:t>서도는 동도보다 땅의 넓이도 넓어요. 높이와 면적은 서로 다른 값이에요. 이번 경우 두 값 모두 서도가 크지만, 높이만으로 면적을 증명할 수는 없습니다.</ns0:t>
        </ns0:is>
      </ns0:c>
      <ns0:c r="M29" s="8" t="inlineStr">
        <ns0:is>
          <ns0:t>고른 보기 ‘높이를 더하면 면적이 되므로 옳다’와 달라요. 이 문항의 정답은 ‘면적은 별도의 면적 자료로 확인해야 한다’입니다. 서도는 동도보다 땅의 넓이도 넓어요. 높이와 면적은 서로 다른 값이에요. 이번 경우 두 값 모두 서도가 크지만, 높이만으로 면적을 증명할 수는 없습니다.</ns0:t>
        </ns0:is>
      </ns0:c>
      <ns0:c r="N29" s="8" t="inlineStr">
        <ns0:is>
          <ns0:t>서도 면적 88,740㎡, 동도 면적 73,297㎡. 높이는 m, 면적은 ㎡로 표시합니다.</ns0:t>
        </ns0:is>
      </ns0:c>
      <ns0:c r="O29" s="8" t="inlineStr">
        <ns0:is>
          <ns0:t>https://dokdo.mofa.go.kr/kor/introduce/location.jsp</ns0:t>
        </ns0:is>
      </ns0:c>
      <ns0:c r="P29" s="5">
        <ns0:f>LEN(E29)+MAX(LEN(F29),LEN(G29),LEN(H29))</ns0:f>
        <ns0:v>45</ns0:v>
      </ns0:c>
      <ns0:c r="Q29" s="9" t="inlineStr">
        <ns0:is>
          <ns0:t>출처 기반 자체 검토 / 독립 승인 전</ns0:t>
        </ns0:is>
      </ns0:c>
    </ns0:row>
    <ns0:row r="30" ht="98" customHeight="1">
      <ns0:c r="A30" s="2" t="n">
        <ns0:v>910029</ns0:v>
      </ns0:c>
      <ns0:c r="B30" s="2" t="n">
        <ns0:v>2</ns0:v>
      </ns0:c>
      <ns0:c r="C30" s="2" t="inlineStr">
        <ns0:is>
          <ns0:t>dk-shore-gap</ns0:t>
        </ns0:is>
      </ns0:c>
      <ns0:c r="D30" s="2" t="n">
        <ns0:v>1</ns0:v>
      </ns0:c>
      <ns0:c r="E30" s="6" t="inlineStr">
        <ns0:is>
          <ns0:t>동도와 서도 사이를 채우는 것은?</ns0:t>
        </ns0:is>
      </ns0:c>
      <ns0:c r="F30" s="6" t="inlineStr">
        <ns0:is>
          <ns0:t>바닷물</ns0:t>
        </ns0:is>
      </ns0:c>
      <ns0:c r="G30" s="6" t="inlineStr">
        <ns0:is>
          <ns0:t>두 섬을 잇는 육지</ns0:t>
        </ns0:is>
      </ns0:c>
      <ns0:c r="H30" s="6" t="inlineStr">
        <ns0:is>
          <ns0:t>울릉도의 산</ns0:t>
        </ns0:is>
      </ns0:c>
      <ns0:c r="I30" s="6" t="n">
        <ns0:v>1</ns0:v>
      </ns0:c>
      <ns0:c r="J30" s="6" t="inlineStr">
        <ns0:is>
          <ns0:t>동도와 서도는 바다로 떨어져 있어요. 가장 가까운 해안 사이 거리는 약 151m예요.</ns0:t>
        </ns0:is>
      </ns0:c>
      <ns0:c r="K30" s="6" t="inlineStr">
        <ns0:is>
          <ns0:t>동도와 서도는 바다로 떨어져 있어요. 가장 가까운 해안 사이 거리는 약 151m예요.</ns0:t>
        </ns0:is>
      </ns0:c>
      <ns0:c r="L30" s="6" t="inlineStr">
        <ns0:is>
          <ns0:t>고른 보기 ‘두 섬을 잇는 육지’와 달라요. 이 문항의 정답은 ‘바닷물’입니다. 동도와 서도는 바다로 떨어져 있어요. 가장 가까운 해안 사이 거리는 약 151m예요.</ns0:t>
        </ns0:is>
      </ns0:c>
      <ns0:c r="M30" s="6" t="inlineStr">
        <ns0:is>
          <ns0:t>고른 보기 ‘울릉도의 산’와 달라요. 이 문항의 정답은 ‘바닷물’입니다. 동도와 서도는 바다로 떨어져 있어요. 가장 가까운 해안 사이 거리는 약 151m예요.</ns0:t>
        </ns0:is>
      </ns0:c>
      <ns0:c r="N30" s="6" t="inlineStr"/>
      <ns0:c r="O30" s="6" t="inlineStr">
        <ns0:is>
          <ns0:t>https://www.dokdo.re.kr/home/cms/cmsCont.do?cntnts_sn=66</ns0:t>
        </ns0:is>
      </ns0:c>
      <ns0:c r="P30" s="3">
        <ns0:f>LEN(E30)+MAX(LEN(F30),LEN(G30),LEN(H30))</ns0:f>
        <ns0:v>28</ns0:v>
      </ns0:c>
      <ns0:c r="Q30" s="7" t="inlineStr">
        <ns0:is>
          <ns0:t>출처 기반 자체 검토 / 독립 승인 전</ns0:t>
        </ns0:is>
      </ns0:c>
    </ns0:row>
    <ns0:row r="31" ht="98" customHeight="1">
      <ns0:c r="A31" s="4" t="n">
        <ns0:v>910030</ns0:v>
      </ns0:c>
      <ns0:c r="B31" s="4" t="n">
        <ns0:v>2</ns0:v>
      </ns0:c>
      <ns0:c r="C31" s="4" t="inlineStr">
        <ns0:is>
          <ns0:t>dk-shore-gap</ns0:t>
        </ns0:is>
      </ns0:c>
      <ns0:c r="D31" s="4" t="n">
        <ns0:v>2</ns0:v>
      </ns0:c>
      <ns0:c r="E31" s="8" t="inlineStr">
        <ns0:is>
          <ns0:t>151m와 바르게 연결되는 것은?</ns0:t>
        </ns0:is>
      </ns0:c>
      <ns0:c r="F31" s="8" t="inlineStr">
        <ns0:is>
          <ns0:t>서도의 최고 높이</ns0:t>
        </ns0:is>
      </ns0:c>
      <ns0:c r="G31" s="8" t="inlineStr">
        <ns0:is>
          <ns0:t>울릉도에서 독도까지 거리</ns0:t>
        </ns0:is>
      </ns0:c>
      <ns0:c r="H31" s="8" t="inlineStr">
        <ns0:is>
          <ns0:t>가장 가까운 해안 사이 거리</ns0:t>
        </ns0:is>
      </ns0:c>
      <ns0:c r="I31" s="8" t="n">
        <ns0:v>3</ns0:v>
      </ns0:c>
      <ns0:c r="J31" s="8" t="inlineStr">
        <ns0:is>
          <ns0:t>동도와 서도는 바다로 떨어져 있어요. 가장 가까운 해안 사이 거리는 약 151m예요.</ns0:t>
        </ns0:is>
      </ns0:c>
      <ns0:c r="K31" s="8" t="inlineStr">
        <ns0:is>
          <ns0:t>고른 보기 ‘서도의 최고 높이’와 달라요. 이 문항의 정답은 ‘가장 가까운 해안 사이 거리’입니다. 동도와 서도는 바다로 떨어져 있어요. 가장 가까운 해안 사이 거리는 약 151m예요.</ns0:t>
        </ns0:is>
      </ns0:c>
      <ns0:c r="L31" s="8" t="inlineStr">
        <ns0:is>
          <ns0:t>고른 보기 ‘울릉도에서 독도까지 거리’와 달라요. 이 문항의 정답은 ‘가장 가까운 해안 사이 거리’입니다. 동도와 서도는 바다로 떨어져 있어요. 가장 가까운 해안 사이 거리는 약 151m예요.</ns0:t>
        </ns0:is>
      </ns0:c>
      <ns0:c r="M31" s="8" t="inlineStr">
        <ns0:is>
          <ns0:t>동도와 서도는 바다로 떨어져 있어요. 가장 가까운 해안 사이 거리는 약 151m예요.</ns0:t>
        </ns0:is>
      </ns0:c>
      <ns0:c r="N31" s="8" t="inlineStr"/>
      <ns0:c r="O31" s="8" t="inlineStr">
        <ns0:is>
          <ns0:t>https://www.dokdo.re.kr/home/cms/cmsCont.do?cntnts_sn=66</ns0:t>
        </ns0:is>
      </ns0:c>
      <ns0:c r="P31" s="5">
        <ns0:f>LEN(E31)+MAX(LEN(F31),LEN(G31),LEN(H31))</ns0:f>
        <ns0:v>33</ns0:v>
      </ns0:c>
      <ns0:c r="Q31" s="9" t="inlineStr">
        <ns0:is>
          <ns0:t>출처 기반 자체 검토 / 독립 승인 전</ns0:t>
        </ns0:is>
      </ns0:c>
    </ns0:row>
    <ns0:row r="32" ht="98" customHeight="1">
      <ns0:c r="A32" s="2" t="n">
        <ns0:v>910031</ns0:v>
      </ns0:c>
      <ns0:c r="B32" s="2" t="n">
        <ns0:v>2</ns0:v>
      </ns0:c>
      <ns0:c r="C32" s="2" t="inlineStr">
        <ns0:is>
          <ns0:t>dk-shore-gap</ns0:t>
        </ns0:is>
      </ns0:c>
      <ns0:c r="D32" s="2" t="n">
        <ns0:v>3</ns0:v>
      </ns0:c>
      <ns0:c r="E32" s="6" t="inlineStr">
        <ns0:is>
          <ns0:t>151m 선을 그릴 때 맞는 두 끝점은?</ns0:t>
        </ns0:is>
      </ns0:c>
      <ns0:c r="F32" s="6" t="inlineStr">
        <ns0:is>
          <ns0:t>울릉도와 서도의 중심</ns0:t>
        </ns0:is>
      </ns0:c>
      <ns0:c r="G32" s="6" t="inlineStr">
        <ns0:is>
          <ns0:t>두 섬의 가장 가까운 해안 지점</ns0:t>
        </ns0:is>
      </ns0:c>
      <ns0:c r="H32" s="6" t="inlineStr">
        <ns0:is>
          <ns0:t>동도와 서도의 정상</ns0:t>
        </ns0:is>
      </ns0:c>
      <ns0:c r="I32" s="6" t="n">
        <ns0:v>2</ns0:v>
      </ns0:c>
      <ns0:c r="J32" s="6" t="inlineStr">
        <ns0:is>
          <ns0:t>동도와 서도는 바다로 떨어져 있어요. 가장 가까운 해안 사이 거리는 약 151m예요.</ns0:t>
        </ns0:is>
      </ns0:c>
      <ns0:c r="K32" s="6" t="inlineStr">
        <ns0:is>
          <ns0:t>고른 보기 ‘울릉도와 서도의 중심’와 달라요. 이 문항의 정답은 ‘두 섬의 가장 가까운 해안 지점’입니다. 동도와 서도는 바다로 떨어져 있어요. 가장 가까운 해안 사이 거리는 약 151m예요.</ns0:t>
        </ns0:is>
      </ns0:c>
      <ns0:c r="L32" s="6" t="inlineStr">
        <ns0:is>
          <ns0:t>동도와 서도는 바다로 떨어져 있어요. 가장 가까운 해안 사이 거리는 약 151m예요.</ns0:t>
        </ns0:is>
      </ns0:c>
      <ns0:c r="M32" s="6" t="inlineStr">
        <ns0:is>
          <ns0:t>고른 보기 ‘동도와 서도의 정상’와 달라요. 이 문항의 정답은 ‘두 섬의 가장 가까운 해안 지점’입니다. 동도와 서도는 바다로 떨어져 있어요. 가장 가까운 해안 사이 거리는 약 151m예요.</ns0:t>
        </ns0:is>
      </ns0:c>
      <ns0:c r="N32" s="6" t="inlineStr">
        <ns0:is>
          <ns0:t>지형 자료의 151m는 두 섬 사이 해협의 폭을 뜻합니다. 두 정상이나 두 섬 중심 사이의 거리가 아닙니다.</ns0:t>
        </ns0:is>
      </ns0:c>
      <ns0:c r="O32" s="6" t="inlineStr">
        <ns0:is>
          <ns0:t>https://www.dokdo.re.kr/home/cms/cmsCont.do?cntnts_sn=66</ns0:t>
        </ns0:is>
      </ns0:c>
      <ns0:c r="P32" s="3">
        <ns0:f>LEN(E32)+MAX(LEN(F32),LEN(G32),LEN(H32))</ns0:f>
        <ns0:v>39</ns0:v>
      </ns0:c>
      <ns0:c r="Q32" s="7" t="inlineStr">
        <ns0:is>
          <ns0:t>출처 기반 자체 검토 / 독립 승인 전</ns0:t>
        </ns0:is>
      </ns0:c>
    </ns0:row>
    <ns0:row r="33" ht="98" customHeight="1">
      <ns0:c r="A33" s="4" t="n">
        <ns0:v>910032</ns0:v>
      </ns0:c>
      <ns0:c r="B33" s="4" t="n">
        <ns0:v>2</ns0:v>
      </ns0:c>
      <ns0:c r="C33" s="4" t="inlineStr">
        <ns0:is>
          <ns0:t>dk-shore-gap</ns0:t>
        </ns0:is>
      </ns0:c>
      <ns0:c r="D33" s="4" t="n">
        <ns0:v>4</ns0:v>
      </ns0:c>
      <ns0:c r="E33" s="8" t="inlineStr">
        <ns0:is>
          <ns0:t>정상끼리 잇는 선에 151m를 썼다면?</ns0:t>
        </ns0:is>
      </ns0:c>
      <ns0:c r="F33" s="8" t="inlineStr">
        <ns0:is>
          <ns0:t>자료와 측정 끝점이 달라 수정한다</ns0:t>
        </ns0:is>
      </ns0:c>
      <ns0:c r="G33" s="8" t="inlineStr">
        <ns0:is>
          <ns0:t>같은 두 섬이므로 어디든 괜찮다</ns0:t>
        </ns0:is>
      </ns0:c>
      <ns0:c r="H33" s="8" t="inlineStr">
        <ns0:is>
          <ns0:t>151m는 면적이므로 선을 지운다</ns0:t>
        </ns0:is>
      </ns0:c>
      <ns0:c r="I33" s="8" t="n">
        <ns0:v>1</ns0:v>
      </ns0:c>
      <ns0:c r="J33" s="8" t="inlineStr">
        <ns0:is>
          <ns0:t>동도와 서도는 바다로 떨어져 있어요. 가장 가까운 해안 사이 거리는 약 151m예요. 숫자뿐 아니라 무엇과 무엇 사이를 재는지도 맞아야 합니다.</ns0:t>
        </ns0:is>
      </ns0:c>
      <ns0:c r="K33" s="8" t="inlineStr">
        <ns0:is>
          <ns0:t>동도와 서도는 바다로 떨어져 있어요. 가장 가까운 해안 사이 거리는 약 151m예요. 숫자뿐 아니라 무엇과 무엇 사이를 재는지도 맞아야 합니다.</ns0:t>
        </ns0:is>
      </ns0:c>
      <ns0:c r="L33" s="8" t="inlineStr">
        <ns0:is>
          <ns0:t>고른 보기 ‘같은 두 섬이므로 어디든 괜찮다’와 달라요. 이 문항의 정답은 ‘자료와 측정 끝점이 달라 수정한다’입니다. 동도와 서도는 바다로 떨어져 있어요. 가장 가까운 해안 사이 거리는 약 151m예요. 숫자뿐 아니라 무엇과 무엇 사이를 재는지도 맞아야 합니다.</ns0:t>
        </ns0:is>
      </ns0:c>
      <ns0:c r="M33" s="8" t="inlineStr">
        <ns0:is>
          <ns0:t>고른 보기 ‘151m는 면적이므로 선을 지운다’와 달라요. 이 문항의 정답은 ‘자료와 측정 끝점이 달라 수정한다’입니다. 동도와 서도는 바다로 떨어져 있어요. 가장 가까운 해안 사이 거리는 약 151m예요. 숫자뿐 아니라 무엇과 무엇 사이를 재는지도 맞아야 합니다.</ns0:t>
        </ns0:is>
      </ns0:c>
      <ns0:c r="N33" s="8" t="inlineStr">
        <ns0:is>
          <ns0:t>지형 자료의 151m는 두 섬 사이 해협의 폭을 뜻합니다. 두 정상이나 두 섬 중심 사이의 거리가 아닙니다.</ns0:t>
        </ns0:is>
      </ns0:c>
      <ns0:c r="O33" s="8" t="inlineStr">
        <ns0:is>
          <ns0:t>https://www.dokdo.re.kr/home/cms/cmsCont.do?cntnts_sn=66</ns0:t>
        </ns0:is>
      </ns0:c>
      <ns0:c r="P33" s="5">
        <ns0:f>LEN(E33)+MAX(LEN(F33),LEN(G33),LEN(H33))</ns0:f>
        <ns0:v>39</ns0:v>
      </ns0:c>
      <ns0:c r="Q33" s="9" t="inlineStr">
        <ns0:is>
          <ns0:t>출처 기반 자체 검토 / 독립 승인 전</ns0:t>
        </ns0:is>
      </ns0:c>
    </ns0:row>
    <ns0:row r="34" ht="98" customHeight="1">
      <ns0:c r="A34" s="2" t="n">
        <ns0:v>910033</ns0:v>
      </ns0:c>
      <ns0:c r="B34" s="2" t="n">
        <ns0:v>2</ns0:v>
      </ns0:c>
      <ns0:c r="C34" s="2" t="inlineStr">
        <ns0:is>
          <ns0:t>dk-terrain-contrast</ns0:t>
        </ns0:is>
      </ns0:c>
      <ns0:c r="D34" s="2" t="n">
        <ns0:v>1</ns0:v>
      </ns0:c>
      <ns0:c r="E34" s="6" t="inlineStr">
        <ns0:is>
          <ns0:t>가파르게 솟은 모습이 두드러지는 섬은?</ns0:t>
        </ns0:is>
      </ns0:c>
      <ns0:c r="F34" s="6" t="inlineStr">
        <ns0:is>
          <ns0:t>동도</ns0:t>
        </ns0:is>
      </ns0:c>
      <ns0:c r="G34" s="6" t="inlineStr">
        <ns0:is>
          <ns0:t>두 섬 모두 평평해요</ns0:t>
        </ns0:is>
      </ns0:c>
      <ns0:c r="H34" s="6" t="inlineStr">
        <ns0:is>
          <ns0:t>서도</ns0:t>
        </ns0:is>
      </ns0:c>
      <ns0:c r="I34" s="6" t="n">
        <ns0:v>3</ns0:v>
      </ns0:c>
      <ns0:c r="J34" s="6" t="inlineStr">
        <ns0:is>
          <ns0:t>서도는 가파르게 솟은 모습이고, 동도는 정상 부근에 비교적 완만한 공간이 있어요.</ns0:t>
        </ns0:is>
      </ns0:c>
      <ns0:c r="K34" s="6" t="inlineStr">
        <ns0:is>
          <ns0:t>고른 보기 ‘동도’와 달라요. 이 문항의 정답은 ‘서도’입니다. 서도는 가파르게 솟은 모습이고, 동도는 정상 부근에 비교적 완만한 공간이 있어요.</ns0:t>
        </ns0:is>
      </ns0:c>
      <ns0:c r="L34" s="6" t="inlineStr">
        <ns0:is>
          <ns0:t>고른 보기 ‘두 섬 모두 평평해요’와 달라요. 이 문항의 정답은 ‘서도’입니다. 서도는 가파르게 솟은 모습이고, 동도는 정상 부근에 비교적 완만한 공간이 있어요.</ns0:t>
        </ns0:is>
      </ns0:c>
      <ns0:c r="M34" s="6" t="inlineStr">
        <ns0:is>
          <ns0:t>서도는 가파르게 솟은 모습이고, 동도는 정상 부근에 비교적 완만한 공간이 있어요.</ns0:t>
        </ns0:is>
      </ns0:c>
      <ns0:c r="N34" s="6" t="inlineStr"/>
      <ns0:c r="O34" s="6" t="inlineStr">
        <ns0:is>
          <ns0:t>https://www.heritage.go.kr/heri/cul/culSelectDetail.do?VdkVgwKey=16%2C03360000%2C37&amp;pageNo=1_1_2_0
https://www.jbe.go.kr/dokdo/assets/sub/picture.html</ns0:t>
        </ns0:is>
      </ns0:c>
      <ns0:c r="P34" s="3">
        <ns0:f>LEN(E34)+MAX(LEN(F34),LEN(G34),LEN(H34))</ns0:f>
        <ns0:v>32</ns0:v>
      </ns0:c>
      <ns0:c r="Q34" s="7" t="inlineStr">
        <ns0:is>
          <ns0:t>출처 기반 자체 검토 / 독립 승인 전</ns0:t>
        </ns0:is>
      </ns0:c>
    </ns0:row>
    <ns0:row r="35" ht="98" customHeight="1">
      <ns0:c r="A35" s="4" t="n">
        <ns0:v>910034</ns0:v>
      </ns0:c>
      <ns0:c r="B35" s="4" t="n">
        <ns0:v>2</ns0:v>
      </ns0:c>
      <ns0:c r="C35" s="4" t="inlineStr">
        <ns0:is>
          <ns0:t>dk-terrain-contrast</ns0:t>
        </ns0:is>
      </ns0:c>
      <ns0:c r="D35" s="4" t="n">
        <ns0:v>2</ns0:v>
      </ns0:c>
      <ns0:c r="E35" s="8" t="inlineStr">
        <ns0:is>
          <ns0:t>동도 정상 부근과 연결되는 모습은?</ns0:t>
        </ns0:is>
      </ns0:c>
      <ns0:c r="F35" s="8" t="inlineStr">
        <ns0:is>
          <ns0:t>섬 전체가 모래평지</ns0:t>
        </ns0:is>
      </ns0:c>
      <ns0:c r="G35" s="8" t="inlineStr">
        <ns0:is>
          <ns0:t>비교적 완만한 공간</ns0:t>
        </ns0:is>
      </ns0:c>
      <ns0:c r="H35" s="8" t="inlineStr">
        <ns0:is>
          <ns0:t>서도보다 높은 뾰족봉만</ns0:t>
        </ns0:is>
      </ns0:c>
      <ns0:c r="I35" s="8" t="n">
        <ns0:v>2</ns0:v>
      </ns0:c>
      <ns0:c r="J35" s="8" t="inlineStr">
        <ns0:is>
          <ns0:t>서도는 가파르게 솟은 모습이고, 동도는 정상 부근에 비교적 완만한 공간이 있어요.</ns0:t>
        </ns0:is>
      </ns0:c>
      <ns0:c r="K35" s="8" t="inlineStr">
        <ns0:is>
          <ns0:t>고른 보기 ‘섬 전체가 모래평지’와 달라요. 이 문항의 정답은 ‘비교적 완만한 공간’입니다. 서도는 가파르게 솟은 모습이고, 동도는 정상 부근에 비교적 완만한 공간이 있어요.</ns0:t>
        </ns0:is>
      </ns0:c>
      <ns0:c r="L35" s="8" t="inlineStr">
        <ns0:is>
          <ns0:t>서도는 가파르게 솟은 모습이고, 동도는 정상 부근에 비교적 완만한 공간이 있어요.</ns0:t>
        </ns0:is>
      </ns0:c>
      <ns0:c r="M35" s="8" t="inlineStr">
        <ns0:is>
          <ns0:t>고른 보기 ‘서도보다 높은 뾰족봉만’와 달라요. 이 문항의 정답은 ‘비교적 완만한 공간’입니다. 서도는 가파르게 솟은 모습이고, 동도는 정상 부근에 비교적 완만한 공간이 있어요.</ns0:t>
        </ns0:is>
      </ns0:c>
      <ns0:c r="N35" s="8" t="inlineStr"/>
      <ns0:c r="O35" s="8" t="inlineStr">
        <ns0:is>
          <ns0:t>https://www.heritage.go.kr/heri/cul/culSelectDetail.do?VdkVgwKey=16%2C03360000%2C37&amp;pageNo=1_1_2_0
https://www.jbe.go.kr/dokdo/assets/sub/picture.html</ns0:t>
        </ns0:is>
      </ns0:c>
      <ns0:c r="P35" s="5">
        <ns0:f>LEN(E35)+MAX(LEN(F35),LEN(G35),LEN(H35))</ns0:f>
        <ns0:v>31</ns0:v>
      </ns0:c>
      <ns0:c r="Q35" s="9" t="inlineStr">
        <ns0:is>
          <ns0:t>출처 기반 자체 검토 / 독립 승인 전</ns0:t>
        </ns0:is>
      </ns0:c>
    </ns0:row>
    <ns0:row r="36" ht="98" customHeight="1">
      <ns0:c r="A36" s="2" t="n">
        <ns0:v>910035</ns0:v>
      </ns0:c>
      <ns0:c r="B36" s="2" t="n">
        <ns0:v>2</ns0:v>
      </ns0:c>
      <ns0:c r="C36" s="2" t="inlineStr">
        <ns0:is>
          <ns0:t>dk-terrain-contrast</ns0:t>
        </ns0:is>
      </ns0:c>
      <ns0:c r="D36" s="2" t="n">
        <ns0:v>3</ns0:v>
      </ns0:c>
      <ns0:c r="E36" s="6" t="inlineStr">
        <ns0:is>
          <ns0:t>자료에 맞는 두 섬의 비교는?</ns0:t>
        </ns0:is>
      </ns0:c>
      <ns0:c r="F36" s="6" t="inlineStr">
        <ns0:is>
          <ns0:t>서도는 가파르고 동도 상부는 비교적 완만하다</ns0:t>
        </ns0:is>
      </ns0:c>
      <ns0:c r="G36" s="6" t="inlineStr">
        <ns0:is>
          <ns0:t>동도는 서도보다 높고 더 뾰족하다</ns0:t>
        </ns0:is>
      </ns0:c>
      <ns0:c r="H36" s="6" t="inlineStr">
        <ns0:is>
          <ns0:t>두 섬은 같은 형태와 높이를 가진다</ns0:t>
        </ns0:is>
      </ns0:c>
      <ns0:c r="I36" s="6" t="n">
        <ns0:v>1</ns0:v>
      </ns0:c>
      <ns0:c r="J36" s="6" t="inlineStr">
        <ns0:is>
          <ns0:t>서도는 가파르게 솟은 모습이고, 동도는 정상 부근에 비교적 완만한 공간이 있어요.</ns0:t>
        </ns0:is>
      </ns0:c>
      <ns0:c r="K36" s="6" t="inlineStr">
        <ns0:is>
          <ns0:t>서도는 가파르게 솟은 모습이고, 동도는 정상 부근에 비교적 완만한 공간이 있어요.</ns0:t>
        </ns0:is>
      </ns0:c>
      <ns0:c r="L36" s="6" t="inlineStr">
        <ns0:is>
          <ns0:t>고른 보기 ‘동도는 서도보다 높고 더 뾰족하다’와 달라요. 이 문항의 정답은 ‘서도는 가파르고 동도 상부는 비교적 완만하다’입니다. 서도는 가파르게 솟은 모습이고, 동도는 정상 부근에 비교적 완만한 공간이 있어요.</ns0:t>
        </ns0:is>
      </ns0:c>
      <ns0:c r="M36" s="6" t="inlineStr">
        <ns0:is>
          <ns0:t>고른 보기 ‘두 섬은 같은 형태와 높이를 가진다’와 달라요. 이 문항의 정답은 ‘서도는 가파르고 동도 상부는 비교적 완만하다’입니다. 서도는 가파르게 솟은 모습이고, 동도는 정상 부근에 비교적 완만한 공간이 있어요.</ns0:t>
        </ns0:is>
      </ns0:c>
      <ns0:c r="N36" s="6" t="inlineStr">
        <ns0:is>
          <ns0:t>국가유산 설명과 항공사진을 함께 보면 서도의 가파른 형태와 동도의 비교적 평탄한 정상 부근을 구분할 수 있습니다. 동도도 해안 절벽과 능선이 있습니다.</ns0:t>
        </ns0:is>
      </ns0:c>
      <ns0:c r="O36" s="6" t="inlineStr">
        <ns0:is>
          <ns0:t>https://www.heritage.go.kr/heri/cul/culSelectDetail.do?VdkVgwKey=16%2C03360000%2C37&amp;pageNo=1_1_2_0
https://www.jbe.go.kr/dokdo/assets/sub/picture.html</ns0:t>
        </ns0:is>
      </ns0:c>
      <ns0:c r="P36" s="3">
        <ns0:f>LEN(E36)+MAX(LEN(F36),LEN(G36),LEN(H36))</ns0:f>
        <ns0:v>40</ns0:v>
      </ns0:c>
      <ns0:c r="Q36" s="7" t="inlineStr">
        <ns0:is>
          <ns0:t>출처 기반 자체 검토 / 독립 승인 전</ns0:t>
        </ns0:is>
      </ns0:c>
    </ns0:row>
    <ns0:row r="37" ht="98" customHeight="1">
      <ns0:c r="A37" s="4" t="n">
        <ns0:v>910036</ns0:v>
      </ns0:c>
      <ns0:c r="B37" s="4" t="n">
        <ns0:v>2</ns0:v>
      </ns0:c>
      <ns0:c r="C37" s="4" t="inlineStr">
        <ns0:is>
          <ns0:t>dk-terrain-contrast</ns0:t>
        </ns0:is>
      </ns0:c>
      <ns0:c r="D37" s="4" t="n">
        <ns0:v>4</ns0:v>
      </ns0:c>
      <ns0:c r="E37" s="8" t="inlineStr">
        <ns0:is>
          <ns0:t>동도를 완전히 평평한 판으로 그리면?</ns0:t>
        </ns0:is>
      </ns0:c>
      <ns0:c r="F37" s="8" t="inlineStr">
        <ns0:is>
          <ns0:t>시설이 있으므로 평평한 판이 정확하다</ns0:t>
        </ns0:is>
      </ns0:c>
      <ns0:c r="G37" s="8" t="inlineStr">
        <ns0:is>
          <ns0:t>서도보다 낮으면 절벽도 없어야 한다</ns0:t>
        </ns0:is>
      </ns0:c>
      <ns0:c r="H37" s="8" t="inlineStr">
        <ns0:is>
          <ns0:t>상부의 상대적 특징을 섬 전체로 확대했다</ns0:t>
        </ns0:is>
      </ns0:c>
      <ns0:c r="I37" s="8" t="n">
        <ns0:v>3</ns0:v>
      </ns0:c>
      <ns0:c r="J37" s="8" t="inlineStr">
        <ns0:is>
          <ns0:t>서도는 가파르게 솟은 모습이고, 동도는 정상 부근에 비교적 완만한 공간이 있어요.</ns0:t>
        </ns0:is>
      </ns0:c>
      <ns0:c r="K37" s="8" t="inlineStr">
        <ns0:is>
          <ns0:t>고른 보기 ‘시설이 있으므로 평평한 판이 정확하다’와 달라요. 이 문항의 정답은 ‘상부의 상대적 특징을 섬 전체로 확대했다’입니다. 서도는 가파르게 솟은 모습이고, 동도는 정상 부근에 비교적 완만한 공간이 있어요.</ns0:t>
        </ns0:is>
      </ns0:c>
      <ns0:c r="L37" s="8" t="inlineStr">
        <ns0:is>
          <ns0:t>고른 보기 ‘서도보다 낮으면 절벽도 없어야 한다’와 달라요. 이 문항의 정답은 ‘상부의 상대적 특징을 섬 전체로 확대했다’입니다. 서도는 가파르게 솟은 모습이고, 동도는 정상 부근에 비교적 완만한 공간이 있어요.</ns0:t>
        </ns0:is>
      </ns0:c>
      <ns0:c r="M37" s="8" t="inlineStr">
        <ns0:is>
          <ns0:t>서도는 가파르게 솟은 모습이고, 동도는 정상 부근에 비교적 완만한 공간이 있어요.</ns0:t>
        </ns0:is>
      </ns0:c>
      <ns0:c r="N37" s="8" t="inlineStr">
        <ns0:is>
          <ns0:t>국가유산 설명과 항공사진을 함께 보면 서도의 가파른 형태와 동도의 비교적 평탄한 정상 부근을 구분할 수 있습니다. 동도도 해안 절벽과 능선이 있습니다.</ns0:t>
        </ns0:is>
      </ns0:c>
      <ns0:c r="O37" s="8" t="inlineStr">
        <ns0:is>
          <ns0:t>https://www.heritage.go.kr/heri/cul/culSelectDetail.do?VdkVgwKey=16%2C03360000%2C37&amp;pageNo=1_1_2_0
https://www.jbe.go.kr/dokdo/assets/sub/picture.html</ns0:t>
        </ns0:is>
      </ns0:c>
      <ns0:c r="P37" s="5">
        <ns0:f>LEN(E37)+MAX(LEN(F37),LEN(G37),LEN(H37))</ns0:f>
        <ns0:v>42</ns0:v>
      </ns0:c>
      <ns0:c r="Q37" s="9" t="inlineStr">
        <ns0:is>
          <ns0:t>출처 기반 자체 검토 / 독립 승인 전</ns0:t>
        </ns0:is>
      </ns0:c>
    </ns0:row>
    <ns0:row r="38" ht="98" customHeight="1">
      <ns0:c r="A38" s="2" t="n">
        <ns0:v>910037</ns0:v>
      </ns0:c>
      <ns0:c r="B38" s="2" t="n">
        <ns0:v>2</ns0:v>
      </ns0:c>
      <ns0:c r="C38" s="2" t="inlineStr">
        <ns0:is>
          <ns0:t>dk-above-below</ns0:t>
        </ns0:is>
      </ns0:c>
      <ns0:c r="D38" s="2" t="n">
        <ns0:v>1</ns0:v>
      </ns0:c>
      <ns0:c r="E38" s="6" t="inlineStr">
        <ns0:is>
          <ns0:t>독도의 지형은 바닷속에도 이어질까요?</ns0:t>
        </ns0:is>
      </ns0:c>
      <ns0:c r="F38" s="6" t="inlineStr">
        <ns0:is>
          <ns0:t>배가 받치고 있어요</ns0:t>
        </ns0:is>
      </ns0:c>
      <ns0:c r="G38" s="6" t="inlineStr">
        <ns0:is>
          <ns0:t>네, 바닷속에도 이어져요</ns0:t>
        </ns0:is>
      </ns0:c>
      <ns0:c r="H38" s="6" t="inlineStr">
        <ns0:is>
          <ns0:t>아니요, 수면에 떠 있어요</ns0:t>
        </ns0:is>
      </ns0:c>
      <ns0:c r="I38" s="6" t="n">
        <ns0:v>2</ns0:v>
      </ns0:c>
      <ns0:c r="J38" s="6" t="inlineStr">
        <ns0:is>
          <ns0:t>독도는 큰 해저 화산체의 일부가 물 위에 드러난 모습이에요. 바닷속에도 지형이 이어져요.</ns0:t>
        </ns0:is>
      </ns0:c>
      <ns0:c r="K38" s="6" t="inlineStr">
        <ns0:is>
          <ns0:t>고른 보기 ‘배가 받치고 있어요’와 달라요. 이 문항의 정답은 ‘네, 바닷속에도 이어져요’입니다. 독도는 큰 해저 화산체의 일부가 물 위에 드러난 모습이에요. 바닷속에도 지형이 이어져요.</ns0:t>
        </ns0:is>
      </ns0:c>
      <ns0:c r="L38" s="6" t="inlineStr">
        <ns0:is>
          <ns0:t>독도는 큰 해저 화산체의 일부가 물 위에 드러난 모습이에요. 바닷속에도 지형이 이어져요.</ns0:t>
        </ns0:is>
      </ns0:c>
      <ns0:c r="M38" s="6" t="inlineStr">
        <ns0:is>
          <ns0:t>고른 보기 ‘아니요, 수면에 떠 있어요’와 달라요. 이 문항의 정답은 ‘네, 바닷속에도 이어져요’입니다. 독도는 큰 해저 화산체의 일부가 물 위에 드러난 모습이에요. 바닷속에도 지형이 이어져요.</ns0:t>
        </ns0:is>
      </ns0:c>
      <ns0:c r="N38" s="6" t="inlineStr"/>
      <ns0:c r="O38" s="6" t="inlineStr">
        <ns0:is>
          <ns0:t>https://www.dokdo.re.kr/home/cms/cmsCont.do?cntnts_sn=66</ns0:t>
        </ns0:is>
      </ns0:c>
      <ns0:c r="P38" s="3">
        <ns0:f>LEN(E38)+MAX(LEN(F38),LEN(G38),LEN(H38))</ns0:f>
        <ns0:v>34</ns0:v>
      </ns0:c>
      <ns0:c r="Q38" s="7" t="inlineStr">
        <ns0:is>
          <ns0:t>출처 기반 자체 검토 / 독립 승인 전</ns0:t>
        </ns0:is>
      </ns0:c>
    </ns0:row>
    <ns0:row r="39" ht="98" customHeight="1">
      <ns0:c r="A39" s="4" t="n">
        <ns0:v>910038</ns0:v>
      </ns0:c>
      <ns0:c r="B39" s="4" t="n">
        <ns0:v>2</ns0:v>
      </ns0:c>
      <ns0:c r="C39" s="4" t="inlineStr">
        <ns0:is>
          <ns0:t>dk-above-below</ns0:t>
        </ns0:is>
      </ns0:c>
      <ns0:c r="D39" s="4" t="n">
        <ns0:v>2</ns0:v>
      </ns0:c>
      <ns0:c r="E39" s="8" t="inlineStr">
        <ns0:is>
          <ns0:t>독도 화산체 전체를 보려면 어디도 살필까요?</ns0:t>
        </ns0:is>
      </ns0:c>
      <ns0:c r="F39" s="8" t="inlineStr">
        <ns0:is>
          <ns0:t>바닷속 부분</ns0:t>
        </ns0:is>
      </ns0:c>
      <ns0:c r="G39" s="8" t="inlineStr">
        <ns0:is>
          <ns0:t>등대 지붕만</ns0:t>
        </ns0:is>
      </ns0:c>
      <ns0:c r="H39" s="8" t="inlineStr">
        <ns0:is>
          <ns0:t>동도 건물만</ns0:t>
        </ns0:is>
      </ns0:c>
      <ns0:c r="I39" s="8" t="n">
        <ns0:v>1</ns0:v>
      </ns0:c>
      <ns0:c r="J39" s="8" t="inlineStr">
        <ns0:is>
          <ns0:t>독도는 큰 해저 화산체의 일부가 물 위에 드러난 모습이에요. 바닷속에도 지형이 이어져요.</ns0:t>
        </ns0:is>
      </ns0:c>
      <ns0:c r="K39" s="8" t="inlineStr">
        <ns0:is>
          <ns0:t>독도는 큰 해저 화산체의 일부가 물 위에 드러난 모습이에요. 바닷속에도 지형이 이어져요.</ns0:t>
        </ns0:is>
      </ns0:c>
      <ns0:c r="L39" s="8" t="inlineStr">
        <ns0:is>
          <ns0:t>고른 보기 ‘등대 지붕만’와 달라요. 이 문항의 정답은 ‘바닷속 부분’입니다. 독도는 큰 해저 화산체의 일부가 물 위에 드러난 모습이에요. 바닷속에도 지형이 이어져요.</ns0:t>
        </ns0:is>
      </ns0:c>
      <ns0:c r="M39" s="8" t="inlineStr">
        <ns0:is>
          <ns0:t>고른 보기 ‘동도 건물만’와 달라요. 이 문항의 정답은 ‘바닷속 부분’입니다. 독도는 큰 해저 화산체의 일부가 물 위에 드러난 모습이에요. 바닷속에도 지형이 이어져요.</ns0:t>
        </ns0:is>
      </ns0:c>
      <ns0:c r="N39" s="8" t="inlineStr"/>
      <ns0:c r="O39" s="8" t="inlineStr">
        <ns0:is>
          <ns0:t>https://www.dokdo.re.kr/home/cms/cmsCont.do?cntnts_sn=66</ns0:t>
        </ns0:is>
      </ns0:c>
      <ns0:c r="P39" s="5">
        <ns0:f>LEN(E39)+MAX(LEN(F39),LEN(G39),LEN(H39))</ns0:f>
        <ns0:v>30</ns0:v>
      </ns0:c>
      <ns0:c r="Q39" s="9" t="inlineStr">
        <ns0:is>
          <ns0:t>출처 기반 자체 검토 / 독립 승인 전</ns0:t>
        </ns0:is>
      </ns0:c>
    </ns0:row>
    <ns0:row r="40" ht="98" customHeight="1">
      <ns0:c r="A40" s="2" t="n">
        <ns0:v>910039</ns0:v>
      </ns0:c>
      <ns0:c r="B40" s="2" t="n">
        <ns0:v>2</ns0:v>
      </ns0:c>
      <ns0:c r="C40" s="2" t="inlineStr">
        <ns0:is>
          <ns0:t>dk-above-below</ns0:t>
        </ns0:is>
      </ns0:c>
      <ns0:c r="D40" s="2" t="n">
        <ns0:v>3</ns0:v>
      </ns0:c>
      <ns0:c r="E40" s="6" t="inlineStr">
        <ns0:is>
          <ns0:t>168.5m와 약 2,300m가 함께 쓰이는 이유는?</ns0:t>
        </ns0:is>
      </ns0:c>
      <ns0:c r="F40" s="6" t="inlineStr">
        <ns0:is>
          <ns0:t>서도의 높이가 하루마다 크게 달라진다</ns0:t>
        </ns0:is>
      </ns0:c>
      <ns0:c r="G40" s="6" t="inlineStr">
        <ns0:is>
          <ns0:t>두 수치는 모두 땅의 넓이이다</ns0:t>
        </ns0:is>
      </ns0:c>
      <ns0:c r="H40" s="6" t="inlineStr">
        <ns0:is>
          <ns0:t>수면과 해저 기저부라는 기준이 다르다</ns0:t>
        </ns0:is>
      </ns0:c>
      <ns0:c r="I40" s="6" t="n">
        <ns0:v>3</ns0:v>
      </ns0:c>
      <ns0:c r="J40" s="6" t="inlineStr">
        <ns0:is>
          <ns0:t>독도는 큰 해저 화산체의 일부가 물 위에 드러난 모습이에요. 바닷속에도 지형이 이어져요.</ns0:t>
        </ns0:is>
      </ns0:c>
      <ns0:c r="K40" s="6" t="inlineStr">
        <ns0:is>
          <ns0:t>고른 보기 ‘서도의 높이가 하루마다 크게 달라진다’와 달라요. 이 문항의 정답은 ‘수면과 해저 기저부라는 기준이 다르다’입니다. 독도는 큰 해저 화산체의 일부가 물 위에 드러난 모습이에요. 바닷속에도 지형이 이어져요.</ns0:t>
        </ns0:is>
      </ns0:c>
      <ns0:c r="L40" s="6" t="inlineStr">
        <ns0:is>
          <ns0:t>고른 보기 ‘두 수치는 모두 땅의 넓이이다’와 달라요. 이 문항의 정답은 ‘수면과 해저 기저부라는 기준이 다르다’입니다. 독도는 큰 해저 화산체의 일부가 물 위에 드러난 모습이에요. 바닷속에도 지형이 이어져요.</ns0:t>
        </ns0:is>
      </ns0:c>
      <ns0:c r="M40" s="6" t="inlineStr">
        <ns0:is>
          <ns0:t>독도는 큰 해저 화산체의 일부가 물 위에 드러난 모습이에요. 바닷속에도 지형이 이어져요.</ns0:t>
        </ns0:is>
      </ns0:c>
      <ns0:c r="N40" s="6" t="inlineStr">
        <ns0:is>
          <ns0:t>수면 위 최고 높이: 서도 168.5m·동도 98.6m. 해저 기저부부터 본 독도 화산체 전체 높이: 약 2,300m. 높이의 기준점이 다릅니다.</ns0:t>
        </ns0:is>
      </ns0:c>
      <ns0:c r="O40" s="6" t="inlineStr">
        <ns0:is>
          <ns0:t>https://www.dokdo.re.kr/home/cms/cmsCont.do?cntnts_sn=66</ns0:t>
        </ns0:is>
      </ns0:c>
      <ns0:c r="P40" s="3">
        <ns0:f>LEN(E40)+MAX(LEN(F40),LEN(G40),LEN(H40))</ns0:f>
        <ns0:v>49</ns0:v>
      </ns0:c>
      <ns0:c r="Q40" s="7" t="inlineStr">
        <ns0:is>
          <ns0:t>출처 기반 자체 검토 / 독립 승인 전</ns0:t>
        </ns0:is>
      </ns0:c>
    </ns0:row>
    <ns0:row r="41" ht="98" customHeight="1">
      <ns0:c r="A41" s="4" t="n">
        <ns0:v>910040</ns0:v>
      </ns0:c>
      <ns0:c r="B41" s="4" t="n">
        <ns0:v>2</ns0:v>
      </ns0:c>
      <ns0:c r="C41" s="4" t="inlineStr">
        <ns0:is>
          <ns0:t>dk-above-below</ns0:t>
        </ns0:is>
      </ns0:c>
      <ns0:c r="D41" s="4" t="n">
        <ns0:v>4</ns0:v>
      </ns0:c>
      <ns0:c r="E41" s="8" t="inlineStr">
        <ns0:is>
          <ns0:t>‘독도가 수면 위로 2,300m 솟았다’의 수정은?</ns0:t>
        </ns0:is>
      </ns0:c>
      <ns0:c r="F41" s="8" t="inlineStr">
        <ns0:is>
          <ns0:t>168.5m에 2,300m를 더한다</ns0:t>
        </ns0:is>
      </ns0:c>
      <ns0:c r="G41" s="8" t="inlineStr">
        <ns0:is>
          <ns0:t>2,300m는 해저 기저부 기준임을 밝힌다</ns0:t>
        </ns0:is>
      </ns0:c>
      <ns0:c r="H41" s="8" t="inlineStr">
        <ns0:is>
          <ns0:t>동도의 표고를 2,300m로 바꾼다</ns0:t>
        </ns0:is>
      </ns0:c>
      <ns0:c r="I41" s="8" t="n">
        <ns0:v>2</ns0:v>
      </ns0:c>
      <ns0:c r="J41" s="8" t="inlineStr">
        <ns0:is>
          <ns0:t>독도는 큰 해저 화산체의 일부가 물 위에 드러난 모습이에요. 바닷속에도 지형이 이어져요.</ns0:t>
        </ns0:is>
      </ns0:c>
      <ns0:c r="K41" s="8" t="inlineStr">
        <ns0:is>
          <ns0:t>고른 보기 ‘168.5m에 2,300m를 더한다’와 달라요. 이 문항의 정답은 ‘2,300m는 해저 기저부 기준임을 밝힌다’입니다. 독도는 큰 해저 화산체의 일부가 물 위에 드러난 모습이에요. 바닷속에도 지형이 이어져요.</ns0:t>
        </ns0:is>
      </ns0:c>
      <ns0:c r="L41" s="8" t="inlineStr">
        <ns0:is>
          <ns0:t>독도는 큰 해저 화산체의 일부가 물 위에 드러난 모습이에요. 바닷속에도 지형이 이어져요.</ns0:t>
        </ns0:is>
      </ns0:c>
      <ns0:c r="M41" s="8" t="inlineStr">
        <ns0:is>
          <ns0:t>고른 보기 ‘동도의 표고를 2,300m로 바꾼다’와 달라요. 이 문항의 정답은 ‘2,300m는 해저 기저부 기준임을 밝힌다’입니다. 독도는 큰 해저 화산체의 일부가 물 위에 드러난 모습이에요. 바닷속에도 지형이 이어져요.</ns0:t>
        </ns0:is>
      </ns0:c>
      <ns0:c r="N41" s="8" t="inlineStr">
        <ns0:is>
          <ns0:t>수면 위 최고 높이: 서도 168.5m·동도 98.6m. 해저 기저부부터 본 독도 화산체 전체 높이: 약 2,300m. 높이의 기준점이 다릅니다.</ns0:t>
        </ns0:is>
      </ns0:c>
      <ns0:c r="O41" s="8" t="inlineStr">
        <ns0:is>
          <ns0:t>https://www.dokdo.re.kr/home/cms/cmsCont.do?cntnts_sn=66</ns0:t>
        </ns0:is>
      </ns0:c>
      <ns0:c r="P41" s="5">
        <ns0:f>LEN(E41)+MAX(LEN(F41),LEN(G41),LEN(H41))</ns0:f>
        <ns0:v>51</ns0:v>
      </ns0:c>
      <ns0:c r="Q41" s="9" t="inlineStr">
        <ns0:is>
          <ns0:t>출처 기반 자체 검토 / 독립 승인 전</ns0:t>
        </ns0:is>
      </ns0:c>
    </ns0:row>
    <ns0:row r="42" ht="98" customHeight="1">
      <ns0:c r="A42" s="2" t="n">
        <ns0:v>910041</ns0:v>
      </ns0:c>
      <ns0:c r="B42" s="2" t="n">
        <ns0:v>3</ns0:v>
      </ns0:c>
      <ns0:c r="C42" s="2" t="inlineStr">
        <ns0:is>
          <ns0:t>dk-volcano</ns0:t>
        </ns0:is>
      </ns0:c>
      <ns0:c r="D42" s="2" t="n">
        <ns0:v>1</ns0:v>
      </ns0:c>
      <ns0:c r="E42" s="6" t="inlineStr">
        <ns0:is>
          <ns0:t>독도 형성과 관련된 활동은?</ns0:t>
        </ns0:is>
      </ns0:c>
      <ns0:c r="F42" s="6" t="inlineStr">
        <ns0:is>
          <ns0:t>바닷속 화산활동</ns0:t>
        </ns0:is>
      </ns0:c>
      <ns0:c r="G42" s="6" t="inlineStr">
        <ns0:is>
          <ns0:t>강 하구에 모래 쌓임</ns0:t>
        </ns0:is>
      </ns0:c>
      <ns0:c r="H42" s="6" t="inlineStr">
        <ns0:is>
          <ns0:t>빙하가 바다에 떠다님</ns0:t>
        </ns0:is>
      </ns0:c>
      <ns0:c r="I42" s="6" t="n">
        <ns0:v>1</ns0:v>
      </ns0:c>
      <ns0:c r="J42" s="6" t="inlineStr">
        <ns0:is>
          <ns0:t>독도는 바닷속 화산활동으로 만들어졌어요. 화산에서 나온 물질이 쌓이고 굳어 바위가 되었어요.</ns0:t>
        </ns0:is>
      </ns0:c>
      <ns0:c r="K42" s="6" t="inlineStr">
        <ns0:is>
          <ns0:t>독도는 바닷속 화산활동으로 만들어졌어요. 화산에서 나온 물질이 쌓이고 굳어 바위가 되었어요.</ns0:t>
        </ns0:is>
      </ns0:c>
      <ns0:c r="L42" s="6" t="inlineStr">
        <ns0:is>
          <ns0:t>고른 보기 ‘강 하구에 모래 쌓임’와 달라요. 이 문항의 정답은 ‘바닷속 화산활동’입니다. 독도는 바닷속 화산활동으로 만들어졌어요. 화산에서 나온 물질이 쌓이고 굳어 바위가 되었어요.</ns0:t>
        </ns0:is>
      </ns0:c>
      <ns0:c r="M42" s="6" t="inlineStr">
        <ns0:is>
          <ns0:t>고른 보기 ‘빙하가 바다에 떠다님’와 달라요. 이 문항의 정답은 ‘바닷속 화산활동’입니다. 독도는 바닷속 화산활동으로 만들어졌어요. 화산에서 나온 물질이 쌓이고 굳어 바위가 되었어요.</ns0:t>
        </ns0:is>
      </ns0:c>
      <ns0:c r="N42" s="6" t="inlineStr"/>
      <ns0:c r="O42" s="6" t="inlineStr">
        <ns0:is>
          <ns0:t>https://www.dokdo.re.kr/home/cms/cmsCont.do?cntnts_sn=66</ns0:t>
        </ns0:is>
      </ns0:c>
      <ns0:c r="P42" s="3">
        <ns0:f>LEN(E42)+MAX(LEN(F42),LEN(G42),LEN(H42))</ns0:f>
        <ns0:v>26</ns0:v>
      </ns0:c>
      <ns0:c r="Q42" s="7" t="inlineStr">
        <ns0:is>
          <ns0:t>출처 기반 자체 검토 / 독립 승인 전</ns0:t>
        </ns0:is>
      </ns0:c>
    </ns0:row>
    <ns0:row r="43" ht="98" customHeight="1">
      <ns0:c r="A43" s="4" t="n">
        <ns0:v>910042</ns0:v>
      </ns0:c>
      <ns0:c r="B43" s="4" t="n">
        <ns0:v>3</ns0:v>
      </ns0:c>
      <ns0:c r="C43" s="4" t="inlineStr">
        <ns0:is>
          <ns0:t>dk-volcano</ns0:t>
        </ns0:is>
      </ns0:c>
      <ns0:c r="D43" s="4" t="n">
        <ns0:v>2</ns0:v>
      </ns0:c>
      <ns0:c r="E43" s="8" t="inlineStr">
        <ns0:is>
          <ns0:t>화산에서 나온 물질과 독도 바위의 관계는?</ns0:t>
        </ns0:is>
      </ns0:c>
      <ns0:c r="F43" s="8" t="inlineStr">
        <ns0:is>
          <ns0:t>등대가 바위를 만든 재료예요</ns0:t>
        </ns0:is>
      </ns0:c>
      <ns0:c r="G43" s="8" t="inlineStr">
        <ns0:is>
          <ns0:t>바닷물이 얼어 된 얼음이에요</ns0:t>
        </ns0:is>
      </ns0:c>
      <ns0:c r="H43" s="8" t="inlineStr">
        <ns0:is>
          <ns0:t>쌓이고 굳어 바위가 되었어요</ns0:t>
        </ns0:is>
      </ns0:c>
      <ns0:c r="I43" s="8" t="n">
        <ns0:v>3</ns0:v>
      </ns0:c>
      <ns0:c r="J43" s="8" t="inlineStr">
        <ns0:is>
          <ns0:t>독도는 바닷속 화산활동으로 만들어졌어요. 화산에서 나온 물질이 쌓이고 굳어 바위가 되었어요.</ns0:t>
        </ns0:is>
      </ns0:c>
      <ns0:c r="K43" s="8" t="inlineStr">
        <ns0:is>
          <ns0:t>고른 보기 ‘등대가 바위를 만든 재료예요’와 달라요. 이 문항의 정답은 ‘쌓이고 굳어 바위가 되었어요’입니다. 독도는 바닷속 화산활동으로 만들어졌어요. 화산에서 나온 물질이 쌓이고 굳어 바위가 되었어요.</ns0:t>
        </ns0:is>
      </ns0:c>
      <ns0:c r="L43" s="8" t="inlineStr">
        <ns0:is>
          <ns0:t>고른 보기 ‘바닷물이 얼어 된 얼음이에요’와 달라요. 이 문항의 정답은 ‘쌓이고 굳어 바위가 되었어요’입니다. 독도는 바닷속 화산활동으로 만들어졌어요. 화산에서 나온 물질이 쌓이고 굳어 바위가 되었어요.</ns0:t>
        </ns0:is>
      </ns0:c>
      <ns0:c r="M43" s="8" t="inlineStr">
        <ns0:is>
          <ns0:t>독도는 바닷속 화산활동으로 만들어졌어요. 화산에서 나온 물질이 쌓이고 굳어 바위가 되었어요.</ns0:t>
        </ns0:is>
      </ns0:c>
      <ns0:c r="N43" s="8" t="inlineStr"/>
      <ns0:c r="O43" s="8" t="inlineStr">
        <ns0:is>
          <ns0:t>https://www.dokdo.re.kr/home/cms/cmsCont.do?cntnts_sn=66</ns0:t>
        </ns0:is>
      </ns0:c>
      <ns0:c r="P43" s="5">
        <ns0:f>LEN(E43)+MAX(LEN(F43),LEN(G43),LEN(H43))</ns0:f>
        <ns0:v>38</ns0:v>
      </ns0:c>
      <ns0:c r="Q43" s="9" t="inlineStr">
        <ns0:is>
          <ns0:t>출처 기반 자체 검토 / 독립 승인 전</ns0:t>
        </ns0:is>
      </ns0:c>
    </ns0:row>
    <ns0:row r="44" ht="98" customHeight="1">
      <ns0:c r="A44" s="2" t="n">
        <ns0:v>910043</ns0:v>
      </ns0:c>
      <ns0:c r="B44" s="2" t="n">
        <ns0:v>3</ns0:v>
      </ns0:c>
      <ns0:c r="C44" s="2" t="inlineStr">
        <ns0:is>
          <ns0:t>dk-volcano</ns0:t>
        </ns0:is>
      </ns0:c>
      <ns0:c r="D44" s="2" t="n">
        <ns0:v>3</ns0:v>
      </ns0:c>
      <ns0:c r="E44" s="6" t="inlineStr">
        <ns0:is>
          <ns0:t>자료가 독도를 화산섬이라 설명하는 근거는?</ns0:t>
        </ns0:is>
      </ns0:c>
      <ns0:c r="F44" s="6" t="inlineStr">
        <ns0:is>
          <ns0:t>현재 시설의 이름</ns0:t>
        </ns0:is>
      </ns0:c>
      <ns0:c r="G44" s="6" t="inlineStr">
        <ns0:is>
          <ns0:t>해저 분출 과정과 화산암 구성</ns0:t>
        </ns0:is>
      </ns0:c>
      <ns0:c r="H44" s="6" t="inlineStr">
        <ns0:is>
          <ns0:t>선착장의 배 크기</ns0:t>
        </ns0:is>
      </ns0:c>
      <ns0:c r="I44" s="6" t="n">
        <ns0:v>2</ns0:v>
      </ns0:c>
      <ns0:c r="J44" s="6" t="inlineStr">
        <ns0:is>
          <ns0:t>독도는 바닷속 화산활동으로 만들어졌어요. 화산에서 나온 물질이 쌓이고 굳어 바위가 되었어요.</ns0:t>
        </ns0:is>
      </ns0:c>
      <ns0:c r="K44" s="6" t="inlineStr">
        <ns0:is>
          <ns0:t>고른 보기 ‘현재 시설의 이름’와 달라요. 이 문항의 정답은 ‘해저 분출 과정과 화산암 구성’입니다. 독도는 바닷속 화산활동으로 만들어졌어요. 화산에서 나온 물질이 쌓이고 굳어 바위가 되었어요.</ns0:t>
        </ns0:is>
      </ns0:c>
      <ns0:c r="L44" s="6" t="inlineStr">
        <ns0:is>
          <ns0:t>독도는 바닷속 화산활동으로 만들어졌어요. 화산에서 나온 물질이 쌓이고 굳어 바위가 되었어요.</ns0:t>
        </ns0:is>
      </ns0:c>
      <ns0:c r="M44" s="6" t="inlineStr">
        <ns0:is>
          <ns0:t>고른 보기 ‘선착장의 배 크기’와 달라요. 이 문항의 정답은 ‘해저 분출 과정과 화산암 구성’입니다. 독도는 바닷속 화산활동으로 만들어졌어요. 화산에서 나온 물질이 쌓이고 굳어 바위가 되었어요.</ns0:t>
        </ns0:is>
      </ns0:c>
      <ns0:c r="N44" s="6" t="inlineStr">
        <ns0:is>
          <ns0:t>한국해양과학기술원은 독도가 해저에서 분출한 화산체로 형성되었으며 조면안산암·응회암 등 화산암으로 이루어져 있다고 설명합니다. 암석 이름의 암기가 아니라 형성 과정을 살펴봅니다.</ns0:t>
        </ns0:is>
      </ns0:c>
      <ns0:c r="O44" s="6" t="inlineStr">
        <ns0:is>
          <ns0:t>https://www.dokdo.re.kr/home/cms/cmsCont.do?cntnts_sn=66</ns0:t>
        </ns0:is>
      </ns0:c>
      <ns0:c r="P44" s="3">
        <ns0:f>LEN(E44)+MAX(LEN(F44),LEN(G44),LEN(H44))</ns0:f>
        <ns0:v>39</ns0:v>
      </ns0:c>
      <ns0:c r="Q44" s="7" t="inlineStr">
        <ns0:is>
          <ns0:t>출처 기반 자체 검토 / 독립 승인 전</ns0:t>
        </ns0:is>
      </ns0:c>
    </ns0:row>
    <ns0:row r="45" ht="98" customHeight="1">
      <ns0:c r="A45" s="4" t="n">
        <ns0:v>910044</ns0:v>
      </ns0:c>
      <ns0:c r="B45" s="4" t="n">
        <ns0:v>3</ns0:v>
      </ns0:c>
      <ns0:c r="C45" s="4" t="inlineStr">
        <ns0:is>
          <ns0:t>dk-volcano</ns0:t>
        </ns0:is>
      </ns0:c>
      <ns0:c r="D45" s="4" t="n">
        <ns0:v>4</ns0:v>
      </ns0:c>
      <ns0:c r="E45" s="8" t="inlineStr">
        <ns0:is>
          <ns0:t>독도의 화산암 이름만 외우면 형성을 설명했을까요?</ns0:t>
        </ns0:is>
      </ns0:c>
      <ns0:c r="F45" s="8" t="inlineStr">
        <ns0:is>
          <ns0:t>분출·퇴적·굳음의 과정도 연결해야 한다</ns0:t>
        </ns0:is>
      </ns0:c>
      <ns0:c r="G45" s="8" t="inlineStr">
        <ns0:is>
          <ns0:t>이름 수가 많으면 형성 순서도 증명된다</ns0:t>
        </ns0:is>
      </ns0:c>
      <ns0:c r="H45" s="8" t="inlineStr">
        <ns0:is>
          <ns0:t>시설 설치 순서가 화산 형성 순서다</ns0:t>
        </ns0:is>
      </ns0:c>
      <ns0:c r="I45" s="8" t="n">
        <ns0:v>1</ns0:v>
      </ns0:c>
      <ns0:c r="J45" s="8" t="inlineStr">
        <ns0:is>
          <ns0:t>독도는 바닷속 화산활동으로 만들어졌어요. 화산에서 나온 물질이 쌓이고 굳어 바위가 되었어요.</ns0:t>
        </ns0:is>
      </ns0:c>
      <ns0:c r="K45" s="8" t="inlineStr">
        <ns0:is>
          <ns0:t>독도는 바닷속 화산활동으로 만들어졌어요. 화산에서 나온 물질이 쌓이고 굳어 바위가 되었어요.</ns0:t>
        </ns0:is>
      </ns0:c>
      <ns0:c r="L45" s="8" t="inlineStr">
        <ns0:is>
          <ns0:t>고른 보기 ‘이름 수가 많으면 형성 순서도 증명된다’와 달라요. 이 문항의 정답은 ‘분출·퇴적·굳음의 과정도 연결해야 한다’입니다. 독도는 바닷속 화산활동으로 만들어졌어요. 화산에서 나온 물질이 쌓이고 굳어 바위가 되었어요.</ns0:t>
        </ns0:is>
      </ns0:c>
      <ns0:c r="M45" s="8" t="inlineStr">
        <ns0:is>
          <ns0:t>고른 보기 ‘시설 설치 순서가 화산 형성 순서다’와 달라요. 이 문항의 정답은 ‘분출·퇴적·굳음의 과정도 연결해야 한다’입니다. 독도는 바닷속 화산활동으로 만들어졌어요. 화산에서 나온 물질이 쌓이고 굳어 바위가 되었어요.</ns0:t>
        </ns0:is>
      </ns0:c>
      <ns0:c r="N45" s="8" t="inlineStr">
        <ns0:is>
          <ns0:t>한국해양과학기술원은 독도가 해저에서 분출한 화산체로 형성되었으며 조면안산암·응회암 등 화산암으로 이루어져 있다고 설명합니다. 암석 이름의 암기가 아니라 형성 과정을 살펴봅니다.</ns0:t>
        </ns0:is>
      </ns0:c>
      <ns0:c r="O45" s="8" t="inlineStr">
        <ns0:is>
          <ns0:t>https://www.dokdo.re.kr/home/cms/cmsCont.do?cntnts_sn=66</ns0:t>
        </ns0:is>
      </ns0:c>
      <ns0:c r="P45" s="5">
        <ns0:f>LEN(E45)+MAX(LEN(F45),LEN(G45),LEN(H45))</ns0:f>
        <ns0:v>48</ns0:v>
      </ns0:c>
      <ns0:c r="Q45" s="9" t="inlineStr">
        <ns0:is>
          <ns0:t>출처 기반 자체 검토 / 독립 승인 전</ns0:t>
        </ns0:is>
      </ns0:c>
    </ns0:row>
    <ns0:row r="46" ht="98" customHeight="1">
      <ns0:c r="A46" s="2" t="n">
        <ns0:v>910045</ns0:v>
      </ns0:c>
      <ns0:c r="B46" s="2" t="n">
        <ns0:v>3</ns0:v>
      </ns0:c>
      <ns0:c r="C46" s="2" t="inlineStr">
        <ns0:is>
          <ns0:t>dk-formation-time</ns0:t>
        </ns0:is>
      </ns0:c>
      <ns0:c r="D46" s="2" t="n">
        <ns0:v>1</ns0:v>
      </ns0:c>
      <ns0:c r="E46" s="6" t="inlineStr">
        <ns0:is>
          <ns0:t>독도는 어떻게 만들어졌을까요?</ns0:t>
        </ns0:is>
      </ns0:c>
      <ns0:c r="F46" s="6" t="inlineStr">
        <ns0:is>
          <ns0:t>등대를 지은 하루에</ns0:t>
        </ns0:is>
      </ns0:c>
      <ns0:c r="G46" s="6" t="inlineStr">
        <ns0:is>
          <ns0:t>배가 처음 온 순간에</ns0:t>
        </ns0:is>
      </ns0:c>
      <ns0:c r="H46" s="6" t="inlineStr">
        <ns0:is>
          <ns0:t>오랜 시간에 걸쳐</ns0:t>
        </ns0:is>
      </ns0:c>
      <ns0:c r="I46" s="6" t="n">
        <ns0:v>3</ns0:v>
      </ns0:c>
      <ns0:c r="J46" s="6" t="inlineStr">
        <ns0:is>
          <ns0:t>독도는 오랜 시간에 걸쳐 만들어지고 변했어요. 바닷속에서 자란 뒤 물 위로 드러났어요.</ns0:t>
        </ns0:is>
      </ns0:c>
      <ns0:c r="K46" s="6" t="inlineStr">
        <ns0:is>
          <ns0:t>고른 보기 ‘등대를 지은 하루에’와 달라요. 이 문항의 정답은 ‘오랜 시간에 걸쳐’입니다. 독도는 오랜 시간에 걸쳐 만들어지고 변했어요. 바닷속에서 자란 뒤 물 위로 드러났어요.</ns0:t>
        </ns0:is>
      </ns0:c>
      <ns0:c r="L46" s="6" t="inlineStr">
        <ns0:is>
          <ns0:t>고른 보기 ‘배가 처음 온 순간에’와 달라요. 이 문항의 정답은 ‘오랜 시간에 걸쳐’입니다. 독도는 오랜 시간에 걸쳐 만들어지고 변했어요. 바닷속에서 자란 뒤 물 위로 드러났어요.</ns0:t>
        </ns0:is>
      </ns0:c>
      <ns0:c r="M46" s="6" t="inlineStr">
        <ns0:is>
          <ns0:t>독도는 오랜 시간에 걸쳐 만들어지고 변했어요. 바닷속에서 자란 뒤 물 위로 드러났어요.</ns0:t>
        </ns0:is>
      </ns0:c>
      <ns0:c r="N46" s="6" t="inlineStr"/>
      <ns0:c r="O46" s="6" t="inlineStr">
        <ns0:is>
          <ns0:t>https://www.dokdo.re.kr/home/cms/cmsCont.do?cntnts_sn=66</ns0:t>
        </ns0:is>
      </ns0:c>
      <ns0:c r="P46" s="3">
        <ns0:f>LEN(E46)+MAX(LEN(F46),LEN(G46),LEN(H46))</ns0:f>
        <ns0:v>27</ns0:v>
      </ns0:c>
      <ns0:c r="Q46" s="7" t="inlineStr">
        <ns0:is>
          <ns0:t>출처 기반 자체 검토 / 독립 승인 전</ns0:t>
        </ns0:is>
      </ns0:c>
    </ns0:row>
    <ns0:row r="47" ht="98" customHeight="1">
      <ns0:c r="A47" s="4" t="n">
        <ns0:v>910046</ns0:v>
      </ns0:c>
      <ns0:c r="B47" s="4" t="n">
        <ns0:v>3</ns0:v>
      </ns0:c>
      <ns0:c r="C47" s="4" t="inlineStr">
        <ns0:is>
          <ns0:t>dk-formation-time</ns0:t>
        </ns0:is>
      </ns0:c>
      <ns0:c r="D47" s="4" t="n">
        <ns0:v>2</ns0:v>
      </ns0:c>
      <ns0:c r="E47" s="8" t="inlineStr">
        <ns0:is>
          <ns0:t>독도 형성 순서로 알맞은 것은?</ns0:t>
        </ns0:is>
      </ns0:c>
      <ns0:c r="F47" s="8" t="inlineStr">
        <ns0:is>
          <ns0:t>선착장 공사→바위 생성 시작</ns0:t>
        </ns0:is>
      </ns0:c>
      <ns0:c r="G47" s="8" t="inlineStr">
        <ns0:is>
          <ns0:t>해저 화산 성장→수면 위 출현</ns0:t>
        </ns0:is>
      </ns0:c>
      <ns0:c r="H47" s="8" t="inlineStr">
        <ns0:is>
          <ns0:t>등대 설치→해저 화산 시작</ns0:t>
        </ns0:is>
      </ns0:c>
      <ns0:c r="I47" s="8" t="n">
        <ns0:v>2</ns0:v>
      </ns0:c>
      <ns0:c r="J47" s="8" t="inlineStr">
        <ns0:is>
          <ns0:t>독도는 오랜 시간에 걸쳐 만들어지고 변했어요. 바닷속에서 자란 뒤 물 위로 드러났어요.</ns0:t>
        </ns0:is>
      </ns0:c>
      <ns0:c r="K47" s="8" t="inlineStr">
        <ns0:is>
          <ns0:t>고른 보기 ‘선착장 공사→바위 생성 시작’와 달라요. 이 문항의 정답은 ‘해저 화산 성장→수면 위 출현’입니다. 독도는 오랜 시간에 걸쳐 만들어지고 변했어요. 바닷속에서 자란 뒤 물 위로 드러났어요.</ns0:t>
        </ns0:is>
      </ns0:c>
      <ns0:c r="L47" s="8" t="inlineStr">
        <ns0:is>
          <ns0:t>독도는 오랜 시간에 걸쳐 만들어지고 변했어요. 바닷속에서 자란 뒤 물 위로 드러났어요.</ns0:t>
        </ns0:is>
      </ns0:c>
      <ns0:c r="M47" s="8" t="inlineStr">
        <ns0:is>
          <ns0:t>고른 보기 ‘등대 설치→해저 화산 시작’와 달라요. 이 문항의 정답은 ‘해저 화산 성장→수면 위 출현’입니다. 독도는 오랜 시간에 걸쳐 만들어지고 변했어요. 바닷속에서 자란 뒤 물 위로 드러났어요.</ns0:t>
        </ns0:is>
      </ns0:c>
      <ns0:c r="N47" s="8" t="inlineStr"/>
      <ns0:c r="O47" s="8" t="inlineStr">
        <ns0:is>
          <ns0:t>https://www.dokdo.re.kr/home/cms/cmsCont.do?cntnts_sn=66</ns0:t>
        </ns0:is>
      </ns0:c>
      <ns0:c r="P47" s="5">
        <ns0:f>LEN(E47)+MAX(LEN(F47),LEN(G47),LEN(H47))</ns0:f>
        <ns0:v>33</ns0:v>
      </ns0:c>
      <ns0:c r="Q47" s="9" t="inlineStr">
        <ns0:is>
          <ns0:t>출처 기반 자체 검토 / 독립 승인 전</ns0:t>
        </ns0:is>
      </ns0:c>
    </ns0:row>
    <ns0:row r="48" ht="98" customHeight="1">
      <ns0:c r="A48" s="2" t="n">
        <ns0:v>910047</ns0:v>
      </ns0:c>
      <ns0:c r="B48" s="2" t="n">
        <ns0:v>3</ns0:v>
      </ns0:c>
      <ns0:c r="C48" s="2" t="inlineStr">
        <ns0:is>
          <ns0:t>dk-formation-time</ns0:t>
        </ns0:is>
      </ns0:c>
      <ns0:c r="D48" s="2" t="n">
        <ns0:v>3</ns0:v>
      </ns0:c>
      <ns0:c r="E48" s="6" t="inlineStr">
        <ns0:is>
          <ns0:t>자료에서 더 먼저 일어난 것은?</ns0:t>
        </ns0:is>
      </ns0:c>
      <ns0:c r="F48" s="6" t="inlineStr">
        <ns0:is>
          <ns0:t>해저 화산활동의 시작</ns0:t>
        </ns0:is>
      </ns0:c>
      <ns0:c r="G48" s="6" t="inlineStr">
        <ns0:is>
          <ns0:t>수면 위로 드러난 시기</ns0:t>
        </ns0:is>
      </ns0:c>
      <ns0:c r="H48" s="6" t="inlineStr">
        <ns0:is>
          <ns0:t>오늘날 등대의 설치</ns0:t>
        </ns0:is>
      </ns0:c>
      <ns0:c r="I48" s="6" t="n">
        <ns0:v>1</ns0:v>
      </ns0:c>
      <ns0:c r="J48" s="6" t="inlineStr">
        <ns0:is>
          <ns0:t>독도는 오랜 시간에 걸쳐 만들어지고 변했어요. 바닷속에서 자란 뒤 물 위로 드러났어요.</ns0:t>
        </ns0:is>
      </ns0:c>
      <ns0:c r="K48" s="6" t="inlineStr">
        <ns0:is>
          <ns0:t>독도는 오랜 시간에 걸쳐 만들어지고 변했어요. 바닷속에서 자란 뒤 물 위로 드러났어요.</ns0:t>
        </ns0:is>
      </ns0:c>
      <ns0:c r="L48" s="6" t="inlineStr">
        <ns0:is>
          <ns0:t>고른 보기 ‘수면 위로 드러난 시기’와 달라요. 이 문항의 정답은 ‘해저 화산활동의 시작’입니다. 독도는 오랜 시간에 걸쳐 만들어지고 변했어요. 바닷속에서 자란 뒤 물 위로 드러났어요.</ns0:t>
        </ns0:is>
      </ns0:c>
      <ns0:c r="M48" s="6" t="inlineStr">
        <ns0:is>
          <ns0:t>고른 보기 ‘오늘날 등대의 설치’와 달라요. 이 문항의 정답은 ‘해저 화산활동의 시작’입니다. 독도는 오랜 시간에 걸쳐 만들어지고 변했어요. 바닷속에서 자란 뒤 물 위로 드러났어요.</ns0:t>
        </ns0:is>
      </ns0:c>
      <ns0:c r="N48" s="6" t="inlineStr">
        <ns0:is>
          <ns0:t>자료의 대략적 시점: 약 460만 년 전부터 해저 화산활동, 약 250만 년 전부터 수면 위 출현. 이후에는 침식의 영향이 컸습니다. 정확한 연도를 외우는 대신 순서를 읽으세요.</ns0:t>
        </ns0:is>
      </ns0:c>
      <ns0:c r="O48" s="6" t="inlineStr">
        <ns0:is>
          <ns0:t>https://www.dokdo.re.kr/home/cms/cmsCont.do?cntnts_sn=66</ns0:t>
        </ns0:is>
      </ns0:c>
      <ns0:c r="P48" s="3">
        <ns0:f>LEN(E48)+MAX(LEN(F48),LEN(G48),LEN(H48))</ns0:f>
        <ns0:v>29</ns0:v>
      </ns0:c>
      <ns0:c r="Q48" s="7" t="inlineStr">
        <ns0:is>
          <ns0:t>출처 기반 자체 검토 / 독립 승인 전</ns0:t>
        </ns0:is>
      </ns0:c>
    </ns0:row>
    <ns0:row r="49" ht="98" customHeight="1">
      <ns0:c r="A49" s="4" t="n">
        <ns0:v>910048</ns0:v>
      </ns0:c>
      <ns0:c r="B49" s="4" t="n">
        <ns0:v>3</ns0:v>
      </ns0:c>
      <ns0:c r="C49" s="4" t="inlineStr">
        <ns0:is>
          <ns0:t>dk-formation-time</ns0:t>
        </ns0:is>
      </ns0:c>
      <ns0:c r="D49" s="4" t="n">
        <ns0:v>4</ns0:v>
      </ns0:c>
      <ns0:c r="E49" s="8" t="inlineStr">
        <ns0:is>
          <ns0:t>‘460만 년 전 지금 모양으로 완성’이라는 설명은?</ns0:t>
        </ns0:is>
      </ns0:c>
      <ns0:c r="F49" s="8" t="inlineStr">
        <ns0:is>
          <ns0:t>시작 시점과 현재 모양은 항상 같다</ns0:t>
        </ns0:is>
      </ns0:c>
      <ns0:c r="G49" s="8" t="inlineStr">
        <ns0:is>
          <ns0:t>수면 위 출현 전에는 화산체가 없었다</ns0:t>
        </ns0:is>
      </ns0:c>
      <ns0:c r="H49" s="8" t="inlineStr">
        <ns0:is>
          <ns0:t>형성 이후 침식과 변화를 빠뜨렸다</ns0:t>
        </ns0:is>
      </ns0:c>
      <ns0:c r="I49" s="8" t="n">
        <ns0:v>3</ns0:v>
      </ns0:c>
      <ns0:c r="J49" s="8" t="inlineStr">
        <ns0:is>
          <ns0:t>독도는 오랜 시간에 걸쳐 만들어지고 변했어요. 바닷속에서 자란 뒤 물 위로 드러났어요.</ns0:t>
        </ns0:is>
      </ns0:c>
      <ns0:c r="K49" s="8" t="inlineStr">
        <ns0:is>
          <ns0:t>고른 보기 ‘시작 시점과 현재 모양은 항상 같다’와 달라요. 이 문항의 정답은 ‘형성 이후 침식과 변화를 빠뜨렸다’입니다. 독도는 오랜 시간에 걸쳐 만들어지고 변했어요. 바닷속에서 자란 뒤 물 위로 드러났어요.</ns0:t>
        </ns0:is>
      </ns0:c>
      <ns0:c r="L49" s="8" t="inlineStr">
        <ns0:is>
          <ns0:t>고른 보기 ‘수면 위 출현 전에는 화산체가 없었다’와 달라요. 이 문항의 정답은 ‘형성 이후 침식과 변화를 빠뜨렸다’입니다. 독도는 오랜 시간에 걸쳐 만들어지고 변했어요. 바닷속에서 자란 뒤 물 위로 드러났어요.</ns0:t>
        </ns0:is>
      </ns0:c>
      <ns0:c r="M49" s="8" t="inlineStr">
        <ns0:is>
          <ns0:t>독도는 오랜 시간에 걸쳐 만들어지고 변했어요. 바닷속에서 자란 뒤 물 위로 드러났어요.</ns0:t>
        </ns0:is>
      </ns0:c>
      <ns0:c r="N49" s="8" t="inlineStr">
        <ns0:is>
          <ns0:t>자료의 대략적 시점: 약 460만 년 전부터 해저 화산활동, 약 250만 년 전부터 수면 위 출현. 이후에는 침식의 영향이 컸습니다. 정확한 연도를 외우는 대신 순서를 읽으세요.</ns0:t>
        </ns0:is>
      </ns0:c>
      <ns0:c r="O49" s="8" t="inlineStr">
        <ns0:is>
          <ns0:t>https://www.dokdo.re.kr/home/cms/cmsCont.do?cntnts_sn=66</ns0:t>
        </ns0:is>
      </ns0:c>
      <ns0:c r="P49" s="5">
        <ns0:f>LEN(E49)+MAX(LEN(F49),LEN(G49),LEN(H49))</ns0:f>
        <ns0:v>49</ns0:v>
      </ns0:c>
      <ns0:c r="Q49" s="9" t="inlineStr">
        <ns0:is>
          <ns0:t>출처 기반 자체 검토 / 독립 승인 전</ns0:t>
        </ns0:is>
      </ns0:c>
    </ns0:row>
    <ns0:row r="50" ht="98" customHeight="1">
      <ns0:c r="A50" s="2" t="n">
        <ns0:v>910049</ns0:v>
      </ns0:c>
      <ns0:c r="B50" s="2" t="n">
        <ns0:v>3</ns0:v>
      </ns0:c>
      <ns0:c r="C50" s="2" t="inlineStr">
        <ns0:is>
          <ns0:t>dk-wave-erosion</ns0:t>
        </ns0:is>
      </ns0:c>
      <ns0:c r="D50" s="2" t="n">
        <ns0:v>1</ns0:v>
      </ns0:c>
      <ns0:c r="E50" s="6" t="inlineStr">
        <ns0:is>
          <ns0:t>독도 해안의 바위를 깎는 힘은?</ns0:t>
        </ns0:is>
      </ns0:c>
      <ns0:c r="F50" s="6" t="inlineStr">
        <ns0:is>
          <ns0:t>헬기장의 표시</ns0:t>
        </ns0:is>
      </ns0:c>
      <ns0:c r="G50" s="6" t="inlineStr">
        <ns0:is>
          <ns0:t>파도</ns0:t>
        </ns0:is>
      </ns0:c>
      <ns0:c r="H50" s="6" t="inlineStr">
        <ns0:is>
          <ns0:t>등대의 빛</ns0:t>
        </ns0:is>
      </ns0:c>
      <ns0:c r="I50" s="6" t="n">
        <ns0:v>2</ns0:v>
      </ns0:c>
      <ns0:c r="J50" s="6" t="inlineStr">
        <ns0:is>
          <ns0:t>독도 해안의 파도는 바위를 깎아요. 해안 절벽·동굴·바위 아치 같은 지형이 생기는 데 영향을 주었어요.</ns0:t>
        </ns0:is>
      </ns0:c>
      <ns0:c r="K50" s="6" t="inlineStr">
        <ns0:is>
          <ns0:t>고른 보기 ‘헬기장의 표시’와 달라요. 이 문항의 정답은 ‘파도’입니다. 독도 해안의 파도는 바위를 깎아요. 해안 절벽·동굴·바위 아치 같은 지형이 생기는 데 영향을 주었어요.</ns0:t>
        </ns0:is>
      </ns0:c>
      <ns0:c r="L50" s="6" t="inlineStr">
        <ns0:is>
          <ns0:t>독도 해안의 파도는 바위를 깎아요. 해안 절벽·동굴·바위 아치 같은 지형이 생기는 데 영향을 주었어요.</ns0:t>
        </ns0:is>
      </ns0:c>
      <ns0:c r="M50" s="6" t="inlineStr">
        <ns0:is>
          <ns0:t>고른 보기 ‘등대의 빛’와 달라요. 이 문항의 정답은 ‘파도’입니다. 독도 해안의 파도는 바위를 깎아요. 해안 절벽·동굴·바위 아치 같은 지형이 생기는 데 영향을 주었어요.</ns0:t>
        </ns0:is>
      </ns0:c>
      <ns0:c r="N50" s="6" t="inlineStr"/>
      <ns0:c r="O50" s="6" t="inlineStr">
        <ns0:is>
          <ns0:t>https://www.dokdo.re.kr/home/cms/cmsCont.do?cntnts_sn=66
https://korean.visitkorea.or.kr/detail/ms_detail.do?cotid=0fe4eeb6-3f6a-48b1-ab75-c8d4ab6b43be</ns0:t>
        </ns0:is>
      </ns0:c>
      <ns0:c r="P50" s="3">
        <ns0:f>LEN(E50)+MAX(LEN(F50),LEN(G50),LEN(H50))</ns0:f>
        <ns0:v>24</ns0:v>
      </ns0:c>
      <ns0:c r="Q50" s="7" t="inlineStr">
        <ns0:is>
          <ns0:t>출처 기반 자체 검토 / 독립 승인 전</ns0:t>
        </ns0:is>
      </ns0:c>
    </ns0:row>
    <ns0:row r="51" ht="98" customHeight="1">
      <ns0:c r="A51" s="4" t="n">
        <ns0:v>910050</ns0:v>
      </ns0:c>
      <ns0:c r="B51" s="4" t="n">
        <ns0:v>3</ns0:v>
      </ns0:c>
      <ns0:c r="C51" s="4" t="inlineStr">
        <ns0:is>
          <ns0:t>dk-wave-erosion</ns0:t>
        </ns0:is>
      </ns0:c>
      <ns0:c r="D51" s="4" t="n">
        <ns0:v>2</ns0:v>
      </ns0:c>
      <ns0:c r="E51" s="8" t="inlineStr">
        <ns0:is>
          <ns0:t>해안 동굴과 연결되는 과정은?</ns0:t>
        </ns0:is>
      </ns0:c>
      <ns0:c r="F51" s="8" t="inlineStr">
        <ns0:is>
          <ns0:t>파도가 바위를 깎기</ns0:t>
        </ns0:is>
      </ns0:c>
      <ns0:c r="G51" s="8" t="inlineStr">
        <ns0:is>
          <ns0:t>바닷물이 얼어 쌓이기</ns0:t>
        </ns0:is>
      </ns0:c>
      <ns0:c r="H51" s="8" t="inlineStr">
        <ns0:is>
          <ns0:t>등대 불빛이 모이기</ns0:t>
        </ns0:is>
      </ns0:c>
      <ns0:c r="I51" s="8" t="n">
        <ns0:v>1</ns0:v>
      </ns0:c>
      <ns0:c r="J51" s="8" t="inlineStr">
        <ns0:is>
          <ns0:t>독도 해안의 파도는 바위를 깎아요. 해안 절벽·동굴·바위 아치 같은 지형이 생기는 데 영향을 주었어요.</ns0:t>
        </ns0:is>
      </ns0:c>
      <ns0:c r="K51" s="8" t="inlineStr">
        <ns0:is>
          <ns0:t>독도 해안의 파도는 바위를 깎아요. 해안 절벽·동굴·바위 아치 같은 지형이 생기는 데 영향을 주었어요.</ns0:t>
        </ns0:is>
      </ns0:c>
      <ns0:c r="L51" s="8" t="inlineStr">
        <ns0:is>
          <ns0:t>고른 보기 ‘바닷물이 얼어 쌓이기’와 달라요. 이 문항의 정답은 ‘파도가 바위를 깎기’입니다. 독도 해안의 파도는 바위를 깎아요. 해안 절벽·동굴·바위 아치 같은 지형이 생기는 데 영향을 주었어요.</ns0:t>
        </ns0:is>
      </ns0:c>
      <ns0:c r="M51" s="8" t="inlineStr">
        <ns0:is>
          <ns0:t>고른 보기 ‘등대 불빛이 모이기’와 달라요. 이 문항의 정답은 ‘파도가 바위를 깎기’입니다. 독도 해안의 파도는 바위를 깎아요. 해안 절벽·동굴·바위 아치 같은 지형이 생기는 데 영향을 주었어요.</ns0:t>
        </ns0:is>
      </ns0:c>
      <ns0:c r="N51" s="8" t="inlineStr"/>
      <ns0:c r="O51" s="8" t="inlineStr">
        <ns0:is>
          <ns0:t>https://www.dokdo.re.kr/home/cms/cmsCont.do?cntnts_sn=66
https://korean.visitkorea.or.kr/detail/ms_detail.do?cotid=0fe4eeb6-3f6a-48b1-ab75-c8d4ab6b43be</ns0:t>
        </ns0:is>
      </ns0:c>
      <ns0:c r="P51" s="5">
        <ns0:f>LEN(E51)+MAX(LEN(F51),LEN(G51),LEN(H51))</ns0:f>
        <ns0:v>27</ns0:v>
      </ns0:c>
      <ns0:c r="Q51" s="9" t="inlineStr">
        <ns0:is>
          <ns0:t>출처 기반 자체 검토 / 독립 승인 전</ns0:t>
        </ns0:is>
      </ns0:c>
    </ns0:row>
    <ns0:row r="52" ht="98" customHeight="1">
      <ns0:c r="A52" s="2" t="n">
        <ns0:v>910051</ns0:v>
      </ns0:c>
      <ns0:c r="B52" s="2" t="n">
        <ns0:v>3</ns0:v>
      </ns0:c>
      <ns0:c r="C52" s="2" t="inlineStr">
        <ns0:is>
          <ns0:t>dk-wave-erosion</ns0:t>
        </ns0:is>
      </ns0:c>
      <ns0:c r="D52" s="2" t="n">
        <ns0:v>3</ns0:v>
      </ns0:c>
      <ns0:c r="E52" s="6" t="inlineStr">
        <ns0:is>
          <ns0:t>파도에 깎인 절벽을 가리키는 말은?</ns0:t>
        </ns0:is>
      </ns0:c>
      <ns0:c r="F52" s="6" t="inlineStr">
        <ns0:is>
          <ns0:t>해식동</ns0:t>
        </ns0:is>
      </ns0:c>
      <ns0:c r="G52" s="6" t="inlineStr">
        <ns0:is>
          <ns0:t>시아치</ns0:t>
        </ns0:is>
      </ns0:c>
      <ns0:c r="H52" s="6" t="inlineStr">
        <ns0:is>
          <ns0:t>해식애</ns0:t>
        </ns0:is>
      </ns0:c>
      <ns0:c r="I52" s="6" t="n">
        <ns0:v>3</ns0:v>
      </ns0:c>
      <ns0:c r="J52" s="6" t="inlineStr">
        <ns0:is>
          <ns0:t>독도 해안의 파도는 바위를 깎아요. 해안 절벽·동굴·바위 아치 같은 지형이 생기는 데 영향을 주었어요. 세 용어는 모두 해안 지형이지만 모양과 구조가 다릅니다.</ns0:t>
        </ns0:is>
      </ns0:c>
      <ns0:c r="K52" s="6" t="inlineStr">
        <ns0:is>
          <ns0:t>고른 보기 ‘해식동’와 달라요. 이 문항의 정답은 ‘해식애’입니다. 독도 해안의 파도는 바위를 깎아요. 해안 절벽·동굴·바위 아치 같은 지형이 생기는 데 영향을 주었어요. 세 용어는 모두 해안 지형이지만 모양과 구조가 다릅니다.</ns0:t>
        </ns0:is>
      </ns0:c>
      <ns0:c r="L52" s="6" t="inlineStr">
        <ns0:is>
          <ns0:t>고른 보기 ‘시아치’와 달라요. 이 문항의 정답은 ‘해식애’입니다. 독도 해안의 파도는 바위를 깎아요. 해안 절벽·동굴·바위 아치 같은 지형이 생기는 데 영향을 주었어요. 세 용어는 모두 해안 지형이지만 모양과 구조가 다릅니다.</ns0:t>
        </ns0:is>
      </ns0:c>
      <ns0:c r="M52" s="6" t="inlineStr">
        <ns0:is>
          <ns0:t>독도 해안의 파도는 바위를 깎아요. 해안 절벽·동굴·바위 아치 같은 지형이 생기는 데 영향을 주었어요. 세 용어는 모두 해안 지형이지만 모양과 구조가 다릅니다.</ns0:t>
        </ns0:is>
      </ns0:c>
      <ns0:c r="N52" s="6" t="inlineStr">
        <ns0:is>
          <ns0:t>해식애는 파도가 깎은 절벽, 해식동은 해안 동굴, 시아치는 바위 아치입니다. 독도에서는 이런 해안 침식 지형을 볼 수 있습니다.</ns0:t>
        </ns0:is>
      </ns0:c>
      <ns0:c r="O52" s="6" t="inlineStr">
        <ns0:is>
          <ns0:t>https://www.dokdo.re.kr/home/cms/cmsCont.do?cntnts_sn=66
https://korean.visitkorea.or.kr/detail/ms_detail.do?cotid=0fe4eeb6-3f6a-48b1-ab75-c8d4ab6b43be</ns0:t>
        </ns0:is>
      </ns0:c>
      <ns0:c r="P52" s="3">
        <ns0:f>LEN(E52)+MAX(LEN(F52),LEN(G52),LEN(H52))</ns0:f>
        <ns0:v>22</ns0:v>
      </ns0:c>
      <ns0:c r="Q52" s="7" t="inlineStr">
        <ns0:is>
          <ns0:t>출처 기반 자체 검토 / 독립 승인 전</ns0:t>
        </ns0:is>
      </ns0:c>
    </ns0:row>
    <ns0:row r="53" ht="98" customHeight="1">
      <ns0:c r="A53" s="4" t="n">
        <ns0:v>910052</ns0:v>
      </ns0:c>
      <ns0:c r="B53" s="4" t="n">
        <ns0:v>3</ns0:v>
      </ns0:c>
      <ns0:c r="C53" s="4" t="inlineStr">
        <ns0:is>
          <ns0:t>dk-wave-erosion</ns0:t>
        </ns0:is>
      </ns0:c>
      <ns0:c r="D53" s="4" t="n">
        <ns0:v>4</ns0:v>
      </ns0:c>
      <ns0:c r="E53" s="8" t="inlineStr">
        <ns0:is>
          <ns0:t>바위 아치를 사람이 만든 문이라 해석하면?</ns0:t>
        </ns0:is>
      </ns0:c>
      <ns0:c r="F53" s="8" t="inlineStr">
        <ns0:is>
          <ns0:t>해안에서 침식은 일어나지 않는다</ns0:t>
        </ns0:is>
      </ns0:c>
      <ns0:c r="G53" s="8" t="inlineStr">
        <ns0:is>
          <ns0:t>닮은 모양과 실제 형성 과정을 혼동한다</ns0:t>
        </ns0:is>
      </ns0:c>
      <ns0:c r="H53" s="8" t="inlineStr">
        <ns0:is>
          <ns0:t>문처럼 보이면 모두 건축물이다</ns0:t>
        </ns0:is>
      </ns0:c>
      <ns0:c r="I53" s="8" t="n">
        <ns0:v>2</ns0:v>
      </ns0:c>
      <ns0:c r="J53" s="8" t="inlineStr">
        <ns0:is>
          <ns0:t>독도 해안의 파도는 바위를 깎아요. 해안 절벽·동굴·바위 아치 같은 지형이 생기는 데 영향을 주었어요.</ns0:t>
        </ns0:is>
      </ns0:c>
      <ns0:c r="K53" s="8" t="inlineStr">
        <ns0:is>
          <ns0:t>고른 보기 ‘해안에서 침식은 일어나지 않는다’와 달라요. 이 문항의 정답은 ‘닮은 모양과 실제 형성 과정을 혼동한다’입니다. 독도 해안의 파도는 바위를 깎아요. 해안 절벽·동굴·바위 아치 같은 지형이 생기는 데 영향을 주었어요.</ns0:t>
        </ns0:is>
      </ns0:c>
      <ns0:c r="L53" s="8" t="inlineStr">
        <ns0:is>
          <ns0:t>독도 해안의 파도는 바위를 깎아요. 해안 절벽·동굴·바위 아치 같은 지형이 생기는 데 영향을 주었어요.</ns0:t>
        </ns0:is>
      </ns0:c>
      <ns0:c r="M53" s="8" t="inlineStr">
        <ns0:is>
          <ns0:t>고른 보기 ‘문처럼 보이면 모두 건축물이다’와 달라요. 이 문항의 정답은 ‘닮은 모양과 실제 형성 과정을 혼동한다’입니다. 독도 해안의 파도는 바위를 깎아요. 해안 절벽·동굴·바위 아치 같은 지형이 생기는 데 영향을 주었어요.</ns0:t>
        </ns0:is>
      </ns0:c>
      <ns0:c r="N53" s="8" t="inlineStr">
        <ns0:is>
          <ns0:t>해식애는 파도가 깎은 절벽, 해식동은 해안 동굴, 시아치는 바위 아치입니다. 독도에서는 이런 해안 침식 지형을 볼 수 있습니다.</ns0:t>
        </ns0:is>
      </ns0:c>
      <ns0:c r="O53" s="8" t="inlineStr">
        <ns0:is>
          <ns0:t>https://www.dokdo.re.kr/home/cms/cmsCont.do?cntnts_sn=66
https://korean.visitkorea.or.kr/detail/ms_detail.do?cotid=0fe4eeb6-3f6a-48b1-ab75-c8d4ab6b43be</ns0:t>
        </ns0:is>
      </ns0:c>
      <ns0:c r="P53" s="5">
        <ns0:f>LEN(E53)+MAX(LEN(F53),LEN(G53),LEN(H53))</ns0:f>
        <ns0:v>44</ns0:v>
      </ns0:c>
      <ns0:c r="Q53" s="9" t="inlineStr">
        <ns0:is>
          <ns0:t>출처 기반 자체 검토 / 독립 승인 전</ns0:t>
        </ns0:is>
      </ns0:c>
    </ns0:row>
    <ns0:row r="54" ht="98" customHeight="1">
      <ns0:c r="A54" s="2" t="n">
        <ns0:v>910053</ns0:v>
      </ns0:c>
      <ns0:c r="B54" s="2" t="n">
        <ns0:v>3</ns0:v>
      </ns0:c>
      <ns0:c r="C54" s="2" t="inlineStr">
        <ns0:is>
          <ns0:t>dk-weathering</ns0:t>
        </ns0:is>
      </ns0:c>
      <ns0:c r="D54" s="2" t="n">
        <ns0:v>1</ns0:v>
      </ns0:c>
      <ns0:c r="E54" s="6" t="inlineStr">
        <ns0:is>
          <ns0:t>독도 바위의 모습은 시간이 지나면?</ns0:t>
        </ns0:is>
      </ns0:c>
      <ns0:c r="F54" s="6" t="inlineStr">
        <ns0:is>
          <ns0:t>조금씩 달라질 수 있어요</ns0:t>
        </ns0:is>
      </ns0:c>
      <ns0:c r="G54" s="6" t="inlineStr">
        <ns0:is>
          <ns0:t>어느 부분도 절대 안 변해요</ns0:t>
        </ns0:is>
      </ns0:c>
      <ns0:c r="H54" s="6" t="inlineStr">
        <ns0:is>
          <ns0:t>등대 색으로만 결정돼요</ns0:t>
        </ns0:is>
      </ns0:c>
      <ns0:c r="I54" s="6" t="n">
        <ns0:v>1</ns0:v>
      </ns0:c>
      <ns0:c r="J54" s="6" t="inlineStr">
        <ns0:is>
          <ns0:t>독도 바위는 바람과 파도에 노출되어 조금씩 풍화되고 깎여요. 바위와 해안을 계속 살피는 연구가 필요해요.</ns0:t>
        </ns0:is>
      </ns0:c>
      <ns0:c r="K54" s="6" t="inlineStr">
        <ns0:is>
          <ns0:t>독도 바위는 바람과 파도에 노출되어 조금씩 풍화되고 깎여요. 바위와 해안을 계속 살피는 연구가 필요해요.</ns0:t>
        </ns0:is>
      </ns0:c>
      <ns0:c r="L54" s="6" t="inlineStr">
        <ns0:is>
          <ns0:t>고른 보기 ‘어느 부분도 절대 안 변해요’와 달라요. 이 문항의 정답은 ‘조금씩 달라질 수 있어요’입니다. 독도 바위는 바람과 파도에 노출되어 조금씩 풍화되고 깎여요. 바위와 해안을 계속 살피는 연구가 필요해요.</ns0:t>
        </ns0:is>
      </ns0:c>
      <ns0:c r="M54" s="6" t="inlineStr">
        <ns0:is>
          <ns0:t>고른 보기 ‘등대 색으로만 결정돼요’와 달라요. 이 문항의 정답은 ‘조금씩 달라질 수 있어요’입니다. 독도 바위는 바람과 파도에 노출되어 조금씩 풍화되고 깎여요. 바위와 해안을 계속 살피는 연구가 필요해요.</ns0:t>
        </ns0:is>
      </ns0:c>
      <ns0:c r="N54" s="6" t="inlineStr"/>
      <ns0:c r="O54" s="6" t="inlineStr">
        <ns0:is>
          <ns0:t>https://www.dokdo.re.kr/home/cms/cmsCont.do?cntnts_sn=66</ns0:t>
        </ns0:is>
      </ns0:c>
      <ns0:c r="P54" s="3">
        <ns0:f>LEN(E54)+MAX(LEN(F54),LEN(G54),LEN(H54))</ns0:f>
        <ns0:v>34</ns0:v>
      </ns0:c>
      <ns0:c r="Q54" s="7" t="inlineStr">
        <ns0:is>
          <ns0:t>출처 기반 자체 검토 / 독립 승인 전</ns0:t>
        </ns0:is>
      </ns0:c>
    </ns0:row>
    <ns0:row r="55" ht="98" customHeight="1">
      <ns0:c r="A55" s="4" t="n">
        <ns0:v>910054</ns0:v>
      </ns0:c>
      <ns0:c r="B55" s="4" t="n">
        <ns0:v>3</ns0:v>
      </ns0:c>
      <ns0:c r="C55" s="4" t="inlineStr">
        <ns0:is>
          <ns0:t>dk-weathering</ns0:t>
        </ns0:is>
      </ns0:c>
      <ns0:c r="D55" s="4" t="n">
        <ns0:v>2</ns0:v>
      </ns0:c>
      <ns0:c r="E55" s="8" t="inlineStr">
        <ns0:is>
          <ns0:t>독도를 여러 해에 걸쳐 재는 까닭은?</ns0:t>
        </ns0:is>
      </ns0:c>
      <ns0:c r="F55" s="8" t="inlineStr">
        <ns0:is>
          <ns0:t>섬 이름을 매년 바꾸려고</ns0:t>
        </ns0:is>
      </ns0:c>
      <ns0:c r="G55" s="8" t="inlineStr">
        <ns0:is>
          <ns0:t>바위의 수를 무조건 늘리려고</ns0:t>
        </ns0:is>
      </ns0:c>
      <ns0:c r="H55" s="8" t="inlineStr">
        <ns0:is>
          <ns0:t>해안과 바위의 변화를 보려고</ns0:t>
        </ns0:is>
      </ns0:c>
      <ns0:c r="I55" s="8" t="n">
        <ns0:v>3</ns0:v>
      </ns0:c>
      <ns0:c r="J55" s="8" t="inlineStr">
        <ns0:is>
          <ns0:t>독도 바위는 바람과 파도에 노출되어 조금씩 풍화되고 깎여요. 바위와 해안을 계속 살피는 연구가 필요해요.</ns0:t>
        </ns0:is>
      </ns0:c>
      <ns0:c r="K55" s="8" t="inlineStr">
        <ns0:is>
          <ns0:t>고른 보기 ‘섬 이름을 매년 바꾸려고’와 달라요. 이 문항의 정답은 ‘해안과 바위의 변화를 보려고’입니다. 독도 바위는 바람과 파도에 노출되어 조금씩 풍화되고 깎여요. 바위와 해안을 계속 살피는 연구가 필요해요.</ns0:t>
        </ns0:is>
      </ns0:c>
      <ns0:c r="L55" s="8" t="inlineStr">
        <ns0:is>
          <ns0:t>고른 보기 ‘바위의 수를 무조건 늘리려고’와 달라요. 이 문항의 정답은 ‘해안과 바위의 변화를 보려고’입니다. 독도 바위는 바람과 파도에 노출되어 조금씩 풍화되고 깎여요. 바위와 해안을 계속 살피는 연구가 필요해요.</ns0:t>
        </ns0:is>
      </ns0:c>
      <ns0:c r="M55" s="8" t="inlineStr">
        <ns0:is>
          <ns0:t>독도 바위는 바람과 파도에 노출되어 조금씩 풍화되고 깎여요. 바위와 해안을 계속 살피는 연구가 필요해요.</ns0:t>
        </ns0:is>
      </ns0:c>
      <ns0:c r="N55" s="8" t="inlineStr"/>
      <ns0:c r="O55" s="8" t="inlineStr">
        <ns0:is>
          <ns0:t>https://www.dokdo.re.kr/home/cms/cmsCont.do?cntnts_sn=66</ns0:t>
        </ns0:is>
      </ns0:c>
      <ns0:c r="P55" s="5">
        <ns0:f>LEN(E55)+MAX(LEN(F55),LEN(G55),LEN(H55))</ns0:f>
        <ns0:v>35</ns0:v>
      </ns0:c>
      <ns0:c r="Q55" s="9" t="inlineStr">
        <ns0:is>
          <ns0:t>출처 기반 자체 검토 / 독립 승인 전</ns0:t>
        </ns0:is>
      </ns0:c>
    </ns0:row>
    <ns0:row r="56" ht="98" customHeight="1">
      <ns0:c r="A56" s="2" t="n">
        <ns0:v>910055</ns0:v>
      </ns0:c>
      <ns0:c r="B56" s="2" t="n">
        <ns0:v>3</ns0:v>
      </ns0:c>
      <ns0:c r="C56" s="2" t="inlineStr">
        <ns0:is>
          <ns0:t>dk-weathering</ns0:t>
        </ns0:is>
      </ns0:c>
      <ns0:c r="D56" s="2" t="n">
        <ns0:v>3</ns0:v>
      </ns0:c>
      <ns0:c r="E56" s="6" t="inlineStr">
        <ns0:is>
          <ns0:t>독도의 지형 변화를 비교하기 좋은 자료는?</ns0:t>
        </ns0:is>
      </ns0:c>
      <ns0:c r="F56" s="6" t="inlineStr">
        <ns0:is>
          <ns0:t>두 섬의 별명만 적은 표</ns0:t>
        </ns0:is>
      </ns0:c>
      <ns0:c r="G56" s="6" t="inlineStr">
        <ns0:is>
          <ns0:t>기준을 맞춘 반복 측량</ns0:t>
        </ns0:is>
      </ns0:c>
      <ns0:c r="H56" s="6" t="inlineStr">
        <ns0:is>
          <ns0:t>촬영 시점 없는 그림 한 장</ns0:t>
        </ns0:is>
      </ns0:c>
      <ns0:c r="I56" s="6" t="n">
        <ns0:v>2</ns0:v>
      </ns0:c>
      <ns0:c r="J56" s="6" t="inlineStr">
        <ns0:is>
          <ns0:t>독도 바위는 바람과 파도에 노출되어 조금씩 풍화되고 깎여요. 바위와 해안을 계속 살피는 연구가 필요해요.</ns0:t>
        </ns0:is>
      </ns0:c>
      <ns0:c r="K56" s="6" t="inlineStr">
        <ns0:is>
          <ns0:t>고른 보기 ‘두 섬의 별명만 적은 표’와 달라요. 이 문항의 정답은 ‘기준을 맞춘 반복 측량’입니다. 독도 바위는 바람과 파도에 노출되어 조금씩 풍화되고 깎여요. 바위와 해안을 계속 살피는 연구가 필요해요.</ns0:t>
        </ns0:is>
      </ns0:c>
      <ns0:c r="L56" s="6" t="inlineStr">
        <ns0:is>
          <ns0:t>독도 바위는 바람과 파도에 노출되어 조금씩 풍화되고 깎여요. 바위와 해안을 계속 살피는 연구가 필요해요.</ns0:t>
        </ns0:is>
      </ns0:c>
      <ns0:c r="M56" s="6" t="inlineStr">
        <ns0:is>
          <ns0:t>고른 보기 ‘촬영 시점 없는 그림 한 장’와 달라요. 이 문항의 정답은 ‘기준을 맞춘 반복 측량’입니다. 독도 바위는 바람과 파도에 노출되어 조금씩 풍화되고 깎여요. 바위와 해안을 계속 살피는 연구가 필요해요.</ns0:t>
        </ns0:is>
      </ns0:c>
      <ns0:c r="N56" s="6" t="inlineStr">
        <ns0:is>
          <ns0:t>독도 지형 연구는 낙석·토층 유실·해안선 변화 등을 관찰합니다. 반복 측량은 같은 기준으로 과거와 현재를 비교할 때 도움이 됩니다.</ns0:t>
        </ns0:is>
      </ns0:c>
      <ns0:c r="O56" s="6" t="inlineStr">
        <ns0:is>
          <ns0:t>https://www.dokdo.re.kr/home/cms/cmsCont.do?cntnts_sn=66</ns0:t>
        </ns0:is>
      </ns0:c>
      <ns0:c r="P56" s="3">
        <ns0:f>LEN(E56)+MAX(LEN(F56),LEN(G56),LEN(H56))</ns0:f>
        <ns0:v>38</ns0:v>
      </ns0:c>
      <ns0:c r="Q56" s="7" t="inlineStr">
        <ns0:is>
          <ns0:t>출처 기반 자체 검토 / 독립 승인 전</ns0:t>
        </ns0:is>
      </ns0:c>
    </ns0:row>
    <ns0:row r="57" ht="98" customHeight="1">
      <ns0:c r="A57" s="4" t="n">
        <ns0:v>910056</ns0:v>
      </ns0:c>
      <ns0:c r="B57" s="4" t="n">
        <ns0:v>3</ns0:v>
      </ns0:c>
      <ns0:c r="C57" s="4" t="inlineStr">
        <ns0:is>
          <ns0:t>dk-weathering</ns0:t>
        </ns0:is>
      </ns0:c>
      <ns0:c r="D57" s="4" t="n">
        <ns0:v>4</ns0:v>
      </ns0:c>
      <ns0:c r="E57" s="8" t="inlineStr">
        <ns0:is>
          <ns0:t>사진 두 장의 차이를 모두 낙석이라 해도 될까요?</ns0:t>
        </ns0:is>
      </ns0:c>
      <ns0:c r="F57" s="8" t="inlineStr">
        <ns0:is>
          <ns0:t>촬영 각도·시점부터 대조해야 한다</ns0:t>
        </ns0:is>
      </ns0:c>
      <ns0:c r="G57" s="8" t="inlineStr">
        <ns0:is>
          <ns0:t>독도 사진이면 각도는 무관하다</ns0:t>
        </ns0:is>
      </ns0:c>
      <ns0:c r="H57" s="8" t="inlineStr">
        <ns0:is>
          <ns0:t>사진 속 그림자는 모두 낙석이다</ns0:t>
        </ns0:is>
      </ns0:c>
      <ns0:c r="I57" s="8" t="n">
        <ns0:v>1</ns0:v>
      </ns0:c>
      <ns0:c r="J57" s="8" t="inlineStr">
        <ns0:is>
          <ns0:t>독도 바위는 바람과 파도에 노출되어 조금씩 풍화되고 깎여요. 바위와 해안을 계속 살피는 연구가 필요해요.</ns0:t>
        </ns0:is>
      </ns0:c>
      <ns0:c r="K57" s="8" t="inlineStr">
        <ns0:is>
          <ns0:t>독도 바위는 바람과 파도에 노출되어 조금씩 풍화되고 깎여요. 바위와 해안을 계속 살피는 연구가 필요해요.</ns0:t>
        </ns0:is>
      </ns0:c>
      <ns0:c r="L57" s="8" t="inlineStr">
        <ns0:is>
          <ns0:t>고른 보기 ‘독도 사진이면 각도는 무관하다’와 달라요. 이 문항의 정답은 ‘촬영 각도·시점부터 대조해야 한다’입니다. 독도 바위는 바람과 파도에 노출되어 조금씩 풍화되고 깎여요. 바위와 해안을 계속 살피는 연구가 필요해요.</ns0:t>
        </ns0:is>
      </ns0:c>
      <ns0:c r="M57" s="8" t="inlineStr">
        <ns0:is>
          <ns0:t>고른 보기 ‘사진 속 그림자는 모두 낙석이다’와 달라요. 이 문항의 정답은 ‘촬영 각도·시점부터 대조해야 한다’입니다. 독도 바위는 바람과 파도에 노출되어 조금씩 풍화되고 깎여요. 바위와 해안을 계속 살피는 연구가 필요해요.</ns0:t>
        </ns0:is>
      </ns0:c>
      <ns0:c r="N57" s="8" t="inlineStr">
        <ns0:is>
          <ns0:t>독도 지형 연구는 낙석·토층 유실·해안선 변화 등을 관찰합니다. 반복 측량은 같은 기준으로 과거와 현재를 비교할 때 도움이 됩니다.</ns0:t>
        </ns0:is>
      </ns0:c>
      <ns0:c r="O57" s="8" t="inlineStr">
        <ns0:is>
          <ns0:t>https://www.dokdo.re.kr/home/cms/cmsCont.do?cntnts_sn=66</ns0:t>
        </ns0:is>
      </ns0:c>
      <ns0:c r="P57" s="5">
        <ns0:f>LEN(E57)+MAX(LEN(F57),LEN(G57),LEN(H57))</ns0:f>
        <ns0:v>45</ns0:v>
      </ns0:c>
      <ns0:c r="Q57" s="9" t="inlineStr">
        <ns0:is>
          <ns0:t>출처 기반 자체 검토 / 독립 승인 전</ns0:t>
        </ns0:is>
      </ns0:c>
    </ns0:row>
    <ns0:row r="58" ht="98" customHeight="1">
      <ns0:c r="A58" s="2" t="n">
        <ns0:v>910057</ns0:v>
      </ns0:c>
      <ns0:c r="B58" s="2" t="n">
        <ns0:v>3</ns0:v>
      </ns0:c>
      <ns0:c r="C58" s="2" t="inlineStr">
        <ns0:is>
          <ns0:t>dk-mulgol</ns0:t>
        </ns0:is>
      </ns0:c>
      <ns0:c r="D58" s="2" t="n">
        <ns0:v>1</ns0:v>
      </ns0:c>
      <ns0:c r="E58" s="6" t="inlineStr">
        <ns0:is>
          <ns0:t>물골이 있는 큰 섬은?</ns0:t>
        </ns0:is>
      </ns0:c>
      <ns0:c r="F58" s="6" t="inlineStr">
        <ns0:is>
          <ns0:t>동도</ns0:t>
        </ns0:is>
      </ns0:c>
      <ns0:c r="G58" s="6" t="inlineStr">
        <ns0:is>
          <ns0:t>울릉도</ns0:t>
        </ns0:is>
      </ns0:c>
      <ns0:c r="H58" s="6" t="inlineStr">
        <ns0:is>
          <ns0:t>서도</ns0:t>
        </ns0:is>
      </ns0:c>
      <ns0:c r="I58" s="6" t="n">
        <ns0:v>3</ns0:v>
      </ns0:c>
      <ns0:c r="J58" s="6" t="inlineStr">
        <ns0:is>
          <ns0:t>서도의 물골에는 바위에서 떨어지는 물이 있어요. 담수화 시설이 생기기 전에는 식수원으로 쓰였어요.</ns0:t>
        </ns0:is>
      </ns0:c>
      <ns0:c r="K58" s="6" t="inlineStr">
        <ns0:is>
          <ns0:t>고른 보기 ‘동도’와 달라요. 이 문항의 정답은 ‘서도’입니다. 서도의 물골에는 바위에서 떨어지는 물이 있어요. 담수화 시설이 생기기 전에는 식수원으로 쓰였어요.</ns0:t>
        </ns0:is>
      </ns0:c>
      <ns0:c r="L58" s="6" t="inlineStr">
        <ns0:is>
          <ns0:t>고른 보기 ‘울릉도’와 달라요. 이 문항의 정답은 ‘서도’입니다. 서도의 물골에는 바위에서 떨어지는 물이 있어요. 담수화 시설이 생기기 전에는 식수원으로 쓰였어요.</ns0:t>
        </ns0:is>
      </ns0:c>
      <ns0:c r="M58" s="6" t="inlineStr">
        <ns0:is>
          <ns0:t>서도의 물골에는 바위에서 떨어지는 물이 있어요. 담수화 시설이 생기기 전에는 식수원으로 쓰였어요.</ns0:t>
        </ns0:is>
      </ns0:c>
      <ns0:c r="N58" s="6" t="inlineStr"/>
      <ns0:c r="O58" s="6" t="inlineStr">
        <ns0:is>
          <ns0:t>https://www.dokdo.re.kr/home/cms/cmsCont.do?cntnts_sn=66</ns0:t>
        </ns0:is>
      </ns0:c>
      <ns0:c r="P58" s="3">
        <ns0:f>LEN(E58)+MAX(LEN(F58),LEN(G58),LEN(H58))</ns0:f>
        <ns0:v>15</ns0:v>
      </ns0:c>
      <ns0:c r="Q58" s="7" t="inlineStr">
        <ns0:is>
          <ns0:t>출처 기반 자체 검토 / 독립 승인 전</ns0:t>
        </ns0:is>
      </ns0:c>
    </ns0:row>
    <ns0:row r="59" ht="98" customHeight="1">
      <ns0:c r="A59" s="4" t="n">
        <ns0:v>910058</ns0:v>
      </ns0:c>
      <ns0:c r="B59" s="4" t="n">
        <ns0:v>3</ns0:v>
      </ns0:c>
      <ns0:c r="C59" s="4" t="inlineStr">
        <ns0:is>
          <ns0:t>dk-mulgol</ns0:t>
        </ns0:is>
      </ns0:c>
      <ns0:c r="D59" s="4" t="n">
        <ns0:v>2</ns0:v>
      </ns0:c>
      <ns0:c r="E59" s="8" t="inlineStr">
        <ns0:is>
          <ns0:t>물골과 예전 독도 생활의 연결은?</ns0:t>
        </ns0:is>
      </ns0:c>
      <ns0:c r="F59" s="8" t="inlineStr">
        <ns0:is>
          <ns0:t>배에 빛을 보내는 곳</ns0:t>
        </ns0:is>
      </ns0:c>
      <ns0:c r="G59" s="8" t="inlineStr">
        <ns0:is>
          <ns0:t>물을 얻는 곳</ns0:t>
        </ns0:is>
      </ns0:c>
      <ns0:c r="H59" s="8" t="inlineStr">
        <ns0:is>
          <ns0:t>헬기가 내리는 곳</ns0:t>
        </ns0:is>
      </ns0:c>
      <ns0:c r="I59" s="8" t="n">
        <ns0:v>2</ns0:v>
      </ns0:c>
      <ns0:c r="J59" s="8" t="inlineStr">
        <ns0:is>
          <ns0:t>서도의 물골에는 바위에서 떨어지는 물이 있어요. 담수화 시설이 생기기 전에는 식수원으로 쓰였어요.</ns0:t>
        </ns0:is>
      </ns0:c>
      <ns0:c r="K59" s="8" t="inlineStr">
        <ns0:is>
          <ns0:t>고른 보기 ‘배에 빛을 보내는 곳’와 달라요. 이 문항의 정답은 ‘물을 얻는 곳’입니다. 서도의 물골에는 바위에서 떨어지는 물이 있어요. 담수화 시설이 생기기 전에는 식수원으로 쓰였어요.</ns0:t>
        </ns0:is>
      </ns0:c>
      <ns0:c r="L59" s="8" t="inlineStr">
        <ns0:is>
          <ns0:t>서도의 물골에는 바위에서 떨어지는 물이 있어요. 담수화 시설이 생기기 전에는 식수원으로 쓰였어요.</ns0:t>
        </ns0:is>
      </ns0:c>
      <ns0:c r="M59" s="8" t="inlineStr">
        <ns0:is>
          <ns0:t>고른 보기 ‘헬기가 내리는 곳’와 달라요. 이 문항의 정답은 ‘물을 얻는 곳’입니다. 서도의 물골에는 바위에서 떨어지는 물이 있어요. 담수화 시설이 생기기 전에는 식수원으로 쓰였어요.</ns0:t>
        </ns0:is>
      </ns0:c>
      <ns0:c r="N59" s="8" t="inlineStr"/>
      <ns0:c r="O59" s="8" t="inlineStr">
        <ns0:is>
          <ns0:t>https://www.dokdo.re.kr/home/cms/cmsCont.do?cntnts_sn=66</ns0:t>
        </ns0:is>
      </ns0:c>
      <ns0:c r="P59" s="5">
        <ns0:f>LEN(E59)+MAX(LEN(F59),LEN(G59),LEN(H59))</ns0:f>
        <ns0:v>29</ns0:v>
      </ns0:c>
      <ns0:c r="Q59" s="9" t="inlineStr">
        <ns0:is>
          <ns0:t>출처 기반 자체 검토 / 독립 승인 전</ns0:t>
        </ns0:is>
      </ns0:c>
    </ns0:row>
    <ns0:row r="60" ht="98" customHeight="1">
      <ns0:c r="A60" s="2" t="n">
        <ns0:v>910059</ns0:v>
      </ns0:c>
      <ns0:c r="B60" s="2" t="n">
        <ns0:v>3</ns0:v>
      </ns0:c>
      <ns0:c r="C60" s="2" t="inlineStr">
        <ns0:is>
          <ns0:t>dk-mulgol</ns0:t>
        </ns0:is>
      </ns0:c>
      <ns0:c r="D60" s="2" t="n">
        <ns0:v>3</ns0:v>
      </ns0:c>
      <ns0:c r="E60" s="6" t="inlineStr">
        <ns0:is>
          <ns0:t>자료에서 확인할 수 있는 물골의 역할은?</ns0:t>
        </ns0:is>
      </ns0:c>
      <ns0:c r="F60" s="6" t="inlineStr">
        <ns0:is>
          <ns0:t>담수화 시설 전 식수원</ns0:t>
        </ns0:is>
      </ns0:c>
      <ns0:c r="G60" s="6" t="inlineStr">
        <ns0:is>
          <ns0:t>현재 모든 물의 유일한 공급원</ns0:t>
        </ns0:is>
      </ns0:c>
      <ns0:c r="H60" s="6" t="inlineStr">
        <ns0:is>
          <ns0:t>비행장의 연료 저장고</ns0:t>
        </ns0:is>
      </ns0:c>
      <ns0:c r="I60" s="6" t="n">
        <ns0:v>1</ns0:v>
      </ns0:c>
      <ns0:c r="J60" s="6" t="inlineStr">
        <ns0:is>
          <ns0:t>서도의 물골에는 바위에서 떨어지는 물이 있어요. 담수화 시설이 생기기 전에는 식수원으로 쓰였어요.</ns0:t>
        </ns0:is>
      </ns0:c>
      <ns0:c r="K60" s="6" t="inlineStr">
        <ns0:is>
          <ns0:t>서도의 물골에는 바위에서 떨어지는 물이 있어요. 담수화 시설이 생기기 전에는 식수원으로 쓰였어요.</ns0:t>
        </ns0:is>
      </ns0:c>
      <ns0:c r="L60" s="6" t="inlineStr">
        <ns0:is>
          <ns0:t>고른 보기 ‘현재 모든 물의 유일한 공급원’와 달라요. 이 문항의 정답은 ‘담수화 시설 전 식수원’입니다. 서도의 물골에는 바위에서 떨어지는 물이 있어요. 담수화 시설이 생기기 전에는 식수원으로 쓰였어요.</ns0:t>
        </ns0:is>
      </ns0:c>
      <ns0:c r="M60" s="6" t="inlineStr">
        <ns0:is>
          <ns0:t>고른 보기 ‘비행장의 연료 저장고’와 달라요. 이 문항의 정답은 ‘담수화 시설 전 식수원’입니다. 서도의 물골에는 바위에서 떨어지는 물이 있어요. 담수화 시설이 생기기 전에는 식수원으로 쓰였어요.</ns0:t>
        </ns0:is>
      </ns0:c>
      <ns0:c r="N60" s="6" t="inlineStr">
        <ns0:is>
          <ns0:t>한국해양과학기술원은 물골을 서도 북서쪽 해안 동굴로 소개하며, 바위에서 떨어지는 물이 담수화 시설 설치 이전 식수원이었다고 설명합니다.</ns0:t>
        </ns0:is>
      </ns0:c>
      <ns0:c r="O60" s="6" t="inlineStr">
        <ns0:is>
          <ns0:t>https://www.dokdo.re.kr/home/cms/cmsCont.do?cntnts_sn=66</ns0:t>
        </ns0:is>
      </ns0:c>
      <ns0:c r="P60" s="3">
        <ns0:f>LEN(E60)+MAX(LEN(F60),LEN(G60),LEN(H60))</ns0:f>
        <ns0:v>38</ns0:v>
      </ns0:c>
      <ns0:c r="Q60" s="7" t="inlineStr">
        <ns0:is>
          <ns0:t>출처 기반 자체 검토 / 독립 승인 전</ns0:t>
        </ns0:is>
      </ns0:c>
    </ns0:row>
    <ns0:row r="61" ht="98" customHeight="1">
      <ns0:c r="A61" s="4" t="n">
        <ns0:v>910060</ns0:v>
      </ns0:c>
      <ns0:c r="B61" s="4" t="n">
        <ns0:v>3</ns0:v>
      </ns0:c>
      <ns0:c r="C61" s="4" t="inlineStr">
        <ns0:is>
          <ns0:t>dk-mulgol</ns0:t>
        </ns0:is>
      </ns0:c>
      <ns0:c r="D61" s="4" t="n">
        <ns0:v>4</ns0:v>
      </ns0:c>
      <ns0:c r="E61" s="8" t="inlineStr">
        <ns0:is>
          <ns0:t>물골이 지금도 유일한 식수원이라는 주장은?</ns0:t>
        </ns0:is>
      </ns0:c>
      <ns0:c r="F61" s="8" t="inlineStr">
        <ns0:is>
          <ns0:t>과거에 썼으므로 현재도 유일함이 증명된다</ns0:t>
        </ns0:is>
      </ns0:c>
      <ns0:c r="G61" s="8" t="inlineStr">
        <ns0:is>
          <ns0:t>담수화 시설은 식수와 전혀 관계없다</ns0:t>
        </ns0:is>
      </ns0:c>
      <ns0:c r="H61" s="8" t="inlineStr">
        <ns0:is>
          <ns0:t>과거의 역할을 현재로 확대해 추가 확인이 필요하다</ns0:t>
        </ns0:is>
      </ns0:c>
      <ns0:c r="I61" s="8" t="n">
        <ns0:v>3</ns0:v>
      </ns0:c>
      <ns0:c r="J61" s="8" t="inlineStr">
        <ns0:is>
          <ns0:t>서도의 물골에는 바위에서 떨어지는 물이 있어요. 담수화 시설이 생기기 전에는 식수원으로 쓰였어요.</ns0:t>
        </ns0:is>
      </ns0:c>
      <ns0:c r="K61" s="8" t="inlineStr">
        <ns0:is>
          <ns0:t>고른 보기 ‘과거에 썼으므로 현재도 유일함이 증명된다’와 달라요. 이 문항의 정답은 ‘과거의 역할을 현재로 확대해 추가 확인이 필요하다’입니다. 서도의 물골에는 바위에서 떨어지는 물이 있어요. 담수화 시설이 생기기 전에는 식수원으로 쓰였어요.</ns0:t>
        </ns0:is>
      </ns0:c>
      <ns0:c r="L61" s="8" t="inlineStr">
        <ns0:is>
          <ns0:t>고른 보기 ‘담수화 시설은 식수와 전혀 관계없다’와 달라요. 이 문항의 정답은 ‘과거의 역할을 현재로 확대해 추가 확인이 필요하다’입니다. 서도의 물골에는 바위에서 떨어지는 물이 있어요. 담수화 시설이 생기기 전에는 식수원으로 쓰였어요.</ns0:t>
        </ns0:is>
      </ns0:c>
      <ns0:c r="M61" s="8" t="inlineStr">
        <ns0:is>
          <ns0:t>서도의 물골에는 바위에서 떨어지는 물이 있어요. 담수화 시설이 생기기 전에는 식수원으로 쓰였어요.</ns0:t>
        </ns0:is>
      </ns0:c>
      <ns0:c r="N61" s="8" t="inlineStr">
        <ns0:is>
          <ns0:t>한국해양과학기술원은 물골을 서도 북서쪽 해안 동굴로 소개하며, 바위에서 떨어지는 물이 담수화 시설 설치 이전 식수원이었다고 설명합니다.</ns0:t>
        </ns0:is>
      </ns0:c>
      <ns0:c r="O61" s="8" t="inlineStr">
        <ns0:is>
          <ns0:t>https://www.dokdo.re.kr/home/cms/cmsCont.do?cntnts_sn=66</ns0:t>
        </ns0:is>
      </ns0:c>
      <ns0:c r="P61" s="5">
        <ns0:f>LEN(E61)+MAX(LEN(F61),LEN(G61),LEN(H61))</ns0:f>
        <ns0:v>50</ns0:v>
      </ns0:c>
      <ns0:c r="Q61" s="9" t="inlineStr">
        <ns0:is>
          <ns0:t>출처 기반 자체 검토 / 독립 승인 전</ns0:t>
        </ns0:is>
      </ns0:c>
    </ns0:row>
    <ns0:row r="62" ht="98" customHeight="1">
      <ns0:c r="A62" s="2" t="n">
        <ns0:v>910061</ns0:v>
      </ns0:c>
      <ns0:c r="B62" s="2" t="n">
        <ns0:v>4</ns0:v>
      </ns0:c>
      <ns0:c r="C62" s="2" t="inlineStr">
        <ns0:is>
          <ns0:t>dk-migratory-stopover</ns0:t>
        </ns0:is>
      </ns0:c>
      <ns0:c r="D62" s="2" t="n">
        <ns0:v>1</ns0:v>
      </ns0:c>
      <ns0:c r="E62" s="6" t="inlineStr">
        <ns0:is>
          <ns0:t>이동하는 새에게 독도의 역할은?</ns0:t>
        </ns0:is>
      </ns0:c>
      <ns0:c r="F62" s="6" t="inlineStr">
        <ns0:is>
          <ns0:t>민물만 있는 호수</ns0:t>
        </ns0:is>
      </ns0:c>
      <ns0:c r="G62" s="6" t="inlineStr">
        <ns0:is>
          <ns0:t>중간에 쉬는 곳</ns0:t>
        </ns0:is>
      </ns0:c>
      <ns0:c r="H62" s="6" t="inlineStr">
        <ns0:is>
          <ns0:t>대륙 안의 논</ns0:t>
        </ns0:is>
      </ns0:c>
      <ns0:c r="I62" s="6" t="n">
        <ns0:v>2</ns0:v>
      </ns0:c>
      <ns0:c r="J62" s="6" t="inlineStr">
        <ns0:is>
          <ns0:t>독도는 먼 길을 이동하는 새들이 쉬어 가는 곳이기도 해요.</ns0:t>
        </ns0:is>
      </ns0:c>
      <ns0:c r="K62" s="6" t="inlineStr">
        <ns0:is>
          <ns0:t>고른 보기 ‘민물만 있는 호수’와 달라요. 이 문항의 정답은 ‘중간에 쉬는 곳’입니다. 독도는 먼 길을 이동하는 새들이 쉬어 가는 곳이기도 해요.</ns0:t>
        </ns0:is>
      </ns0:c>
      <ns0:c r="L62" s="6" t="inlineStr">
        <ns0:is>
          <ns0:t>독도는 먼 길을 이동하는 새들이 쉬어 가는 곳이기도 해요.</ns0:t>
        </ns0:is>
      </ns0:c>
      <ns0:c r="M62" s="6" t="inlineStr">
        <ns0:is>
          <ns0:t>고른 보기 ‘대륙 안의 논’와 달라요. 이 문항의 정답은 ‘중간에 쉬는 곳’입니다. 독도는 먼 길을 이동하는 새들이 쉬어 가는 곳이기도 해요.</ns0:t>
        </ns0:is>
      </ns0:c>
      <ns0:c r="N62" s="6" t="inlineStr"/>
      <ns0:c r="O62" s="6" t="inlineStr">
        <ns0:is>
          <ns0:t>https://dokdo.mofa.go.kr/kor/introduce/nature.jsp</ns0:t>
        </ns0:is>
      </ns0:c>
      <ns0:c r="P62" s="3">
        <ns0:f>LEN(E62)+MAX(LEN(F62),LEN(G62),LEN(H62))</ns0:f>
        <ns0:v>26</ns0:v>
      </ns0:c>
      <ns0:c r="Q62" s="7" t="inlineStr">
        <ns0:is>
          <ns0:t>출처 기반 자체 검토 / 독립 승인 전</ns0:t>
        </ns0:is>
      </ns0:c>
    </ns0:row>
    <ns0:row r="63" ht="98" customHeight="1">
      <ns0:c r="A63" s="4" t="n">
        <ns0:v>910062</ns0:v>
      </ns0:c>
      <ns0:c r="B63" s="4" t="n">
        <ns0:v>4</ns0:v>
      </ns0:c>
      <ns0:c r="C63" s="4" t="inlineStr">
        <ns0:is>
          <ns0:t>dk-migratory-stopover</ns0:t>
        </ns0:is>
      </ns0:c>
      <ns0:c r="D63" s="4" t="n">
        <ns0:v>2</ns0:v>
      </ns0:c>
      <ns0:c r="E63" s="8" t="inlineStr">
        <ns0:is>
          <ns0:t>‘중간기착지’와 연결되는 독도의 모습은?</ns0:t>
        </ns0:is>
      </ns0:c>
      <ns0:c r="F63" s="8" t="inlineStr">
        <ns0:is>
          <ns0:t>긴 이동 중 잠시 머무는 섬</ns0:t>
        </ns0:is>
      </ns0:c>
      <ns0:c r="G63" s="8" t="inlineStr">
        <ns0:is>
          <ns0:t>모든 새가 평생 떠나지 않는 섬</ns0:t>
        </ns0:is>
      </ns0:c>
      <ns0:c r="H63" s="8" t="inlineStr">
        <ns0:is>
          <ns0:t>육지와 도로로 이어진 섬</ns0:t>
        </ns0:is>
      </ns0:c>
      <ns0:c r="I63" s="8" t="n">
        <ns0:v>1</ns0:v>
      </ns0:c>
      <ns0:c r="J63" s="8" t="inlineStr">
        <ns0:is>
          <ns0:t>독도는 먼 길을 이동하는 새들이 쉬어 가는 곳이기도 해요.</ns0:t>
        </ns0:is>
      </ns0:c>
      <ns0:c r="K63" s="8" t="inlineStr">
        <ns0:is>
          <ns0:t>독도는 먼 길을 이동하는 새들이 쉬어 가는 곳이기도 해요.</ns0:t>
        </ns0:is>
      </ns0:c>
      <ns0:c r="L63" s="8" t="inlineStr">
        <ns0:is>
          <ns0:t>고른 보기 ‘모든 새가 평생 떠나지 않는 섬’와 달라요. 이 문항의 정답은 ‘긴 이동 중 잠시 머무는 섬’입니다. 독도는 먼 길을 이동하는 새들이 쉬어 가는 곳이기도 해요.</ns0:t>
        </ns0:is>
      </ns0:c>
      <ns0:c r="M63" s="8" t="inlineStr">
        <ns0:is>
          <ns0:t>고른 보기 ‘육지와 도로로 이어진 섬’와 달라요. 이 문항의 정답은 ‘긴 이동 중 잠시 머무는 섬’입니다. 독도는 먼 길을 이동하는 새들이 쉬어 가는 곳이기도 해요.</ns0:t>
        </ns0:is>
      </ns0:c>
      <ns0:c r="N63" s="8" t="inlineStr"/>
      <ns0:c r="O63" s="8" t="inlineStr">
        <ns0:is>
          <ns0:t>https://dokdo.mofa.go.kr/kor/introduce/nature.jsp</ns0:t>
        </ns0:is>
      </ns0:c>
      <ns0:c r="P63" s="5">
        <ns0:f>LEN(E63)+MAX(LEN(F63),LEN(G63),LEN(H63))</ns0:f>
        <ns0:v>39</ns0:v>
      </ns0:c>
      <ns0:c r="Q63" s="9" t="inlineStr">
        <ns0:is>
          <ns0:t>출처 기반 자체 검토 / 독립 승인 전</ns0:t>
        </ns0:is>
      </ns0:c>
    </ns0:row>
    <ns0:row r="64" ht="98" customHeight="1">
      <ns0:c r="A64" s="2" t="n">
        <ns0:v>910063</ns0:v>
      </ns0:c>
      <ns0:c r="B64" s="2" t="n">
        <ns0:v>4</ns0:v>
      </ns0:c>
      <ns0:c r="C64" s="2" t="inlineStr">
        <ns0:is>
          <ns0:t>dk-migratory-stopover</ns0:t>
        </ns0:is>
      </ns0:c>
      <ns0:c r="D64" s="2" t="n">
        <ns0:v>3</ns0:v>
      </ns0:c>
      <ns0:c r="E64" s="6" t="inlineStr">
        <ns0:is>
          <ns0:t>자료가 설명하는 독도의 생태적 가치는?</ns0:t>
        </ns0:is>
      </ns0:c>
      <ns0:c r="F64" s="6" t="inlineStr">
        <ns0:is>
          <ns0:t>모든 철새의 최종 목적지다</ns0:t>
        </ns0:is>
      </ns0:c>
      <ns0:c r="G64" s="6" t="inlineStr">
        <ns0:is>
          <ns0:t>철새는 독도에서만 먹이를 얻는다</ns0:t>
        </ns0:is>
      </ns0:c>
      <ns0:c r="H64" s="6" t="inlineStr">
        <ns0:is>
          <ns0:t>철새의 이동 과정에서 휴식처가 된다</ns0:t>
        </ns0:is>
      </ns0:c>
      <ns0:c r="I64" s="6" t="n">
        <ns0:v>3</ns0:v>
      </ns0:c>
      <ns0:c r="J64" s="6" t="inlineStr">
        <ns0:is>
          <ns0:t>독도는 먼 길을 이동하는 새들이 쉬어 가는 곳이기도 해요.</ns0:t>
        </ns0:is>
      </ns0:c>
      <ns0:c r="K64" s="6" t="inlineStr">
        <ns0:is>
          <ns0:t>고른 보기 ‘모든 철새의 최종 목적지다’와 달라요. 이 문항의 정답은 ‘철새의 이동 과정에서 휴식처가 된다’입니다. 독도는 먼 길을 이동하는 새들이 쉬어 가는 곳이기도 해요.</ns0:t>
        </ns0:is>
      </ns0:c>
      <ns0:c r="L64" s="6" t="inlineStr">
        <ns0:is>
          <ns0:t>고른 보기 ‘철새는 독도에서만 먹이를 얻는다’와 달라요. 이 문항의 정답은 ‘철새의 이동 과정에서 휴식처가 된다’입니다. 독도는 먼 길을 이동하는 새들이 쉬어 가는 곳이기도 해요.</ns0:t>
        </ns0:is>
      </ns0:c>
      <ns0:c r="M64" s="6" t="inlineStr">
        <ns0:is>
          <ns0:t>독도는 먼 길을 이동하는 새들이 쉬어 가는 곳이기도 해요.</ns0:t>
        </ns0:is>
      </ns0:c>
      <ns0:c r="N64" s="6" t="inlineStr">
        <ns0:is>
          <ns0:t>외교부는 독도를 철새 이동경로의 중간 피난처와 휴식처로 소개합니다. 모든 새가 같은 기간 머문다는 뜻은 아닙니다.</ns0:t>
        </ns0:is>
      </ns0:c>
      <ns0:c r="O64" s="6" t="inlineStr">
        <ns0:is>
          <ns0:t>https://dokdo.mofa.go.kr/kor/introduce/nature.jsp</ns0:t>
        </ns0:is>
      </ns0:c>
      <ns0:c r="P64" s="3">
        <ns0:f>LEN(E64)+MAX(LEN(F64),LEN(G64),LEN(H64))</ns0:f>
        <ns0:v>40</ns0:v>
      </ns0:c>
      <ns0:c r="Q64" s="7" t="inlineStr">
        <ns0:is>
          <ns0:t>출처 기반 자체 검토 / 독립 승인 전</ns0:t>
        </ns0:is>
      </ns0:c>
    </ns0:row>
    <ns0:row r="65" ht="98" customHeight="1">
      <ns0:c r="A65" s="4" t="n">
        <ns0:v>910064</ns0:v>
      </ns0:c>
      <ns0:c r="B65" s="4" t="n">
        <ns0:v>4</ns0:v>
      </ns0:c>
      <ns0:c r="C65" s="4" t="inlineStr">
        <ns0:is>
          <ns0:t>dk-migratory-stopover</ns0:t>
        </ns0:is>
      </ns0:c>
      <ns0:c r="D65" s="4" t="n">
        <ns0:v>4</ns0:v>
      </ns0:c>
      <ns0:c r="E65" s="8" t="inlineStr">
        <ns0:is>
          <ns0:t>‘독도에 온 새는 모두 그곳에서 번식한다’는 말은?</ns0:t>
        </ns0:is>
      </ns0:c>
      <ns0:c r="F65" s="8" t="inlineStr">
        <ns0:is>
          <ns0:t>잠시 머무는 새는 이동하는 새가 아니다</ns0:t>
        </ns0:is>
      </ns0:c>
      <ns0:c r="G65" s="8" t="inlineStr">
        <ns0:is>
          <ns0:t>휴식과 번식을 구별한 추가 자료가 필요하다</ns0:t>
        </ns0:is>
      </ns0:c>
      <ns0:c r="H65" s="8" t="inlineStr">
        <ns0:is>
          <ns0:t>쉼터라는 설명만으로 충분히 증명된다</ns0:t>
        </ns0:is>
      </ns0:c>
      <ns0:c r="I65" s="8" t="n">
        <ns0:v>2</ns0:v>
      </ns0:c>
      <ns0:c r="J65" s="8" t="inlineStr">
        <ns0:is>
          <ns0:t>독도는 먼 길을 이동하는 새들이 쉬어 가는 곳이기도 해요.</ns0:t>
        </ns0:is>
      </ns0:c>
      <ns0:c r="K65" s="8" t="inlineStr">
        <ns0:is>
          <ns0:t>고른 보기 ‘잠시 머무는 새는 이동하는 새가 아니다’와 달라요. 이 문항의 정답은 ‘휴식과 번식을 구별한 추가 자료가 필요하다’입니다. 독도는 먼 길을 이동하는 새들이 쉬어 가는 곳이기도 해요.</ns0:t>
        </ns0:is>
      </ns0:c>
      <ns0:c r="L65" s="8" t="inlineStr">
        <ns0:is>
          <ns0:t>독도는 먼 길을 이동하는 새들이 쉬어 가는 곳이기도 해요.</ns0:t>
        </ns0:is>
      </ns0:c>
      <ns0:c r="M65" s="8" t="inlineStr">
        <ns0:is>
          <ns0:t>고른 보기 ‘쉼터라는 설명만으로 충분히 증명된다’와 달라요. 이 문항의 정답은 ‘휴식과 번식을 구별한 추가 자료가 필요하다’입니다. 독도는 먼 길을 이동하는 새들이 쉬어 가는 곳이기도 해요.</ns0:t>
        </ns0:is>
      </ns0:c>
      <ns0:c r="N65" s="8" t="inlineStr">
        <ns0:is>
          <ns0:t>외교부는 독도를 철새 이동경로의 중간 피난처와 휴식처로 소개합니다. 모든 새가 같은 기간 머문다는 뜻은 아닙니다.</ns0:t>
        </ns0:is>
      </ns0:c>
      <ns0:c r="O65" s="8" t="inlineStr">
        <ns0:is>
          <ns0:t>https://dokdo.mofa.go.kr/kor/introduce/nature.jsp</ns0:t>
        </ns0:is>
      </ns0:c>
      <ns0:c r="P65" s="5">
        <ns0:f>LEN(E65)+MAX(LEN(F65),LEN(G65),LEN(H65))</ns0:f>
        <ns0:v>51</ns0:v>
      </ns0:c>
      <ns0:c r="Q65" s="9" t="inlineStr">
        <ns0:is>
          <ns0:t>출처 기반 자체 검토 / 독립 승인 전</ns0:t>
        </ns0:is>
      </ns0:c>
    </ns0:row>
    <ns0:row r="66" ht="98" customHeight="1">
      <ns0:c r="A66" s="2" t="n">
        <ns0:v>910065</ns0:v>
      </ns0:c>
      <ns0:c r="B66" s="2" t="n">
        <ns0:v>4</ns0:v>
      </ns0:c>
      <ns0:c r="C66" s="2" t="inlineStr">
        <ns0:is>
          <ns0:t>dk-breeding-birds</ns0:t>
        </ns0:is>
      </ns0:c>
      <ns0:c r="D66" s="2" t="n">
        <ns0:v>1</ns0:v>
      </ns0:c>
      <ns0:c r="E66" s="6" t="inlineStr">
        <ns0:is>
          <ns0:t>독도에서 번식하는 바닷새의 예는?</ns0:t>
        </ns0:is>
      </ns0:c>
      <ns0:c r="F66" s="6" t="inlineStr">
        <ns0:is>
          <ns0:t>괭이갈매기</ns0:t>
        </ns0:is>
      </ns0:c>
      <ns0:c r="G66" s="6" t="inlineStr">
        <ns0:is>
          <ns0:t>참새만</ns0:t>
        </ns0:is>
      </ns0:c>
      <ns0:c r="H66" s="6" t="inlineStr">
        <ns0:is>
          <ns0:t>도시비둘기만</ns0:t>
        </ns0:is>
      </ns0:c>
      <ns0:c r="I66" s="6" t="n">
        <ns0:v>1</ns0:v>
      </ns0:c>
      <ns0:c r="J66" s="6" t="inlineStr">
        <ns0:is>
          <ns0:t>독도에서는 괭이갈매기·바다제비·슴새 같은 바닷새가 번식해요. 번식은 새끼를 낳고 기르는 일이에요.</ns0:t>
        </ns0:is>
      </ns0:c>
      <ns0:c r="K66" s="6" t="inlineStr">
        <ns0:is>
          <ns0:t>독도에서는 괭이갈매기·바다제비·슴새 같은 바닷새가 번식해요. 번식은 새끼를 낳고 기르는 일이에요.</ns0:t>
        </ns0:is>
      </ns0:c>
      <ns0:c r="L66" s="6" t="inlineStr">
        <ns0:is>
          <ns0:t>고른 보기 ‘참새만’와 달라요. 이 문항의 정답은 ‘괭이갈매기’입니다. 독도에서는 괭이갈매기·바다제비·슴새 같은 바닷새가 번식해요. 번식은 새끼를 낳고 기르는 일이에요.</ns0:t>
        </ns0:is>
      </ns0:c>
      <ns0:c r="M66" s="6" t="inlineStr">
        <ns0:is>
          <ns0:t>고른 보기 ‘도시비둘기만’와 달라요. 이 문항의 정답은 ‘괭이갈매기’입니다. 독도에서는 괭이갈매기·바다제비·슴새 같은 바닷새가 번식해요. 번식은 새끼를 낳고 기르는 일이에요.</ns0:t>
        </ns0:is>
      </ns0:c>
      <ns0:c r="N66" s="6" t="inlineStr"/>
      <ns0:c r="O66" s="6" t="inlineStr">
        <ns0:is>
          <ns0:t>https://www.heritage.go.kr/heri/cul/culSelectDetail.do?VdkVgwKey=16%2C03360000%2C37&amp;pageNo=1_1_2_0</ns0:t>
        </ns0:is>
      </ns0:c>
      <ns0:c r="P66" s="3">
        <ns0:f>LEN(E66)+MAX(LEN(F66),LEN(G66),LEN(H66))</ns0:f>
        <ns0:v>24</ns0:v>
      </ns0:c>
      <ns0:c r="Q66" s="7" t="inlineStr">
        <ns0:is>
          <ns0:t>출처 기반 자체 검토 / 독립 승인 전</ns0:t>
        </ns0:is>
      </ns0:c>
    </ns0:row>
    <ns0:row r="67" ht="98" customHeight="1">
      <ns0:c r="A67" s="4" t="n">
        <ns0:v>910066</ns0:v>
      </ns0:c>
      <ns0:c r="B67" s="4" t="n">
        <ns0:v>4</ns0:v>
      </ns0:c>
      <ns0:c r="C67" s="4" t="inlineStr">
        <ns0:is>
          <ns0:t>dk-breeding-birds</ns0:t>
        </ns0:is>
      </ns0:c>
      <ns0:c r="D67" s="4" t="n">
        <ns0:v>2</ns0:v>
      </ns0:c>
      <ns0:c r="E67" s="8" t="inlineStr">
        <ns0:is>
          <ns0:t>독도가 새의 번식지라는 뜻은?</ns0:t>
        </ns0:is>
      </ns0:c>
      <ns0:c r="F67" s="8" t="inlineStr">
        <ns0:is>
          <ns0:t>새가 잠깐 지나가기만 하는 곳</ns0:t>
        </ns0:is>
      </ns0:c>
      <ns0:c r="G67" s="8" t="inlineStr">
        <ns0:is>
          <ns0:t>새 이름을 전시하는 건물</ns0:t>
        </ns0:is>
      </ns0:c>
      <ns0:c r="H67" s="8" t="inlineStr">
        <ns0:is>
          <ns0:t>새끼를 낳고 기르는 곳</ns0:t>
        </ns0:is>
      </ns0:c>
      <ns0:c r="I67" s="8" t="n">
        <ns0:v>3</ns0:v>
      </ns0:c>
      <ns0:c r="J67" s="8" t="inlineStr">
        <ns0:is>
          <ns0:t>독도에서는 괭이갈매기·바다제비·슴새 같은 바닷새가 번식해요. 번식은 새끼를 낳고 기르는 일이에요.</ns0:t>
        </ns0:is>
      </ns0:c>
      <ns0:c r="K67" s="8" t="inlineStr">
        <ns0:is>
          <ns0:t>고른 보기 ‘새가 잠깐 지나가기만 하는 곳’와 달라요. 이 문항의 정답은 ‘새끼를 낳고 기르는 곳’입니다. 독도에서는 괭이갈매기·바다제비·슴새 같은 바닷새가 번식해요. 번식은 새끼를 낳고 기르는 일이에요.</ns0:t>
        </ns0:is>
      </ns0:c>
      <ns0:c r="L67" s="8" t="inlineStr">
        <ns0:is>
          <ns0:t>고른 보기 ‘새 이름을 전시하는 건물’와 달라요. 이 문항의 정답은 ‘새끼를 낳고 기르는 곳’입니다. 독도에서는 괭이갈매기·바다제비·슴새 같은 바닷새가 번식해요. 번식은 새끼를 낳고 기르는 일이에요.</ns0:t>
        </ns0:is>
      </ns0:c>
      <ns0:c r="M67" s="8" t="inlineStr">
        <ns0:is>
          <ns0:t>독도에서는 괭이갈매기·바다제비·슴새 같은 바닷새가 번식해요. 번식은 새끼를 낳고 기르는 일이에요.</ns0:t>
        </ns0:is>
      </ns0:c>
      <ns0:c r="N67" s="8" t="inlineStr"/>
      <ns0:c r="O67" s="8" t="inlineStr">
        <ns0:is>
          <ns0:t>https://www.heritage.go.kr/heri/cul/culSelectDetail.do?VdkVgwKey=16%2C03360000%2C37&amp;pageNo=1_1_2_0</ns0:t>
        </ns0:is>
      </ns0:c>
      <ns0:c r="P67" s="5">
        <ns0:f>LEN(E67)+MAX(LEN(F67),LEN(G67),LEN(H67))</ns0:f>
        <ns0:v>32</ns0:v>
      </ns0:c>
      <ns0:c r="Q67" s="9" t="inlineStr">
        <ns0:is>
          <ns0:t>출처 기반 자체 검토 / 독립 승인 전</ns0:t>
        </ns0:is>
      </ns0:c>
    </ns0:row>
    <ns0:row r="68" ht="98" customHeight="1">
      <ns0:c r="A68" s="2" t="n">
        <ns0:v>910067</ns0:v>
      </ns0:c>
      <ns0:c r="B68" s="2" t="n">
        <ns0:v>4</ns0:v>
      </ns0:c>
      <ns0:c r="C68" s="2" t="inlineStr">
        <ns0:is>
          <ns0:t>dk-breeding-birds</ns0:t>
        </ns0:is>
      </ns0:c>
      <ns0:c r="D68" s="2" t="n">
        <ns0:v>3</ns0:v>
      </ns0:c>
      <ns0:c r="E68" s="6" t="inlineStr">
        <ns0:is>
          <ns0:t>번식지를 판단하는 데 더 직접적인 관찰은?</ns0:t>
        </ns0:is>
      </ns0:c>
      <ns0:c r="F68" s="6" t="inlineStr">
        <ns0:is>
          <ns0:t>빈 바위 사진 한 장</ns0:t>
        </ns0:is>
      </ns0:c>
      <ns0:c r="G68" s="6" t="inlineStr">
        <ns0:is>
          <ns0:t>둥지와 새끼를 기르는 행동</ns0:t>
        </ns0:is>
      </ns0:c>
      <ns0:c r="H68" s="6" t="inlineStr">
        <ns0:is>
          <ns0:t>하늘을 한 번 지나간 새</ns0:t>
        </ns0:is>
      </ns0:c>
      <ns0:c r="I68" s="6" t="n">
        <ns0:v>2</ns0:v>
      </ns0:c>
      <ns0:c r="J68" s="6" t="inlineStr">
        <ns0:is>
          <ns0:t>독도에서는 괭이갈매기·바다제비·슴새 같은 바닷새가 번식해요. 번식은 새끼를 낳고 기르는 일이에요.</ns0:t>
        </ns0:is>
      </ns0:c>
      <ns0:c r="K68" s="6" t="inlineStr">
        <ns0:is>
          <ns0:t>고른 보기 ‘빈 바위 사진 한 장’와 달라요. 이 문항의 정답은 ‘둥지와 새끼를 기르는 행동’입니다. 독도에서는 괭이갈매기·바다제비·슴새 같은 바닷새가 번식해요. 번식은 새끼를 낳고 기르는 일이에요.</ns0:t>
        </ns0:is>
      </ns0:c>
      <ns0:c r="L68" s="6" t="inlineStr">
        <ns0:is>
          <ns0:t>독도에서는 괭이갈매기·바다제비·슴새 같은 바닷새가 번식해요. 번식은 새끼를 낳고 기르는 일이에요.</ns0:t>
        </ns0:is>
      </ns0:c>
      <ns0:c r="M68" s="6" t="inlineStr">
        <ns0:is>
          <ns0:t>고른 보기 ‘하늘을 한 번 지나간 새’와 달라요. 이 문항의 정답은 ‘둥지와 새끼를 기르는 행동’입니다. 독도에서는 괭이갈매기·바다제비·슴새 같은 바닷새가 번식해요. 번식은 새끼를 낳고 기르는 일이에요.</ns0:t>
        </ns0:is>
      </ns0:c>
      <ns0:c r="N68" s="6" t="inlineStr">
        <ns0:is>
          <ns0:t>국가유산청 설명은 독도를 바다제비·슴새·괭이갈매기의 번식지로 소개합니다. 번식지라는 말은 새를 한 번 보았다는 말보다 구체적인 생태 정보를 담습니다.</ns0:t>
        </ns0:is>
      </ns0:c>
      <ns0:c r="O68" s="6" t="inlineStr">
        <ns0:is>
          <ns0:t>https://www.heritage.go.kr/heri/cul/culSelectDetail.do?VdkVgwKey=16%2C03360000%2C37&amp;pageNo=1_1_2_0</ns0:t>
        </ns0:is>
      </ns0:c>
      <ns0:c r="P68" s="3">
        <ns0:f>LEN(E68)+MAX(LEN(F68),LEN(G68),LEN(H68))</ns0:f>
        <ns0:v>37</ns0:v>
      </ns0:c>
      <ns0:c r="Q68" s="7" t="inlineStr">
        <ns0:is>
          <ns0:t>출처 기반 자체 검토 / 독립 승인 전</ns0:t>
        </ns0:is>
      </ns0:c>
    </ns0:row>
    <ns0:row r="69" ht="98" customHeight="1">
      <ns0:c r="A69" s="4" t="n">
        <ns0:v>910068</ns0:v>
      </ns0:c>
      <ns0:c r="B69" s="4" t="n">
        <ns0:v>4</ns0:v>
      </ns0:c>
      <ns0:c r="C69" s="4" t="inlineStr">
        <ns0:is>
          <ns0:t>dk-breeding-birds</ns0:t>
        </ns0:is>
      </ns0:c>
      <ns0:c r="D69" s="4" t="n">
        <ns0:v>4</ns0:v>
      </ns0:c>
      <ns0:c r="E69" s="8" t="inlineStr">
        <ns0:is>
          <ns0:t>새 한 마리의 통과 사진만으로 번식지라 한다면?</ns0:t>
        </ns0:is>
      </ns0:c>
      <ns0:c r="F69" s="8" t="inlineStr">
        <ns0:is>
          <ns0:t>번식 행동이나 둥지 자료가 더 필요하다</ns0:t>
        </ns0:is>
      </ns0:c>
      <ns0:c r="G69" s="8" t="inlineStr">
        <ns0:is>
          <ns0:t>날개가 보이면 번식이 확인된다</ns0:t>
        </ns0:is>
      </ns0:c>
      <ns0:c r="H69" s="8" t="inlineStr">
        <ns0:is>
          <ns0:t>자료에 종 이름이 있으면 항상 번식한다</ns0:t>
        </ns0:is>
      </ns0:c>
      <ns0:c r="I69" s="8" t="n">
        <ns0:v>1</ns0:v>
      </ns0:c>
      <ns0:c r="J69" s="8" t="inlineStr">
        <ns0:is>
          <ns0:t>독도에서는 괭이갈매기·바다제비·슴새 같은 바닷새가 번식해요. 번식은 새끼를 낳고 기르는 일이에요.</ns0:t>
        </ns0:is>
      </ns0:c>
      <ns0:c r="K69" s="8" t="inlineStr">
        <ns0:is>
          <ns0:t>독도에서는 괭이갈매기·바다제비·슴새 같은 바닷새가 번식해요. 번식은 새끼를 낳고 기르는 일이에요.</ns0:t>
        </ns0:is>
      </ns0:c>
      <ns0:c r="L69" s="8" t="inlineStr">
        <ns0:is>
          <ns0:t>고른 보기 ‘날개가 보이면 번식이 확인된다’와 달라요. 이 문항의 정답은 ‘번식 행동이나 둥지 자료가 더 필요하다’입니다. 독도에서는 괭이갈매기·바다제비·슴새 같은 바닷새가 번식해요. 번식은 새끼를 낳고 기르는 일이에요.</ns0:t>
        </ns0:is>
      </ns0:c>
      <ns0:c r="M69" s="8" t="inlineStr">
        <ns0:is>
          <ns0:t>고른 보기 ‘자료에 종 이름이 있으면 항상 번식한다’와 달라요. 이 문항의 정답은 ‘번식 행동이나 둥지 자료가 더 필요하다’입니다. 독도에서는 괭이갈매기·바다제비·슴새 같은 바닷새가 번식해요. 번식은 새끼를 낳고 기르는 일이에요.</ns0:t>
        </ns0:is>
      </ns0:c>
      <ns0:c r="N69" s="8" t="inlineStr">
        <ns0:is>
          <ns0:t>국가유산청 설명은 독도를 바다제비·슴새·괭이갈매기의 번식지로 소개합니다. 번식지라는 말은 새를 한 번 보았다는 말보다 구체적인 생태 정보를 담습니다.</ns0:t>
        </ns0:is>
      </ns0:c>
      <ns0:c r="O69" s="8" t="inlineStr">
        <ns0:is>
          <ns0:t>https://www.heritage.go.kr/heri/cul/culSelectDetail.do?VdkVgwKey=16%2C03360000%2C37&amp;pageNo=1_1_2_0</ns0:t>
        </ns0:is>
      </ns0:c>
      <ns0:c r="P69" s="5">
        <ns0:f>LEN(E69)+MAX(LEN(F69),LEN(G69),LEN(H69))</ns0:f>
        <ns0:v>47</ns0:v>
      </ns0:c>
      <ns0:c r="Q69" s="9" t="inlineStr">
        <ns0:is>
          <ns0:t>출처 기반 자체 검토 / 독립 승인 전</ns0:t>
        </ns0:is>
      </ns0:c>
    </ns0:row>
    <ns0:row r="70" ht="98" customHeight="1">
      <ns0:c r="A70" s="2" t="n">
        <ns0:v>910069</ns0:v>
      </ns0:c>
      <ns0:c r="B70" s="2" t="n">
        <ns0:v>4</ns0:v>
      </ns0:c>
      <ns0:c r="C70" s="2" t="inlineStr">
        <ns0:is>
          <ns0:t>dk-birds-and-seaweed</ns0:t>
        </ns0:is>
      </ns0:c>
      <ns0:c r="D70" s="2" t="n">
        <ns0:v>1</ns0:v>
      </ns0:c>
      <ns0:c r="E70" s="6" t="inlineStr">
        <ns0:is>
          <ns0:t>미역과 달리 독도의 바닷새인 것은?</ns0:t>
        </ns0:is>
      </ns0:c>
      <ns0:c r="F70" s="6" t="inlineStr">
        <ns0:is>
          <ns0:t>다시마</ns0:t>
        </ns0:is>
      </ns0:c>
      <ns0:c r="G70" s="6" t="inlineStr">
        <ns0:is>
          <ns0:t>김</ns0:t>
        </ns0:is>
      </ns0:c>
      <ns0:c r="H70" s="6" t="inlineStr">
        <ns0:is>
          <ns0:t>괭이갈매기</ns0:t>
        </ns0:is>
      </ns0:c>
      <ns0:c r="I70" s="6" t="n">
        <ns0:v>3</ns0:v>
      </ns0:c>
      <ns0:c r="J70" s="6" t="inlineStr">
        <ns0:is>
          <ns0:t>독도에는 바닷새도, 미역 같은 바닷말도 있어요. 비슷하게 들리는 말이라도 가리키는 생물은 다를 수 있어요.</ns0:t>
        </ns0:is>
      </ns0:c>
      <ns0:c r="K70" s="6" t="inlineStr">
        <ns0:is>
          <ns0:t>고른 보기 ‘다시마’와 달라요. 이 문항의 정답은 ‘괭이갈매기’입니다. 독도에는 바닷새도, 미역 같은 바닷말도 있어요. 비슷하게 들리는 말이라도 가리키는 생물은 다를 수 있어요.</ns0:t>
        </ns0:is>
      </ns0:c>
      <ns0:c r="L70" s="6" t="inlineStr">
        <ns0:is>
          <ns0:t>고른 보기 ‘김’와 달라요. 이 문항의 정답은 ‘괭이갈매기’입니다. 독도에는 바닷새도, 미역 같은 바닷말도 있어요. 비슷하게 들리는 말이라도 가리키는 생물은 다를 수 있어요.</ns0:t>
        </ns0:is>
      </ns0:c>
      <ns0:c r="M70" s="6" t="inlineStr">
        <ns0:is>
          <ns0:t>독도에는 바닷새도, 미역 같은 바닷말도 있어요. 비슷하게 들리는 말이라도 가리키는 생물은 다를 수 있어요.</ns0:t>
        </ns0:is>
      </ns0:c>
      <ns0:c r="N70" s="6" t="inlineStr"/>
      <ns0:c r="O70" s="6" t="inlineStr">
        <ns0:is>
          <ns0:t>https://www.heritage.go.kr/heri/cul/culSelectDetail.do?VdkVgwKey=16%2C03360000%2C37&amp;pageNo=1_1_2_0
https://dokdo.mofa.go.kr/kor/introduce/nature.jsp</ns0:t>
        </ns0:is>
      </ns0:c>
      <ns0:c r="P70" s="3">
        <ns0:f>LEN(E70)+MAX(LEN(F70),LEN(G70),LEN(H70))</ns0:f>
        <ns0:v>24</ns0:v>
      </ns0:c>
      <ns0:c r="Q70" s="7" t="inlineStr">
        <ns0:is>
          <ns0:t>출처 기반 자체 검토 / 독립 승인 전</ns0:t>
        </ns0:is>
      </ns0:c>
    </ns0:row>
    <ns0:row r="71" ht="98" customHeight="1">
      <ns0:c r="A71" s="4" t="n">
        <ns0:v>910070</ns0:v>
      </ns0:c>
      <ns0:c r="B71" s="4" t="n">
        <ns0:v>4</ns0:v>
      </ns0:c>
      <ns0:c r="C71" s="4" t="inlineStr">
        <ns0:is>
          <ns0:t>dk-birds-and-seaweed</ns0:t>
        </ns0:is>
      </ns0:c>
      <ns0:c r="D71" s="4" t="n">
        <ns0:v>2</ns0:v>
      </ns0:c>
      <ns0:c r="E71" s="8" t="inlineStr">
        <ns0:is>
          <ns0:t>괭이갈매기와 미역을 바르게 나누면?</ns0:t>
        </ns0:is>
      </ns0:c>
      <ns0:c r="F71" s="8" t="inlineStr">
        <ns0:is>
          <ns0:t>둘 다 물고기</ns0:t>
        </ns0:is>
      </ns0:c>
      <ns0:c r="G71" s="8" t="inlineStr">
        <ns0:is>
          <ns0:t>괭이갈매기=새·미역=바닷말</ns0:t>
        </ns0:is>
      </ns0:c>
      <ns0:c r="H71" s="8" t="inlineStr">
        <ns0:is>
          <ns0:t>괭이갈매기=바닷말·미역=새</ns0:t>
        </ns0:is>
      </ns0:c>
      <ns0:c r="I71" s="8" t="n">
        <ns0:v>2</ns0:v>
      </ns0:c>
      <ns0:c r="J71" s="8" t="inlineStr">
        <ns0:is>
          <ns0:t>독도에는 바닷새도, 미역 같은 바닷말도 있어요. 비슷하게 들리는 말이라도 가리키는 생물은 다를 수 있어요.</ns0:t>
        </ns0:is>
      </ns0:c>
      <ns0:c r="K71" s="8" t="inlineStr">
        <ns0:is>
          <ns0:t>고른 보기 ‘둘 다 물고기’와 달라요. 이 문항의 정답은 ‘괭이갈매기=새·미역=바닷말’입니다. 독도에는 바닷새도, 미역 같은 바닷말도 있어요. 비슷하게 들리는 말이라도 가리키는 생물은 다를 수 있어요.</ns0:t>
        </ns0:is>
      </ns0:c>
      <ns0:c r="L71" s="8" t="inlineStr">
        <ns0:is>
          <ns0:t>독도에는 바닷새도, 미역 같은 바닷말도 있어요. 비슷하게 들리는 말이라도 가리키는 생물은 다를 수 있어요.</ns0:t>
        </ns0:is>
      </ns0:c>
      <ns0:c r="M71" s="8" t="inlineStr">
        <ns0:is>
          <ns0:t>고른 보기 ‘괭이갈매기=바닷말·미역=새’와 달라요. 이 문항의 정답은 ‘괭이갈매기=새·미역=바닷말’입니다. 독도에는 바닷새도, 미역 같은 바닷말도 있어요. 비슷하게 들리는 말이라도 가리키는 생물은 다를 수 있어요.</ns0:t>
        </ns0:is>
      </ns0:c>
      <ns0:c r="N71" s="8" t="inlineStr"/>
      <ns0:c r="O71" s="8" t="inlineStr">
        <ns0:is>
          <ns0:t>https://www.heritage.go.kr/heri/cul/culSelectDetail.do?VdkVgwKey=16%2C03360000%2C37&amp;pageNo=1_1_2_0
https://dokdo.mofa.go.kr/kor/introduce/nature.jsp</ns0:t>
        </ns0:is>
      </ns0:c>
      <ns0:c r="P71" s="5">
        <ns0:f>LEN(E71)+MAX(LEN(F71),LEN(G71),LEN(H71))</ns0:f>
        <ns0:v>33</ns0:v>
      </ns0:c>
      <ns0:c r="Q71" s="9" t="inlineStr">
        <ns0:is>
          <ns0:t>출처 기반 자체 검토 / 독립 승인 전</ns0:t>
        </ns0:is>
      </ns0:c>
    </ns0:row>
    <ns0:row r="72" ht="98" customHeight="1">
      <ns0:c r="A72" s="2" t="n">
        <ns0:v>910071</ns0:v>
      </ns0:c>
      <ns0:c r="B72" s="2" t="n">
        <ns0:v>4</ns0:v>
      </ns0:c>
      <ns0:c r="C72" s="2" t="inlineStr">
        <ns0:is>
          <ns0:t>dk-birds-and-seaweed</ns0:t>
        </ns0:is>
      </ns0:c>
      <ns0:c r="D72" s="2" t="n">
        <ns0:v>3</ns0:v>
      </ns0:c>
      <ns0:c r="E72" s="6" t="inlineStr">
        <ns0:is>
          <ns0:t>자료의 海鳥類가 가리키는 것은?</ns0:t>
        </ns0:is>
      </ns0:c>
      <ns0:c r="F72" s="6" t="inlineStr">
        <ns0:is>
          <ns0:t>바닷새</ns0:t>
        </ns0:is>
      </ns0:c>
      <ns0:c r="G72" s="6" t="inlineStr">
        <ns0:is>
          <ns0:t>바닷말</ns0:t>
        </ns0:is>
      </ns0:c>
      <ns0:c r="H72" s="6" t="inlineStr">
        <ns0:is>
          <ns0:t>해안의 바위</ns0:t>
        </ns0:is>
      </ns0:c>
      <ns0:c r="I72" s="6" t="n">
        <ns0:v>1</ns0:v>
      </ns0:c>
      <ns0:c r="J72" s="6" t="inlineStr">
        <ns0:is>
          <ns0:t>독도에는 바닷새도, 미역 같은 바닷말도 있어요. 비슷하게 들리는 말이라도 가리키는 생물은 다를 수 있어요.</ns0:t>
        </ns0:is>
      </ns0:c>
      <ns0:c r="K72" s="6" t="inlineStr">
        <ns0:is>
          <ns0:t>독도에는 바닷새도, 미역 같은 바닷말도 있어요. 비슷하게 들리는 말이라도 가리키는 생물은 다를 수 있어요.</ns0:t>
        </ns0:is>
      </ns0:c>
      <ns0:c r="L72" s="6" t="inlineStr">
        <ns0:is>
          <ns0:t>고른 보기 ‘바닷말’와 달라요. 이 문항의 정답은 ‘바닷새’입니다. 독도에는 바닷새도, 미역 같은 바닷말도 있어요. 비슷하게 들리는 말이라도 가리키는 생물은 다를 수 있어요.</ns0:t>
        </ns0:is>
      </ns0:c>
      <ns0:c r="M72" s="6" t="inlineStr">
        <ns0:is>
          <ns0:t>고른 보기 ‘해안의 바위’와 달라요. 이 문항의 정답은 ‘바닷새’입니다. 독도에는 바닷새도, 미역 같은 바닷말도 있어요. 비슷하게 들리는 말이라도 가리키는 생물은 다를 수 있어요.</ns0:t>
        </ns0:is>
      </ns0:c>
      <ns0:c r="N72" s="6" t="inlineStr">
        <ns0:is>
          <ns0:t>국가유산 설명의 해조류(海鳥類)는 바닷새입니다. 바닷말을 뜻하는 해조류(海藻類)와 한자가 다릅니다. 괭이갈매기는 새, 미역은 바닷말입니다.</ns0:t>
        </ns0:is>
      </ns0:c>
      <ns0:c r="O72" s="6" t="inlineStr">
        <ns0:is>
          <ns0:t>https://www.heritage.go.kr/heri/cul/culSelectDetail.do?VdkVgwKey=16%2C03360000%2C37&amp;pageNo=1_1_2_0
https://dokdo.mofa.go.kr/kor/introduce/nature.jsp</ns0:t>
        </ns0:is>
      </ns0:c>
      <ns0:c r="P72" s="3">
        <ns0:f>LEN(E72)+MAX(LEN(F72),LEN(G72),LEN(H72))</ns0:f>
        <ns0:v>23</ns0:v>
      </ns0:c>
      <ns0:c r="Q72" s="7" t="inlineStr">
        <ns0:is>
          <ns0:t>출처 기반 자체 검토 / 독립 승인 전</ns0:t>
        </ns0:is>
      </ns0:c>
    </ns0:row>
    <ns0:row r="73" ht="98" customHeight="1">
      <ns0:c r="A73" s="4" t="n">
        <ns0:v>910072</ns0:v>
      </ns0:c>
      <ns0:c r="B73" s="4" t="n">
        <ns0:v>4</ns0:v>
      </ns0:c>
      <ns0:c r="C73" s="4" t="inlineStr">
        <ns0:is>
          <ns0:t>dk-birds-and-seaweed</ns0:t>
        </ns0:is>
      </ns0:c>
      <ns0:c r="D73" s="4" t="n">
        <ns0:v>4</ns0:v>
      </ns0:c>
      <ns0:c r="E73" s="8" t="inlineStr">
        <ns0:is>
          <ns0:t>‘해조류 번식지’를 미역 번식지로만 읽으면?</ns0:t>
        </ns0:is>
      </ns0:c>
      <ns0:c r="F73" s="8" t="inlineStr">
        <ns0:is>
          <ns0:t>한글 발음이 같으니 생물도 같다</ns0:t>
        </ns0:is>
      </ns0:c>
      <ns0:c r="G73" s="8" t="inlineStr">
        <ns0:is>
          <ns0:t>미역도 있으니 원문의 뜻은 중요하지 않다</ns0:t>
        </ns0:is>
      </ns0:c>
      <ns0:c r="H73" s="8" t="inlineStr">
        <ns0:is>
          <ns0:t>한자와 문맥을 확인해 바닷새인지 구분한다</ns0:t>
        </ns0:is>
      </ns0:c>
      <ns0:c r="I73" s="8" t="n">
        <ns0:v>3</ns0:v>
      </ns0:c>
      <ns0:c r="J73" s="8" t="inlineStr">
        <ns0:is>
          <ns0:t>독도에는 바닷새도, 미역 같은 바닷말도 있어요. 비슷하게 들리는 말이라도 가리키는 생물은 다를 수 있어요.</ns0:t>
        </ns0:is>
      </ns0:c>
      <ns0:c r="K73" s="8" t="inlineStr">
        <ns0:is>
          <ns0:t>고른 보기 ‘한글 발음이 같으니 생물도 같다’와 달라요. 이 문항의 정답은 ‘한자와 문맥을 확인해 바닷새인지 구분한다’입니다. 독도에는 바닷새도, 미역 같은 바닷말도 있어요. 비슷하게 들리는 말이라도 가리키는 생물은 다를 수 있어요.</ns0:t>
        </ns0:is>
      </ns0:c>
      <ns0:c r="L73" s="8" t="inlineStr">
        <ns0:is>
          <ns0:t>고른 보기 ‘미역도 있으니 원문의 뜻은 중요하지 않다’와 달라요. 이 문항의 정답은 ‘한자와 문맥을 확인해 바닷새인지 구분한다’입니다. 독도에는 바닷새도, 미역 같은 바닷말도 있어요. 비슷하게 들리는 말이라도 가리키는 생물은 다를 수 있어요.</ns0:t>
        </ns0:is>
      </ns0:c>
      <ns0:c r="M73" s="8" t="inlineStr">
        <ns0:is>
          <ns0:t>독도에는 바닷새도, 미역 같은 바닷말도 있어요. 비슷하게 들리는 말이라도 가리키는 생물은 다를 수 있어요.</ns0:t>
        </ns0:is>
      </ns0:c>
      <ns0:c r="N73" s="8" t="inlineStr">
        <ns0:is>
          <ns0:t>국가유산 설명의 해조류(海鳥類)는 바닷새입니다. 바닷말을 뜻하는 해조류(海藻類)와 한자가 다릅니다. 괭이갈매기는 새, 미역은 바닷말입니다.</ns0:t>
        </ns0:is>
      </ns0:c>
      <ns0:c r="O73" s="8" t="inlineStr">
        <ns0:is>
          <ns0:t>https://www.heritage.go.kr/heri/cul/culSelectDetail.do?VdkVgwKey=16%2C03360000%2C37&amp;pageNo=1_1_2_0
https://dokdo.mofa.go.kr/kor/introduce/nature.jsp</ns0:t>
        </ns0:is>
      </ns0:c>
      <ns0:c r="P73" s="5">
        <ns0:f>LEN(E73)+MAX(LEN(F73),LEN(G73),LEN(H73))</ns0:f>
        <ns0:v>46</ns0:v>
      </ns0:c>
      <ns0:c r="Q73" s="9" t="inlineStr">
        <ns0:is>
          <ns0:t>출처 기반 자체 검토 / 독립 승인 전</ns0:t>
        </ns0:is>
      </ns0:c>
    </ns0:row>
    <ns0:row r="74" ht="98" customHeight="1">
      <ns0:c r="A74" s="2" t="n">
        <ns0:v>910073</ns0:v>
      </ns0:c>
      <ns0:c r="B74" s="2" t="n">
        <ns0:v>4</ns0:v>
      </ns0:c>
      <ns0:c r="C74" s="2" t="inlineStr">
        <ns0:is>
          <ns0:t>dk-coastal-plants</ns0:t>
        </ns0:is>
      </ns0:c>
      <ns0:c r="D74" s="2" t="n">
        <ns0:v>1</ns0:v>
      </ns0:c>
      <ns0:c r="E74" s="6" t="inlineStr">
        <ns0:is>
          <ns0:t>독도 땅에서 자라는 식물의 예는?</ns0:t>
        </ns0:is>
      </ns0:c>
      <ns0:c r="F74" s="6" t="inlineStr">
        <ns0:is>
          <ns0:t>다시마</ns0:t>
        </ns0:is>
      </ns0:c>
      <ns0:c r="G74" s="6" t="inlineStr">
        <ns0:is>
          <ns0:t>해국</ns0:t>
        </ns0:is>
      </ns0:c>
      <ns0:c r="H74" s="6" t="inlineStr">
        <ns0:is>
          <ns0:t>미역</ns0:t>
        </ns0:is>
      </ns0:c>
      <ns0:c r="I74" s="6" t="n">
        <ns0:v>2</ns0:v>
      </ns0:c>
      <ns0:c r="J74" s="6" t="inlineStr">
        <ns0:is>
          <ns0:t>독도 땅에는 해국·섬기린초·땅채송화 같은 식물이 자라요. 바닷속 생물과 땅 위 식물을 함께 살펴보면 독도의 생명이 더 잘 보여요.</ns0:t>
        </ns0:is>
      </ns0:c>
      <ns0:c r="K74" s="6" t="inlineStr">
        <ns0:is>
          <ns0:t>고른 보기 ‘다시마’와 달라요. 이 문항의 정답은 ‘해국’입니다. 독도 땅에는 해국·섬기린초·땅채송화 같은 식물이 자라요. 바닷속 생물과 땅 위 식물을 함께 살펴보면 독도의 생명이 더 잘 보여요.</ns0:t>
        </ns0:is>
      </ns0:c>
      <ns0:c r="L74" s="6" t="inlineStr">
        <ns0:is>
          <ns0:t>독도 땅에는 해국·섬기린초·땅채송화 같은 식물이 자라요. 바닷속 생물과 땅 위 식물을 함께 살펴보면 독도의 생명이 더 잘 보여요.</ns0:t>
        </ns0:is>
      </ns0:c>
      <ns0:c r="M74" s="6" t="inlineStr">
        <ns0:is>
          <ns0:t>고른 보기 ‘미역’와 달라요. 이 문항의 정답은 ‘해국’입니다. 독도 땅에는 해국·섬기린초·땅채송화 같은 식물이 자라요. 바닷속 생물과 땅 위 식물을 함께 살펴보면 독도의 생명이 더 잘 보여요.</ns0:t>
        </ns0:is>
      </ns0:c>
      <ns0:c r="N74" s="6" t="inlineStr"/>
      <ns0:c r="O74" s="6" t="inlineStr">
        <ns0:is>
          <ns0:t>https://dokdo.mofa.go.kr/kor/introduce/nature.jsp</ns0:t>
        </ns0:is>
      </ns0:c>
      <ns0:c r="P74" s="3">
        <ns0:f>LEN(E74)+MAX(LEN(F74),LEN(G74),LEN(H74))</ns0:f>
        <ns0:v>21</ns0:v>
      </ns0:c>
      <ns0:c r="Q74" s="7" t="inlineStr">
        <ns0:is>
          <ns0:t>출처 기반 자체 검토 / 독립 승인 전</ns0:t>
        </ns0:is>
      </ns0:c>
    </ns0:row>
    <ns0:row r="75" ht="98" customHeight="1">
      <ns0:c r="A75" s="4" t="n">
        <ns0:v>910074</ns0:v>
      </ns0:c>
      <ns0:c r="B75" s="4" t="n">
        <ns0:v>4</ns0:v>
      </ns0:c>
      <ns0:c r="C75" s="4" t="inlineStr">
        <ns0:is>
          <ns0:t>dk-coastal-plants</ns0:t>
        </ns0:is>
      </ns0:c>
      <ns0:c r="D75" s="4" t="n">
        <ns0:v>2</ns0:v>
      </ns0:c>
      <ns0:c r="E75" s="8" t="inlineStr">
        <ns0:is>
          <ns0:t>해국과 미역을 서식 공간에 맞추면?</ns0:t>
        </ns0:is>
      </ns0:c>
      <ns0:c r="F75" s="8" t="inlineStr">
        <ns0:is>
          <ns0:t>해국은 땅·미역은 바다</ns0:t>
        </ns0:is>
      </ns0:c>
      <ns0:c r="G75" s="8" t="inlineStr">
        <ns0:is>
          <ns0:t>해국은 바다·미역은 땅</ns0:t>
        </ns0:is>
      </ns0:c>
      <ns0:c r="H75" s="8" t="inlineStr">
        <ns0:is>
          <ns0:t>둘 다 동도 등대 안에서만</ns0:t>
        </ns0:is>
      </ns0:c>
      <ns0:c r="I75" s="8" t="n">
        <ns0:v>1</ns0:v>
      </ns0:c>
      <ns0:c r="J75" s="8" t="inlineStr">
        <ns0:is>
          <ns0:t>독도 땅에는 해국·섬기린초·땅채송화 같은 식물이 자라요. 바닷속 생물과 땅 위 식물을 함께 살펴보면 독도의 생명이 더 잘 보여요.</ns0:t>
        </ns0:is>
      </ns0:c>
      <ns0:c r="K75" s="8" t="inlineStr">
        <ns0:is>
          <ns0:t>독도 땅에는 해국·섬기린초·땅채송화 같은 식물이 자라요. 바닷속 생물과 땅 위 식물을 함께 살펴보면 독도의 생명이 더 잘 보여요.</ns0:t>
        </ns0:is>
      </ns0:c>
      <ns0:c r="L75" s="8" t="inlineStr">
        <ns0:is>
          <ns0:t>고른 보기 ‘해국은 바다·미역은 땅’와 달라요. 이 문항의 정답은 ‘해국은 땅·미역은 바다’입니다. 독도 땅에는 해국·섬기린초·땅채송화 같은 식물이 자라요. 바닷속 생물과 땅 위 식물을 함께 살펴보면 독도의 생명이 더 잘 보여요.</ns0:t>
        </ns0:is>
      </ns0:c>
      <ns0:c r="M75" s="8" t="inlineStr">
        <ns0:is>
          <ns0:t>고른 보기 ‘둘 다 동도 등대 안에서만’와 달라요. 이 문항의 정답은 ‘해국은 땅·미역은 바다’입니다. 독도 땅에는 해국·섬기린초·땅채송화 같은 식물이 자라요. 바닷속 생물과 땅 위 식물을 함께 살펴보면 독도의 생명이 더 잘 보여요.</ns0:t>
        </ns0:is>
      </ns0:c>
      <ns0:c r="N75" s="8" t="inlineStr"/>
      <ns0:c r="O75" s="8" t="inlineStr">
        <ns0:is>
          <ns0:t>https://dokdo.mofa.go.kr/kor/introduce/nature.jsp</ns0:t>
        </ns0:is>
      </ns0:c>
      <ns0:c r="P75" s="5">
        <ns0:f>LEN(E75)+MAX(LEN(F75),LEN(G75),LEN(H75))</ns0:f>
        <ns0:v>33</ns0:v>
      </ns0:c>
      <ns0:c r="Q75" s="9" t="inlineStr">
        <ns0:is>
          <ns0:t>출처 기반 자체 검토 / 독립 승인 전</ns0:t>
        </ns0:is>
      </ns0:c>
    </ns0:row>
    <ns0:row r="76" ht="98" customHeight="1">
      <ns0:c r="A76" s="2" t="n">
        <ns0:v>910075</ns0:v>
      </ns0:c>
      <ns0:c r="B76" s="2" t="n">
        <ns0:v>4</ns0:v>
      </ns0:c>
      <ns0:c r="C76" s="2" t="inlineStr">
        <ns0:is>
          <ns0:t>dk-coastal-plants</ns0:t>
        </ns0:is>
      </ns0:c>
      <ns0:c r="D76" s="2" t="n">
        <ns0:v>3</ns0:v>
      </ns0:c>
      <ns0:c r="E76" s="6" t="inlineStr">
        <ns0:is>
          <ns0:t>자료의 두 목록을 연결한 바른 설명은?</ns0:t>
        </ns0:is>
      </ns0:c>
      <ns0:c r="F76" s="6" t="inlineStr">
        <ns0:is>
          <ns0:t>독도 식물은 모두 미역 종류다</ns0:t>
        </ns0:is>
      </ns0:c>
      <ns0:c r="G76" s="6" t="inlineStr">
        <ns0:is>
          <ns0:t>독도에는 땅 위 식물이 없다</ns0:t>
        </ns0:is>
      </ns0:c>
      <ns0:c r="H76" s="6" t="inlineStr">
        <ns0:is>
          <ns0:t>독도에는 육상 식물과 해조류가 있다</ns0:t>
        </ns0:is>
      </ns0:c>
      <ns0:c r="I76" s="6" t="n">
        <ns0:v>3</ns0:v>
      </ns0:c>
      <ns0:c r="J76" s="6" t="inlineStr">
        <ns0:is>
          <ns0:t>독도 땅에는 해국·섬기린초·땅채송화 같은 식물이 자라요. 바닷속 생물과 땅 위 식물을 함께 살펴보면 독도의 생명이 더 잘 보여요.</ns0:t>
        </ns0:is>
      </ns0:c>
      <ns0:c r="K76" s="6" t="inlineStr">
        <ns0:is>
          <ns0:t>고른 보기 ‘독도 식물은 모두 미역 종류다’와 달라요. 이 문항의 정답은 ‘독도에는 육상 식물과 해조류가 있다’입니다. 독도 땅에는 해국·섬기린초·땅채송화 같은 식물이 자라요. 바닷속 생물과 땅 위 식물을 함께 살펴보면 독도의 생명이 더 잘 보여요.</ns0:t>
        </ns0:is>
      </ns0:c>
      <ns0:c r="L76" s="6" t="inlineStr">
        <ns0:is>
          <ns0:t>고른 보기 ‘독도에는 땅 위 식물이 없다’와 달라요. 이 문항의 정답은 ‘독도에는 육상 식물과 해조류가 있다’입니다. 독도 땅에는 해국·섬기린초·땅채송화 같은 식물이 자라요. 바닷속 생물과 땅 위 식물을 함께 살펴보면 독도의 생명이 더 잘 보여요.</ns0:t>
        </ns0:is>
      </ns0:c>
      <ns0:c r="M76" s="6" t="inlineStr">
        <ns0:is>
          <ns0:t>독도 땅에는 해국·섬기린초·땅채송화 같은 식물이 자라요. 바닷속 생물과 땅 위 식물을 함께 살펴보면 독도의 생명이 더 잘 보여요.</ns0:t>
        </ns0:is>
      </ns0:c>
      <ns0:c r="N76" s="6" t="inlineStr">
        <ns0:is>
          <ns0:t>외교부 식물 목록에는 해국·섬기린초·땅채송화가, 해양생물 목록에는 미역·다시마·김이 소개됩니다. 목록에 없다는 이유만으로 부재를 단정하지 않습니다.</ns0:t>
        </ns0:is>
      </ns0:c>
      <ns0:c r="O76" s="6" t="inlineStr">
        <ns0:is>
          <ns0:t>https://dokdo.mofa.go.kr/kor/introduce/nature.jsp</ns0:t>
        </ns0:is>
      </ns0:c>
      <ns0:c r="P76" s="3">
        <ns0:f>LEN(E76)+MAX(LEN(F76),LEN(G76),LEN(H76))</ns0:f>
        <ns0:v>40</ns0:v>
      </ns0:c>
      <ns0:c r="Q76" s="7" t="inlineStr">
        <ns0:is>
          <ns0:t>출처 기반 자체 검토 / 독립 승인 전</ns0:t>
        </ns0:is>
      </ns0:c>
    </ns0:row>
    <ns0:row r="77" ht="98" customHeight="1">
      <ns0:c r="A77" s="4" t="n">
        <ns0:v>910076</ns0:v>
      </ns0:c>
      <ns0:c r="B77" s="4" t="n">
        <ns0:v>4</ns0:v>
      </ns0:c>
      <ns0:c r="C77" s="4" t="inlineStr">
        <ns0:is>
          <ns0:t>dk-coastal-plants</ns0:t>
        </ns0:is>
      </ns0:c>
      <ns0:c r="D77" s="4" t="n">
        <ns0:v>4</ns0:v>
      </ns0:c>
      <ns0:c r="E77" s="8" t="inlineStr">
        <ns0:is>
          <ns0:t>짧은 목록에 없는 식물은 독도에 없다고 해도 될까요?</ns0:t>
        </ns0:is>
      </ns0:c>
      <ns0:c r="F77" s="8" t="inlineStr">
        <ns0:is>
          <ns0:t>사진에 꽃이 있으면 모든 종이 있다는 뜻이다</ns0:t>
        </ns0:is>
      </ns0:c>
      <ns0:c r="G77" s="8" t="inlineStr">
        <ns0:is>
          <ns0:t>전체 조사 목록과 조사 시기를 더 확인한다</ns0:t>
        </ns0:is>
      </ns0:c>
      <ns0:c r="H77" s="8" t="inlineStr">
        <ns0:is>
          <ns0:t>소개된 몇 종이 전부라는 뜻이다</ns0:t>
        </ns0:is>
      </ns0:c>
      <ns0:c r="I77" s="8" t="n">
        <ns0:v>2</ns0:v>
      </ns0:c>
      <ns0:c r="J77" s="8" t="inlineStr">
        <ns0:is>
          <ns0:t>독도 땅에는 해국·섬기린초·땅채송화 같은 식물이 자라요. 바닷속 생물과 땅 위 식물을 함께 살펴보면 독도의 생명이 더 잘 보여요.</ns0:t>
        </ns0:is>
      </ns0:c>
      <ns0:c r="K77" s="8" t="inlineStr">
        <ns0:is>
          <ns0:t>고른 보기 ‘사진에 꽃이 있으면 모든 종이 있다는 뜻이다’와 달라요. 이 문항의 정답은 ‘전체 조사 목록과 조사 시기를 더 확인한다’입니다. 독도 땅에는 해국·섬기린초·땅채송화 같은 식물이 자라요. 바닷속 생물과 땅 위 식물을 함께 살펴보면 독도의 생명이 더 잘 보여요.</ns0:t>
        </ns0:is>
      </ns0:c>
      <ns0:c r="L77" s="8" t="inlineStr">
        <ns0:is>
          <ns0:t>독도 땅에는 해국·섬기린초·땅채송화 같은 식물이 자라요. 바닷속 생물과 땅 위 식물을 함께 살펴보면 독도의 생명이 더 잘 보여요.</ns0:t>
        </ns0:is>
      </ns0:c>
      <ns0:c r="M77" s="8" t="inlineStr">
        <ns0:is>
          <ns0:t>고른 보기 ‘소개된 몇 종이 전부라는 뜻이다’와 달라요. 이 문항의 정답은 ‘전체 조사 목록과 조사 시기를 더 확인한다’입니다. 독도 땅에는 해국·섬기린초·땅채송화 같은 식물이 자라요. 바닷속 생물과 땅 위 식물을 함께 살펴보면 독도의 생명이 더 잘 보여요.</ns0:t>
        </ns0:is>
      </ns0:c>
      <ns0:c r="N77" s="8" t="inlineStr">
        <ns0:is>
          <ns0:t>외교부 식물 목록에는 해국·섬기린초·땅채송화가, 해양생물 목록에는 미역·다시마·김이 소개됩니다. 목록에 없다는 이유만으로 부재를 단정하지 않습니다.</ns0:t>
        </ns0:is>
      </ns0:c>
      <ns0:c r="O77" s="8" t="inlineStr">
        <ns0:is>
          <ns0:t>https://dokdo.mofa.go.kr/kor/introduce/nature.jsp</ns0:t>
        </ns0:is>
      </ns0:c>
      <ns0:c r="P77" s="5">
        <ns0:f>LEN(E77)+MAX(LEN(F77),LEN(G77),LEN(H77))</ns0:f>
        <ns0:v>53</ns0:v>
      </ns0:c>
      <ns0:c r="Q77" s="9" t="inlineStr">
        <ns0:is>
          <ns0:t>출처 기반 자체 검토 / 독립 승인 전</ns0:t>
        </ns0:is>
      </ns0:c>
    </ns0:row>
    <ns0:row r="78" ht="98" customHeight="1">
      <ns0:c r="A78" s="2" t="n">
        <ns0:v>910077</ns0:v>
      </ns0:c>
      <ns0:c r="B78" s="2" t="n">
        <ns0:v>4</ns0:v>
      </ns0:c>
      <ns0:c r="C78" s="2" t="inlineStr">
        <ns0:is>
          <ns0:t>dk-reserve-scope</ns0:t>
        </ns0:is>
      </ns0:c>
      <ns0:c r="D78" s="2" t="n">
        <ns0:v>1</ns0:v>
      </ns0:c>
      <ns0:c r="E78" s="6" t="inlineStr">
        <ns0:is>
          <ns0:t>독도에서 보호할 대상으로 알맞은 것은?</ns0:t>
        </ns0:is>
      </ns0:c>
      <ns0:c r="F78" s="6" t="inlineStr">
        <ns0:is>
          <ns0:t>새·식물·바위 지형</ns0:t>
        </ns0:is>
      </ns0:c>
      <ns0:c r="G78" s="6" t="inlineStr">
        <ns0:is>
          <ns0:t>등대 색깔만</ns0:t>
        </ns0:is>
      </ns0:c>
      <ns0:c r="H78" s="6" t="inlineStr">
        <ns0:is>
          <ns0:t>배 이름만</ns0:t>
        </ns0:is>
      </ns0:c>
      <ns0:c r="I78" s="6" t="n">
        <ns0:v>1</ns0:v>
      </ns0:c>
      <ns0:c r="J78" s="6" t="inlineStr">
        <ns0:is>
          <ns0:t>독도를 보호하는 이유에는 바닷새뿐 아니라 식물·바다 생물·화산 지형의 가치도 있어요.</ns0:t>
        </ns0:is>
      </ns0:c>
      <ns0:c r="K78" s="6" t="inlineStr">
        <ns0:is>
          <ns0:t>독도를 보호하는 이유에는 바닷새뿐 아니라 식물·바다 생물·화산 지형의 가치도 있어요.</ns0:t>
        </ns0:is>
      </ns0:c>
      <ns0:c r="L78" s="6" t="inlineStr">
        <ns0:is>
          <ns0:t>고른 보기 ‘등대 색깔만’와 달라요. 이 문항의 정답은 ‘새·식물·바위 지형’입니다. 독도를 보호하는 이유에는 바닷새뿐 아니라 식물·바다 생물·화산 지형의 가치도 있어요.</ns0:t>
        </ns0:is>
      </ns0:c>
      <ns0:c r="M78" s="6" t="inlineStr">
        <ns0:is>
          <ns0:t>고른 보기 ‘배 이름만’와 달라요. 이 문항의 정답은 ‘새·식물·바위 지형’입니다. 독도를 보호하는 이유에는 바닷새뿐 아니라 식물·바다 생물·화산 지형의 가치도 있어요.</ns0:t>
        </ns0:is>
      </ns0:c>
      <ns0:c r="N78" s="6" t="inlineStr"/>
      <ns0:c r="O78" s="6" t="inlineStr">
        <ns0:is>
          <ns0:t>https://www.heritage.go.kr/heri/cul/culSelectDetail.do?VdkVgwKey=16%2C03360000%2C37&amp;pageNo=1_1_2_0</ns0:t>
        </ns0:is>
      </ns0:c>
      <ns0:c r="P78" s="3">
        <ns0:f>LEN(E78)+MAX(LEN(F78),LEN(G78),LEN(H78))</ns0:f>
        <ns0:v>31</ns0:v>
      </ns0:c>
      <ns0:c r="Q78" s="7" t="inlineStr">
        <ns0:is>
          <ns0:t>출처 기반 자체 검토 / 독립 승인 전</ns0:t>
        </ns0:is>
      </ns0:c>
    </ns0:row>
    <ns0:row r="79" ht="98" customHeight="1">
      <ns0:c r="A79" s="4" t="n">
        <ns0:v>910078</ns0:v>
      </ns0:c>
      <ns0:c r="B79" s="4" t="n">
        <ns0:v>4</ns0:v>
      </ns0:c>
      <ns0:c r="C79" s="4" t="inlineStr">
        <ns0:is>
          <ns0:t>dk-reserve-scope</ns0:t>
        </ns0:is>
      </ns0:c>
      <ns0:c r="D79" s="4" t="n">
        <ns0:v>2</ns0:v>
      </ns0:c>
      <ns0:c r="E79" s="8" t="inlineStr">
        <ns0:is>
          <ns0:t>독도 보호를 바닷새만으로 설명하면?</ns0:t>
        </ns0:is>
      </ns0:c>
      <ns0:c r="F79" s="8" t="inlineStr">
        <ns0:is>
          <ns0:t>바다에는 생물이 없게 돼요</ns0:t>
        </ns0:is>
      </ns0:c>
      <ns0:c r="G79" s="8" t="inlineStr">
        <ns0:is>
          <ns0:t>두 섬의 이름이 같아져요</ns0:t>
        </ns0:is>
      </ns0:c>
      <ns0:c r="H79" s="8" t="inlineStr">
        <ns0:is>
          <ns0:t>식물과 지질의 가치도 빠져요</ns0:t>
        </ns0:is>
      </ns0:c>
      <ns0:c r="I79" s="8" t="n">
        <ns0:v>3</ns0:v>
      </ns0:c>
      <ns0:c r="J79" s="8" t="inlineStr">
        <ns0:is>
          <ns0:t>독도를 보호하는 이유에는 바닷새뿐 아니라 식물·바다 생물·화산 지형의 가치도 있어요.</ns0:t>
        </ns0:is>
      </ns0:c>
      <ns0:c r="K79" s="8" t="inlineStr">
        <ns0:is>
          <ns0:t>고른 보기 ‘바다에는 생물이 없게 돼요’와 달라요. 이 문항의 정답은 ‘식물과 지질의 가치도 빠져요’입니다. 독도를 보호하는 이유에는 바닷새뿐 아니라 식물·바다 생물·화산 지형의 가치도 있어요.</ns0:t>
        </ns0:is>
      </ns0:c>
      <ns0:c r="L79" s="8" t="inlineStr">
        <ns0:is>
          <ns0:t>고른 보기 ‘두 섬의 이름이 같아져요’와 달라요. 이 문항의 정답은 ‘식물과 지질의 가치도 빠져요’입니다. 독도를 보호하는 이유에는 바닷새뿐 아니라 식물·바다 생물·화산 지형의 가치도 있어요.</ns0:t>
        </ns0:is>
      </ns0:c>
      <ns0:c r="M79" s="8" t="inlineStr">
        <ns0:is>
          <ns0:t>독도를 보호하는 이유에는 바닷새뿐 아니라 식물·바다 생물·화산 지형의 가치도 있어요.</ns0:t>
        </ns0:is>
      </ns0:c>
      <ns0:c r="N79" s="8" t="inlineStr"/>
      <ns0:c r="O79" s="8" t="inlineStr">
        <ns0:is>
          <ns0:t>https://www.heritage.go.kr/heri/cul/culSelectDetail.do?VdkVgwKey=16%2C03360000%2C37&amp;pageNo=1_1_2_0</ns0:t>
        </ns0:is>
      </ns0:c>
      <ns0:c r="P79" s="5">
        <ns0:f>LEN(E79)+MAX(LEN(F79),LEN(G79),LEN(H79))</ns0:f>
        <ns0:v>34</ns0:v>
      </ns0:c>
      <ns0:c r="Q79" s="9" t="inlineStr">
        <ns0:is>
          <ns0:t>출처 기반 자체 검토 / 독립 승인 전</ns0:t>
        </ns0:is>
      </ns0:c>
    </ns0:row>
    <ns0:row r="80" ht="98" customHeight="1">
      <ns0:c r="A80" s="2" t="n">
        <ns0:v>910079</ns0:v>
      </ns0:c>
      <ns0:c r="B80" s="2" t="n">
        <ns0:v>4</ns0:v>
      </ns0:c>
      <ns0:c r="C80" s="2" t="inlineStr">
        <ns0:is>
          <ns0:t>dk-reserve-scope</ns0:t>
        </ns0:is>
      </ns0:c>
      <ns0:c r="D80" s="2" t="n">
        <ns0:v>3</ns0:v>
      </ns0:c>
      <ns0:c r="E80" s="6" t="inlineStr">
        <ns0:is>
          <ns0:t>천연보호구역의 설명을 가장 잘 묶은 것은?</ns0:t>
        </ns0:is>
      </ns0:c>
      <ns0:c r="F80" s="6" t="inlineStr">
        <ns0:is>
          <ns0:t>하루에 보인 새의 수만</ns0:t>
        </ns0:is>
      </ns0:c>
      <ns0:c r="G80" s="6" t="inlineStr">
        <ns0:is>
          <ns0:t>번식지·식생·해양생물·화산 지형</ns0:t>
        </ns0:is>
      </ns0:c>
      <ns0:c r="H80" s="6" t="inlineStr">
        <ns0:is>
          <ns0:t>항구의 크기와 입장료</ns0:t>
        </ns0:is>
      </ns0:c>
      <ns0:c r="I80" s="6" t="n">
        <ns0:v>2</ns0:v>
      </ns0:c>
      <ns0:c r="J80" s="6" t="inlineStr">
        <ns0:is>
          <ns0:t>독도를 보호하는 이유에는 바닷새뿐 아니라 식물·바다 생물·화산 지형의 가치도 있어요.</ns0:t>
        </ns0:is>
      </ns0:c>
      <ns0:c r="K80" s="6" t="inlineStr">
        <ns0:is>
          <ns0:t>고른 보기 ‘하루에 보인 새의 수만’와 달라요. 이 문항의 정답은 ‘번식지·식생·해양생물·화산 지형’입니다. 독도를 보호하는 이유에는 바닷새뿐 아니라 식물·바다 생물·화산 지형의 가치도 있어요.</ns0:t>
        </ns0:is>
      </ns0:c>
      <ns0:c r="L80" s="6" t="inlineStr">
        <ns0:is>
          <ns0:t>독도를 보호하는 이유에는 바닷새뿐 아니라 식물·바다 생물·화산 지형의 가치도 있어요.</ns0:t>
        </ns0:is>
      </ns0:c>
      <ns0:c r="M80" s="6" t="inlineStr">
        <ns0:is>
          <ns0:t>고른 보기 ‘항구의 크기와 입장료’와 달라요. 이 문항의 정답은 ‘번식지·식생·해양생물·화산 지형’입니다. 독도를 보호하는 이유에는 바닷새뿐 아니라 식물·바다 생물·화산 지형의 가치도 있어요.</ns0:t>
        </ns0:is>
      </ns0:c>
      <ns0:c r="N80" s="6" t="inlineStr">
        <ns0:is>
          <ns0:t>국가유산 설명은 바닷새 번식지의 가치와 함께 화산섬의 지질, 독특한 식물, 주변 해양생물을 들어 독도 천연보호구역의 의미를 설명합니다.</ns0:t>
        </ns0:is>
      </ns0:c>
      <ns0:c r="O80" s="6" t="inlineStr">
        <ns0:is>
          <ns0:t>https://www.heritage.go.kr/heri/cul/culSelectDetail.do?VdkVgwKey=16%2C03360000%2C37&amp;pageNo=1_1_2_0</ns0:t>
        </ns0:is>
      </ns0:c>
      <ns0:c r="P80" s="3">
        <ns0:f>LEN(E80)+MAX(LEN(F80),LEN(G80),LEN(H80))</ns0:f>
        <ns0:v>40</ns0:v>
      </ns0:c>
      <ns0:c r="Q80" s="7" t="inlineStr">
        <ns0:is>
          <ns0:t>출처 기반 자체 검토 / 독립 승인 전</ns0:t>
        </ns0:is>
      </ns0:c>
    </ns0:row>
    <ns0:row r="81" ht="98" customHeight="1">
      <ns0:c r="A81" s="4" t="n">
        <ns0:v>910080</ns0:v>
      </ns0:c>
      <ns0:c r="B81" s="4" t="n">
        <ns0:v>4</ns0:v>
      </ns0:c>
      <ns0:c r="C81" s="4" t="inlineStr">
        <ns0:is>
          <ns0:t>dk-reserve-scope</ns0:t>
        </ns0:is>
      </ns0:c>
      <ns0:c r="D81" s="4" t="n">
        <ns0:v>4</ns0:v>
      </ns0:c>
      <ns0:c r="E81" s="8" t="inlineStr">
        <ns0:is>
          <ns0:t>독도의 보호 가치를 방문객 수만으로 평가한다면?</ns0:t>
        </ns0:is>
      </ns0:c>
      <ns0:c r="F81" s="8" t="inlineStr">
        <ns0:is>
          <ns0:t>자료에 제시된 생태·지질 가치를 반영하지 못한다</ns0:t>
        </ns0:is>
      </ns0:c>
      <ns0:c r="G81" s="8" t="inlineStr">
        <ns0:is>
          <ns0:t>방문객이 적으면 지질 가치도 반드시 없다</ns0:t>
        </ns0:is>
      </ns0:c>
      <ns0:c r="H81" s="8" t="inlineStr">
        <ns0:is>
          <ns0:t>방문객 수가 곧 번식하는 새의 수다</ns0:t>
        </ns0:is>
      </ns0:c>
      <ns0:c r="I81" s="8" t="n">
        <ns0:v>1</ns0:v>
      </ns0:c>
      <ns0:c r="J81" s="8" t="inlineStr">
        <ns0:is>
          <ns0:t>독도를 보호하는 이유에는 바닷새뿐 아니라 식물·바다 생물·화산 지형의 가치도 있어요.</ns0:t>
        </ns0:is>
      </ns0:c>
      <ns0:c r="K81" s="8" t="inlineStr">
        <ns0:is>
          <ns0:t>독도를 보호하는 이유에는 바닷새뿐 아니라 식물·바다 생물·화산 지형의 가치도 있어요.</ns0:t>
        </ns0:is>
      </ns0:c>
      <ns0:c r="L81" s="8" t="inlineStr">
        <ns0:is>
          <ns0:t>고른 보기 ‘방문객이 적으면 지질 가치도 반드시 없다’와 달라요. 이 문항의 정답은 ‘자료에 제시된 생태·지질 가치를 반영하지 못한다’입니다. 독도를 보호하는 이유에는 바닷새뿐 아니라 식물·바다 생물·화산 지형의 가치도 있어요.</ns0:t>
        </ns0:is>
      </ns0:c>
      <ns0:c r="M81" s="8" t="inlineStr">
        <ns0:is>
          <ns0:t>고른 보기 ‘방문객 수가 곧 번식하는 새의 수다’와 달라요. 이 문항의 정답은 ‘자료에 제시된 생태·지질 가치를 반영하지 못한다’입니다. 독도를 보호하는 이유에는 바닷새뿐 아니라 식물·바다 생물·화산 지형의 가치도 있어요.</ns0:t>
        </ns0:is>
      </ns0:c>
      <ns0:c r="N81" s="8" t="inlineStr">
        <ns0:is>
          <ns0:t>국가유산 설명은 바닷새 번식지의 가치와 함께 화산섬의 지질, 독특한 식물, 주변 해양생물을 들어 독도 천연보호구역의 의미를 설명합니다.</ns0:t>
        </ns0:is>
      </ns0:c>
      <ns0:c r="O81" s="8" t="inlineStr">
        <ns0:is>
          <ns0:t>https://www.heritage.go.kr/heri/cul/culSelectDetail.do?VdkVgwKey=16%2C03360000%2C37&amp;pageNo=1_1_2_0</ns0:t>
        </ns0:is>
      </ns0:c>
      <ns0:c r="P81" s="5">
        <ns0:f>LEN(E81)+MAX(LEN(F81),LEN(G81),LEN(H81))</ns0:f>
        <ns0:v>52</ns0:v>
      </ns0:c>
      <ns0:c r="Q81" s="9" t="inlineStr">
        <ns0:is>
          <ns0:t>출처 기반 자체 검토 / 독립 승인 전</ns0:t>
        </ns0:is>
      </ns0:c>
    </ns0:row>
    <ns0:row r="82" ht="98" customHeight="1">
      <ns0:c r="A82" s="2" t="n">
        <ns0:v>910081</ns0:v>
      </ns0:c>
      <ns0:c r="B82" s="2" t="n">
        <ns0:v>5</ns0:v>
      </ns0:c>
      <ns0:c r="C82" s="2" t="inlineStr">
        <ns0:is>
          <ns0:t>dk-sea-forest</ns0:t>
        </ns0:is>
      </ns0:c>
      <ns0:c r="D82" s="2" t="n">
        <ns0:v>1</ns0:v>
      </ns0:c>
      <ns0:c r="E82" s="6" t="inlineStr">
        <ns0:is>
          <ns0:t>독도 바다숲을 이루는 생물의 예는?</ns0:t>
        </ns0:is>
      </ns0:c>
      <ns0:c r="F82" s="6" t="inlineStr">
        <ns0:is>
          <ns0:t>해국과 땅채송화</ns0:t>
        </ns0:is>
      </ns0:c>
      <ns0:c r="G82" s="6" t="inlineStr">
        <ns0:is>
          <ns0:t>괭이갈매기와 슴새</ns0:t>
        </ns0:is>
      </ns0:c>
      <ns0:c r="H82" s="6" t="inlineStr">
        <ns0:is>
          <ns0:t>감태와 대황</ns0:t>
        </ns0:is>
      </ns0:c>
      <ns0:c r="I82" s="6" t="n">
        <ns0:v>3</ns0:v>
      </ns0:c>
      <ns0:c r="J82" s="6" t="inlineStr">
        <ns0:is>
          <ns0:t>독도 바닷속에는 감태와 대황 같은 해조류가 자라 바다숲을 이루어요. 바위틈에도 여러 생물이 살아요.</ns0:t>
        </ns0:is>
      </ns0:c>
      <ns0:c r="K82" s="6" t="inlineStr">
        <ns0:is>
          <ns0:t>고른 보기 ‘해국과 땅채송화’와 달라요. 이 문항의 정답은 ‘감태와 대황’입니다. 독도 바닷속에는 감태와 대황 같은 해조류가 자라 바다숲을 이루어요. 바위틈에도 여러 생물이 살아요.</ns0:t>
        </ns0:is>
      </ns0:c>
      <ns0:c r="L82" s="6" t="inlineStr">
        <ns0:is>
          <ns0:t>고른 보기 ‘괭이갈매기와 슴새’와 달라요. 이 문항의 정답은 ‘감태와 대황’입니다. 독도 바닷속에는 감태와 대황 같은 해조류가 자라 바다숲을 이루어요. 바위틈에도 여러 생물이 살아요.</ns0:t>
        </ns0:is>
      </ns0:c>
      <ns0:c r="M82" s="6" t="inlineStr">
        <ns0:is>
          <ns0:t>독도 바닷속에는 감태와 대황 같은 해조류가 자라 바다숲을 이루어요. 바위틈에도 여러 생물이 살아요.</ns0:t>
        </ns0:is>
      </ns0:c>
      <ns0:c r="N82" s="6" t="inlineStr"/>
      <ns0:c r="O82" s="6" t="inlineStr">
        <ns0:is>
          <ns0:t>https://www.dokdo.re.kr/home/cms/cmsCont.do?cntnts_sn=87</ns0:t>
        </ns0:is>
      </ns0:c>
      <ns0:c r="P82" s="3">
        <ns0:f>LEN(E82)+MAX(LEN(F82),LEN(G82),LEN(H82))</ns0:f>
        <ns0:v>28</ns0:v>
      </ns0:c>
      <ns0:c r="Q82" s="7" t="inlineStr">
        <ns0:is>
          <ns0:t>출처 기반 자체 검토 / 독립 승인 전</ns0:t>
        </ns0:is>
      </ns0:c>
    </ns0:row>
    <ns0:row r="83" ht="98" customHeight="1">
      <ns0:c r="A83" s="4" t="n">
        <ns0:v>910082</ns0:v>
      </ns0:c>
      <ns0:c r="B83" s="4" t="n">
        <ns0:v>5</ns0:v>
      </ns0:c>
      <ns0:c r="C83" s="4" t="inlineStr">
        <ns0:is>
          <ns0:t>dk-sea-forest</ns0:t>
        </ns0:is>
      </ns0:c>
      <ns0:c r="D83" s="4" t="n">
        <ns0:v>2</ns0:v>
      </ns0:c>
      <ns0:c r="E83" s="8" t="inlineStr">
        <ns0:is>
          <ns0:t>독도 바위틈과 연결되는 생물은?</ns0:t>
        </ns0:is>
      </ns0:c>
      <ns0:c r="F83" s="8" t="inlineStr">
        <ns0:is>
          <ns0:t>육상 나무만</ns0:t>
        </ns0:is>
      </ns0:c>
      <ns0:c r="G83" s="8" t="inlineStr">
        <ns0:is>
          <ns0:t>따개비와 홍합</ns0:t>
        </ns0:is>
      </ns0:c>
      <ns0:c r="H83" s="8" t="inlineStr">
        <ns0:is>
          <ns0:t>등대 주변 사람만</ns0:t>
        </ns0:is>
      </ns0:c>
      <ns0:c r="I83" s="8" t="n">
        <ns0:v>2</ns0:v>
      </ns0:c>
      <ns0:c r="J83" s="8" t="inlineStr">
        <ns0:is>
          <ns0:t>독도 바닷속에는 감태와 대황 같은 해조류가 자라 바다숲을 이루어요. 바위틈에도 여러 생물이 살아요.</ns0:t>
        </ns0:is>
      </ns0:c>
      <ns0:c r="K83" s="8" t="inlineStr">
        <ns0:is>
          <ns0:t>고른 보기 ‘육상 나무만’와 달라요. 이 문항의 정답은 ‘따개비와 홍합’입니다. 독도 바닷속에는 감태와 대황 같은 해조류가 자라 바다숲을 이루어요. 바위틈에도 여러 생물이 살아요.</ns0:t>
        </ns0:is>
      </ns0:c>
      <ns0:c r="L83" s="8" t="inlineStr">
        <ns0:is>
          <ns0:t>독도 바닷속에는 감태와 대황 같은 해조류가 자라 바다숲을 이루어요. 바위틈에도 여러 생물이 살아요.</ns0:t>
        </ns0:is>
      </ns0:c>
      <ns0:c r="M83" s="8" t="inlineStr">
        <ns0:is>
          <ns0:t>고른 보기 ‘등대 주변 사람만’와 달라요. 이 문항의 정답은 ‘따개비와 홍합’입니다. 독도 바닷속에는 감태와 대황 같은 해조류가 자라 바다숲을 이루어요. 바위틈에도 여러 생물이 살아요.</ns0:t>
        </ns0:is>
      </ns0:c>
      <ns0:c r="N83" s="8" t="inlineStr"/>
      <ns0:c r="O83" s="8" t="inlineStr">
        <ns0:is>
          <ns0:t>https://www.dokdo.re.kr/home/cms/cmsCont.do?cntnts_sn=87</ns0:t>
        </ns0:is>
      </ns0:c>
      <ns0:c r="P83" s="5">
        <ns0:f>LEN(E83)+MAX(LEN(F83),LEN(G83),LEN(H83))</ns0:f>
        <ns0:v>26</ns0:v>
      </ns0:c>
      <ns0:c r="Q83" s="9" t="inlineStr">
        <ns0:is>
          <ns0:t>출처 기반 자체 검토 / 독립 승인 전</ns0:t>
        </ns0:is>
      </ns0:c>
    </ns0:row>
    <ns0:row r="84" ht="98" customHeight="1">
      <ns0:c r="A84" s="2" t="n">
        <ns0:v>910083</ns0:v>
      </ns0:c>
      <ns0:c r="B84" s="2" t="n">
        <ns0:v>5</ns0:v>
      </ns0:c>
      <ns0:c r="C84" s="2" t="inlineStr">
        <ns0:is>
          <ns0:t>dk-sea-forest</ns0:t>
        </ns0:is>
      </ns0:c>
      <ns0:c r="D84" s="2" t="n">
        <ns0:v>3</ns0:v>
      </ns0:c>
      <ns0:c r="E84" s="6" t="inlineStr">
        <ns0:is>
          <ns0:t>자료가 독도의 바다숲과 함께 소개한 공간은?</ns0:t>
        </ns0:is>
      </ns0:c>
      <ns0:c r="F84" s="6" t="inlineStr">
        <ns0:is>
          <ns0:t>여러 생물이 사는 바위틈</ns0:t>
        </ns0:is>
      </ns0:c>
      <ns0:c r="G84" s="6" t="inlineStr">
        <ns0:is>
          <ns0:t>생물이 전혀 없는 모든 해저</ns0:t>
        </ns0:is>
      </ns0:c>
      <ns0:c r="H84" s="6" t="inlineStr">
        <ns0:is>
          <ns0:t>울릉도의 논과 밭</ns0:t>
        </ns0:is>
      </ns0:c>
      <ns0:c r="I84" s="6" t="n">
        <ns0:v>1</ns0:v>
      </ns0:c>
      <ns0:c r="J84" s="6" t="inlineStr">
        <ns0:is>
          <ns0:t>독도 바닷속에는 감태와 대황 같은 해조류가 자라 바다숲을 이루어요. 바위틈에도 여러 생물이 살아요.</ns0:t>
        </ns0:is>
      </ns0:c>
      <ns0:c r="K84" s="6" t="inlineStr">
        <ns0:is>
          <ns0:t>독도 바닷속에는 감태와 대황 같은 해조류가 자라 바다숲을 이루어요. 바위틈에도 여러 생물이 살아요.</ns0:t>
        </ns0:is>
      </ns0:c>
      <ns0:c r="L84" s="6" t="inlineStr">
        <ns0:is>
          <ns0:t>고른 보기 ‘생물이 전혀 없는 모든 해저’와 달라요. 이 문항의 정답은 ‘여러 생물이 사는 바위틈’입니다. 독도 바닷속에는 감태와 대황 같은 해조류가 자라 바다숲을 이루어요. 바위틈에도 여러 생물이 살아요.</ns0:t>
        </ns0:is>
      </ns0:c>
      <ns0:c r="M84" s="6" t="inlineStr">
        <ns0:is>
          <ns0:t>고른 보기 ‘울릉도의 논과 밭’와 달라요. 이 문항의 정답은 ‘여러 생물이 사는 바위틈’입니다. 독도 바닷속에는 감태와 대황 같은 해조류가 자라 바다숲을 이루어요. 바위틈에도 여러 생물이 살아요.</ns0:t>
        </ns0:is>
      </ns0:c>
      <ns0:c r="N84" s="6" t="inlineStr">
        <ns0:is>
          <ns0:t>한국해양과학기술원은 독도 암반생태계의 감태·대황 해조숲과 바위틈의 따개비·홍합·게·고둥 등을 소개합니다.</ns0:t>
        </ns0:is>
      </ns0:c>
      <ns0:c r="O84" s="6" t="inlineStr">
        <ns0:is>
          <ns0:t>https://www.dokdo.re.kr/home/cms/cmsCont.do?cntnts_sn=87</ns0:t>
        </ns0:is>
      </ns0:c>
      <ns0:c r="P84" s="3">
        <ns0:f>LEN(E84)+MAX(LEN(F84),LEN(G84),LEN(H84))</ns0:f>
        <ns0:v>39</ns0:v>
      </ns0:c>
      <ns0:c r="Q84" s="7" t="inlineStr">
        <ns0:is>
          <ns0:t>출처 기반 자체 검토 / 독립 승인 전</ns0:t>
        </ns0:is>
      </ns0:c>
    </ns0:row>
    <ns0:row r="85" ht="98" customHeight="1">
      <ns0:c r="A85" s="4" t="n">
        <ns0:v>910084</ns0:v>
      </ns0:c>
      <ns0:c r="B85" s="4" t="n">
        <ns0:v>5</ns0:v>
      </ns0:c>
      <ns0:c r="C85" s="4" t="inlineStr">
        <ns0:is>
          <ns0:t>dk-sea-forest</ns0:t>
        </ns0:is>
      </ns0:c>
      <ns0:c r="D85" s="4" t="n">
        <ns0:v>4</ns0:v>
      </ns0:c>
      <ns0:c r="E85" s="8" t="inlineStr">
        <ns0:is>
          <ns0:t>독도 바다숲을 미역 한 종류로만 설명하면?</ns0:t>
        </ns0:is>
      </ns0:c>
      <ns0:c r="F85" s="8" t="inlineStr">
        <ns0:is>
          <ns0:t>미역이라는 이름 자체의 의미</ns0:t>
        </ns0:is>
      </ns0:c>
      <ns0:c r="G85" s="8" t="inlineStr">
        <ns0:is>
          <ns0:t>두 섬의 최고 높이만</ns0:t>
        </ns0:is>
      </ns0:c>
      <ns0:c r="H85" s="8" t="inlineStr">
        <ns0:is>
          <ns0:t>자료에 제시된 해조류와 서식 공간의 다양성</ns0:t>
        </ns0:is>
      </ns0:c>
      <ns0:c r="I85" s="8" t="n">
        <ns0:v>3</ns0:v>
      </ns0:c>
      <ns0:c r="J85" s="8" t="inlineStr">
        <ns0:is>
          <ns0:t>독도 바닷속에는 감태와 대황 같은 해조류가 자라 바다숲을 이루어요. 바위틈에도 여러 생물이 살아요.</ns0:t>
        </ns0:is>
      </ns0:c>
      <ns0:c r="K85" s="8" t="inlineStr">
        <ns0:is>
          <ns0:t>고른 보기 ‘미역이라는 이름 자체의 의미’와 달라요. 이 문항의 정답은 ‘자료에 제시된 해조류와 서식 공간의 다양성’입니다. 독도 바닷속에는 감태와 대황 같은 해조류가 자라 바다숲을 이루어요. 바위틈에도 여러 생물이 살아요.</ns0:t>
        </ns0:is>
      </ns0:c>
      <ns0:c r="L85" s="8" t="inlineStr">
        <ns0:is>
          <ns0:t>고른 보기 ‘두 섬의 최고 높이만’와 달라요. 이 문항의 정답은 ‘자료에 제시된 해조류와 서식 공간의 다양성’입니다. 독도 바닷속에는 감태와 대황 같은 해조류가 자라 바다숲을 이루어요. 바위틈에도 여러 생물이 살아요.</ns0:t>
        </ns0:is>
      </ns0:c>
      <ns0:c r="M85" s="8" t="inlineStr">
        <ns0:is>
          <ns0:t>독도 바닷속에는 감태와 대황 같은 해조류가 자라 바다숲을 이루어요. 바위틈에도 여러 생물이 살아요.</ns0:t>
        </ns0:is>
      </ns0:c>
      <ns0:c r="N85" s="8" t="inlineStr">
        <ns0:is>
          <ns0:t>한국해양과학기술원은 독도 암반생태계의 감태·대황 해조숲과 바위틈의 따개비·홍합·게·고둥 등을 소개합니다.</ns0:t>
        </ns0:is>
      </ns0:c>
      <ns0:c r="O85" s="8" t="inlineStr">
        <ns0:is>
          <ns0:t>https://www.dokdo.re.kr/home/cms/cmsCont.do?cntnts_sn=87</ns0:t>
        </ns0:is>
      </ns0:c>
      <ns0:c r="P85" s="5">
        <ns0:f>LEN(E85)+MAX(LEN(F85),LEN(G85),LEN(H85))</ns0:f>
        <ns0:v>46</ns0:v>
      </ns0:c>
      <ns0:c r="Q85" s="9" t="inlineStr">
        <ns0:is>
          <ns0:t>출처 기반 자체 검토 / 독립 승인 전</ns0:t>
        </ns0:is>
      </ns0:c>
    </ns0:row>
    <ns0:row r="86" ht="98" customHeight="1">
      <ns0:c r="A86" s="2" t="n">
        <ns0:v>910085</ns0:v>
      </ns0:c>
      <ns0:c r="B86" s="2" t="n">
        <ns0:v>5</ns0:v>
      </ns0:c>
      <ns0:c r="C86" s="2" t="inlineStr">
        <ns0:is>
          <ns0:t>dk-water-mixing</ns0:t>
        </ns0:is>
      </ns0:c>
      <ns0:c r="D86" s="2" t="n">
        <ns0:v>1</ns0:v>
      </ns0:c>
      <ns0:c r="E86" s="6" t="inlineStr">
        <ns0:is>
          <ns0:t>독도 주변에서 함께 만나는 흐름은?</ns0:t>
        </ns0:is>
      </ns0:c>
      <ns0:c r="F86" s="6" t="inlineStr">
        <ns0:is>
          <ns0:t>모래로 된 길 두 개</ns0:t>
        </ns0:is>
      </ns0:c>
      <ns0:c r="G86" s="6" t="inlineStr">
        <ns0:is>
          <ns0:t>따뜻한 흐름과 찬 흐름</ns0:t>
        </ns0:is>
      </ns0:c>
      <ns0:c r="H86" s="6" t="inlineStr">
        <ns0:is>
          <ns0:t>민물 강 두 개만</ns0:t>
        </ns0:is>
      </ns0:c>
      <ns0:c r="I86" s="6" t="n">
        <ns0:v>2</ns0:v>
      </ns0:c>
      <ns0:c r="J86" s="6" t="inlineStr">
        <ns0:is>
          <ns0:t>독도 주변에서는 따뜻한 흐름과 찬 흐름이 만나고 물이 섞여요. 물의 움직임은 생물이 쓰는 영양분의 이동에도 영향을 줘요.</ns0:t>
        </ns0:is>
      </ns0:c>
      <ns0:c r="K86" s="6" t="inlineStr">
        <ns0:is>
          <ns0:t>고른 보기 ‘모래로 된 길 두 개’와 달라요. 이 문항의 정답은 ‘따뜻한 흐름과 찬 흐름’입니다. 독도 주변에서는 따뜻한 흐름과 찬 흐름이 만나고 물이 섞여요. 물의 움직임은 생물이 쓰는 영양분의 이동에도 영향을 줘요.</ns0:t>
        </ns0:is>
      </ns0:c>
      <ns0:c r="L86" s="6" t="inlineStr">
        <ns0:is>
          <ns0:t>독도 주변에서는 따뜻한 흐름과 찬 흐름이 만나고 물이 섞여요. 물의 움직임은 생물이 쓰는 영양분의 이동에도 영향을 줘요.</ns0:t>
        </ns0:is>
      </ns0:c>
      <ns0:c r="M86" s="6" t="inlineStr">
        <ns0:is>
          <ns0:t>고른 보기 ‘민물 강 두 개만’와 달라요. 이 문항의 정답은 ‘따뜻한 흐름과 찬 흐름’입니다. 독도 주변에서는 따뜻한 흐름과 찬 흐름이 만나고 물이 섞여요. 물의 움직임은 생물이 쓰는 영양분의 이동에도 영향을 줘요.</ns0:t>
        </ns0:is>
      </ns0:c>
      <ns0:c r="N86" s="6" t="inlineStr"/>
      <ns0:c r="O86" s="6" t="inlineStr">
        <ns0:is>
          <ns0:t>https://www.dokdo.re.kr/home/cms/cmsCont.do?cntnts_sn=82</ns0:t>
        </ns0:is>
      </ns0:c>
      <ns0:c r="P86" s="3">
        <ns0:f>LEN(E86)+MAX(LEN(F86),LEN(G86),LEN(H86))</ns0:f>
        <ns0:v>31</ns0:v>
      </ns0:c>
      <ns0:c r="Q86" s="7" t="inlineStr">
        <ns0:is>
          <ns0:t>출처 기반 자체 검토 / 독립 승인 전</ns0:t>
        </ns0:is>
      </ns0:c>
    </ns0:row>
    <ns0:row r="87" ht="98" customHeight="1">
      <ns0:c r="A87" s="4" t="n">
        <ns0:v>910086</ns0:v>
      </ns0:c>
      <ns0:c r="B87" s="4" t="n">
        <ns0:v>5</ns0:v>
      </ns0:c>
      <ns0:c r="C87" s="4" t="inlineStr">
        <ns0:is>
          <ns0:t>dk-water-mixing</ns0:t>
        </ns0:is>
      </ns0:c>
      <ns0:c r="D87" s="4" t="n">
        <ns0:v>2</ns0:v>
      </ns0:c>
      <ns0:c r="E87" s="8" t="inlineStr">
        <ns0:is>
          <ns0:t>바닷물이 위아래로 섞이면 옮겨질 수 있는 것은?</ns0:t>
        </ns0:is>
      </ns0:c>
      <ns0:c r="F87" s="8" t="inlineStr">
        <ns0:is>
          <ns0:t>아래쪽의 영양염</ns0:t>
        </ns0:is>
      </ns0:c>
      <ns0:c r="G87" s="8" t="inlineStr">
        <ns0:is>
          <ns0:t>섬의 이름</ns0:t>
        </ns0:is>
      </ns0:c>
      <ns0:c r="H87" s="8" t="inlineStr">
        <ns0:is>
          <ns0:t>등대의 주소</ns0:t>
        </ns0:is>
      </ns0:c>
      <ns0:c r="I87" s="8" t="n">
        <ns0:v>1</ns0:v>
      </ns0:c>
      <ns0:c r="J87" s="8" t="inlineStr">
        <ns0:is>
          <ns0:t>독도 주변에서는 따뜻한 흐름과 찬 흐름이 만나고 물이 섞여요. 물의 움직임은 생물이 쓰는 영양분의 이동에도 영향을 줘요.</ns0:t>
        </ns0:is>
      </ns0:c>
      <ns0:c r="K87" s="8" t="inlineStr">
        <ns0:is>
          <ns0:t>독도 주변에서는 따뜻한 흐름과 찬 흐름이 만나고 물이 섞여요. 물의 움직임은 생물이 쓰는 영양분의 이동에도 영향을 줘요.</ns0:t>
        </ns0:is>
      </ns0:c>
      <ns0:c r="L87" s="8" t="inlineStr">
        <ns0:is>
          <ns0:t>고른 보기 ‘섬의 이름’와 달라요. 이 문항의 정답은 ‘아래쪽의 영양염’입니다. 독도 주변에서는 따뜻한 흐름과 찬 흐름이 만나고 물이 섞여요. 물의 움직임은 생물이 쓰는 영양분의 이동에도 영향을 줘요.</ns0:t>
        </ns0:is>
      </ns0:c>
      <ns0:c r="M87" s="8" t="inlineStr">
        <ns0:is>
          <ns0:t>고른 보기 ‘등대의 주소’와 달라요. 이 문항의 정답은 ‘아래쪽의 영양염’입니다. 독도 주변에서는 따뜻한 흐름과 찬 흐름이 만나고 물이 섞여요. 물의 움직임은 생물이 쓰는 영양분의 이동에도 영향을 줘요.</ns0:t>
        </ns0:is>
      </ns0:c>
      <ns0:c r="N87" s="8" t="inlineStr"/>
      <ns0:c r="O87" s="8" t="inlineStr">
        <ns0:is>
          <ns0:t>https://www.dokdo.re.kr/home/cms/cmsCont.do?cntnts_sn=82</ns0:t>
        </ns0:is>
      </ns0:c>
      <ns0:c r="P87" s="5">
        <ns0:f>LEN(E87)+MAX(LEN(F87),LEN(G87),LEN(H87))</ns0:f>
        <ns0:v>34</ns0:v>
      </ns0:c>
      <ns0:c r="Q87" s="9" t="inlineStr">
        <ns0:is>
          <ns0:t>출처 기반 자체 검토 / 독립 승인 전</ns0:t>
        </ns0:is>
      </ns0:c>
    </ns0:row>
    <ns0:row r="88" ht="98" customHeight="1">
      <ns0:c r="A88" s="2" t="n">
        <ns0:v>910087</ns0:v>
      </ns0:c>
      <ns0:c r="B88" s="2" t="n">
        <ns0:v>5</ns0:v>
      </ns0:c>
      <ns0:c r="C88" s="2" t="inlineStr">
        <ns0:is>
          <ns0:t>dk-water-mixing</ns0:t>
        </ns0:is>
      </ns0:c>
      <ns0:c r="D88" s="2" t="n">
        <ns0:v>3</ns0:v>
      </ns0:c>
      <ns0:c r="E88" s="6" t="inlineStr">
        <ns0:is>
          <ns0:t>자료의 섬효과 과정과 맞는 연결은?</ns0:t>
        </ns0:is>
      </ns0:c>
      <ns0:c r="F88" s="6" t="inlineStr">
        <ns0:is>
          <ns0:t>등대 점등→해조류 이름 변화</ns0:t>
        </ns0:is>
      </ns0:c>
      <ns0:c r="G88" s="6" t="inlineStr">
        <ns0:is>
          <ns0:t>표층 물 정지→모든 생물 증가</ns0:t>
        </ns0:is>
      </ns0:c>
      <ns0:c r="H88" s="6" t="inlineStr">
        <ns0:is>
          <ns0:t>수층 혼합→상층 영양염 공급</ns0:t>
        </ns0:is>
      </ns0:c>
      <ns0:c r="I88" s="6" t="n">
        <ns0:v>3</ns0:v>
      </ns0:c>
      <ns0:c r="J88" s="6" t="inlineStr">
        <ns0:is>
          <ns0:t>독도 주변에서는 따뜻한 흐름과 찬 흐름이 만나고 물이 섞여요. 물의 움직임은 생물이 쓰는 영양분의 이동에도 영향을 줘요.</ns0:t>
        </ns0:is>
      </ns0:c>
      <ns0:c r="K88" s="6" t="inlineStr">
        <ns0:is>
          <ns0:t>고른 보기 ‘등대 점등→해조류 이름 변화’와 달라요. 이 문항의 정답은 ‘수층 혼합→상층 영양염 공급’입니다. 독도 주변에서는 따뜻한 흐름과 찬 흐름이 만나고 물이 섞여요. 물의 움직임은 생물이 쓰는 영양분의 이동에도 영향을 줘요.</ns0:t>
        </ns0:is>
      </ns0:c>
      <ns0:c r="L88" s="6" t="inlineStr">
        <ns0:is>
          <ns0:t>고른 보기 ‘표층 물 정지→모든 생물 증가’와 달라요. 이 문항의 정답은 ‘수층 혼합→상층 영양염 공급’입니다. 독도 주변에서는 따뜻한 흐름과 찬 흐름이 만나고 물이 섞여요. 물의 움직임은 생물이 쓰는 영양분의 이동에도 영향을 줘요.</ns0:t>
        </ns0:is>
      </ns0:c>
      <ns0:c r="M88" s="6" t="inlineStr">
        <ns0:is>
          <ns0:t>독도 주변에서는 따뜻한 흐름과 찬 흐름이 만나고 물이 섞여요. 물의 움직임은 생물이 쓰는 영양분의 이동에도 영향을 줘요.</ns0:t>
        </ns0:is>
      </ns0:c>
      <ns0:c r="N88" s="6" t="inlineStr">
        <ns0:is>
          <ns0:t>섬효과 설명: 바람과 섬 지형은 수층 혼합에 영향을 줍니다. 이 과정에서 아래쪽 영양염이 빛이 드는 상층으로 공급될 수 있습니다.</ns0:t>
        </ns0:is>
      </ns0:c>
      <ns0:c r="O88" s="6" t="inlineStr">
        <ns0:is>
          <ns0:t>https://www.dokdo.re.kr/home/cms/cmsCont.do?cntnts_sn=82</ns0:t>
        </ns0:is>
      </ns0:c>
      <ns0:c r="P88" s="3">
        <ns0:f>LEN(E88)+MAX(LEN(F88),LEN(G88),LEN(H88))</ns0:f>
        <ns0:v>35</ns0:v>
      </ns0:c>
      <ns0:c r="Q88" s="7" t="inlineStr">
        <ns0:is>
          <ns0:t>출처 기반 자체 검토 / 독립 승인 전</ns0:t>
        </ns0:is>
      </ns0:c>
    </ns0:row>
    <ns0:row r="89" ht="98" customHeight="1">
      <ns0:c r="A89" s="4" t="n">
        <ns0:v>910088</ns0:v>
      </ns0:c>
      <ns0:c r="B89" s="4" t="n">
        <ns0:v>5</ns0:v>
      </ns0:c>
      <ns0:c r="C89" s="4" t="inlineStr">
        <ns0:is>
          <ns0:t>dk-water-mixing</ns0:t>
        </ns0:is>
      </ns0:c>
      <ns0:c r="D89" s="4" t="n">
        <ns0:v>4</ns0:v>
      </ns0:c>
      <ns0:c r="E89" s="8" t="inlineStr">
        <ns0:is>
          <ns0:t>섬효과가 있으니 독도 바다는 항상 같다고 하면?</ns0:t>
        </ns0:is>
      </ns0:c>
      <ns0:c r="F89" s="8" t="inlineStr">
        <ns0:is>
          <ns0:t>영양염은 물의 움직임과 전혀 무관하다</ns0:t>
        </ns0:is>
      </ns0:c>
      <ns0:c r="G89" s="8" t="inlineStr">
        <ns0:is>
          <ns0:t>계절·바람·해류에 따른 변화도 살펴야 한다</ns0:t>
        </ns0:is>
      </ns0:c>
      <ns0:c r="H89" s="8" t="inlineStr">
        <ns0:is>
          <ns0:t>섬 주변이면 모든 날에 같은 혼합이 생긴다</ns0:t>
        </ns0:is>
      </ns0:c>
      <ns0:c r="I89" s="8" t="n">
        <ns0:v>2</ns0:v>
      </ns0:c>
      <ns0:c r="J89" s="8" t="inlineStr">
        <ns0:is>
          <ns0:t>독도 주변에서는 따뜻한 흐름과 찬 흐름이 만나고 물이 섞여요. 물의 움직임은 생물이 쓰는 영양분의 이동에도 영향을 줘요.</ns0:t>
        </ns0:is>
      </ns0:c>
      <ns0:c r="K89" s="8" t="inlineStr">
        <ns0:is>
          <ns0:t>고른 보기 ‘영양염은 물의 움직임과 전혀 무관하다’와 달라요. 이 문항의 정답은 ‘계절·바람·해류에 따른 변화도 살펴야 한다’입니다. 독도 주변에서는 따뜻한 흐름과 찬 흐름이 만나고 물이 섞여요. 물의 움직임은 생물이 쓰는 영양분의 이동에도 영향을 줘요.</ns0:t>
        </ns0:is>
      </ns0:c>
      <ns0:c r="L89" s="8" t="inlineStr">
        <ns0:is>
          <ns0:t>독도 주변에서는 따뜻한 흐름과 찬 흐름이 만나고 물이 섞여요. 물의 움직임은 생물이 쓰는 영양분의 이동에도 영향을 줘요.</ns0:t>
        </ns0:is>
      </ns0:c>
      <ns0:c r="M89" s="8" t="inlineStr">
        <ns0:is>
          <ns0:t>고른 보기 ‘섬 주변이면 모든 날에 같은 혼합이 생긴다’와 달라요. 이 문항의 정답은 ‘계절·바람·해류에 따른 변화도 살펴야 한다’입니다. 독도 주변에서는 따뜻한 흐름과 찬 흐름이 만나고 물이 섞여요. 물의 움직임은 생물이 쓰는 영양분의 이동에도 영향을 줘요.</ns0:t>
        </ns0:is>
      </ns0:c>
      <ns0:c r="N89" s="8" t="inlineStr">
        <ns0:is>
          <ns0:t>섬효과 설명: 바람과 섬 지형은 수층 혼합에 영향을 줍니다. 이 과정에서 아래쪽 영양염이 빛이 드는 상층으로 공급될 수 있습니다.</ns0:t>
        </ns0:is>
      </ns0:c>
      <ns0:c r="O89" s="8" t="inlineStr">
        <ns0:is>
          <ns0:t>https://www.dokdo.re.kr/home/cms/cmsCont.do?cntnts_sn=82</ns0:t>
        </ns0:is>
      </ns0:c>
      <ns0:c r="P89" s="5">
        <ns0:f>LEN(E89)+MAX(LEN(F89),LEN(G89),LEN(H89))</ns0:f>
        <ns0:v>49</ns0:v>
      </ns0:c>
      <ns0:c r="Q89" s="9" t="inlineStr">
        <ns0:is>
          <ns0:t>출처 기반 자체 검토 / 독립 승인 전</ns0:t>
        </ns0:is>
      </ns0:c>
    </ns0:row>
    <ns0:row r="90" ht="98" customHeight="1">
      <ns0:c r="A90" s="2" t="n">
        <ns0:v>910089</ns0:v>
      </ns0:c>
      <ns0:c r="B90" s="2" t="n">
        <ns0:v>5</ns0:v>
      </ns0:c>
      <ns0:c r="C90" s="2" t="inlineStr">
        <ns0:is>
          <ns0:t>dk-food-links</ns0:t>
        </ns0:is>
      </ns0:c>
      <ns0:c r="D90" s="2" t="n">
        <ns0:v>1</ns0:v>
      </ns0:c>
      <ns0:c r="E90" s="6" t="inlineStr">
        <ns0:is>
          <ns0:t>독도 바다 먹이 관계의 작은 바탕 생물은?</ns0:t>
        </ns0:is>
      </ns0:c>
      <ns0:c r="F90" s="6" t="inlineStr">
        <ns0:is>
          <ns0:t>식물플랑크톤</ns0:t>
        </ns0:is>
      </ns0:c>
      <ns0:c r="G90" s="6" t="inlineStr">
        <ns0:is>
          <ns0:t>서도의 바위 자체</ns0:t>
        </ns0:is>
      </ns0:c>
      <ns0:c r="H90" s="6" t="inlineStr">
        <ns0:is>
          <ns0:t>등대의 전등</ns0:t>
        </ns0:is>
      </ns0:c>
      <ns0:c r="I90" s="6" t="n">
        <ns0:v>1</ns0:v>
      </ns0:c>
      <ns0:c r="J90" s="6" t="inlineStr">
        <ns0:is>
          <ns0:t>작은 식물플랑크톤은 독도 바다 먹이 관계의 바탕이 되어요. 이를 먹는 동물플랑크톤과 어린 물고기로 연결될 수 있어요.</ns0:t>
        </ns0:is>
      </ns0:c>
      <ns0:c r="K90" s="6" t="inlineStr">
        <ns0:is>
          <ns0:t>작은 식물플랑크톤은 독도 바다 먹이 관계의 바탕이 되어요. 이를 먹는 동물플랑크톤과 어린 물고기로 연결될 수 있어요.</ns0:t>
        </ns0:is>
      </ns0:c>
      <ns0:c r="L90" s="6" t="inlineStr">
        <ns0:is>
          <ns0:t>고른 보기 ‘서도의 바위 자체’와 달라요. 이 문항의 정답은 ‘식물플랑크톤’입니다. 작은 식물플랑크톤은 독도 바다 먹이 관계의 바탕이 되어요. 이를 먹는 동물플랑크톤과 어린 물고기로 연결될 수 있어요.</ns0:t>
        </ns0:is>
      </ns0:c>
      <ns0:c r="M90" s="6" t="inlineStr">
        <ns0:is>
          <ns0:t>고른 보기 ‘등대의 전등’와 달라요. 이 문항의 정답은 ‘식물플랑크톤’입니다. 작은 식물플랑크톤은 독도 바다 먹이 관계의 바탕이 되어요. 이를 먹는 동물플랑크톤과 어린 물고기로 연결될 수 있어요.</ns0:t>
        </ns0:is>
      </ns0:c>
      <ns0:c r="N90" s="6" t="inlineStr"/>
      <ns0:c r="O90" s="6" t="inlineStr">
        <ns0:is>
          <ns0:t>https://www.dokdo.re.kr/home/cms/cmsCont.do?cntnts_sn=82</ns0:t>
        </ns0:is>
      </ns0:c>
      <ns0:c r="P90" s="3">
        <ns0:f>LEN(E90)+MAX(LEN(F90),LEN(G90),LEN(H90))</ns0:f>
        <ns0:v>32</ns0:v>
      </ns0:c>
      <ns0:c r="Q90" s="7" t="inlineStr">
        <ns0:is>
          <ns0:t>출처 기반 자체 검토 / 독립 승인 전</ns0:t>
        </ns0:is>
      </ns0:c>
    </ns0:row>
    <ns0:row r="91" ht="98" customHeight="1">
      <ns0:c r="A91" s="4" t="n">
        <ns0:v>910090</ns0:v>
      </ns0:c>
      <ns0:c r="B91" s="4" t="n">
        <ns0:v>5</ns0:v>
      </ns0:c>
      <ns0:c r="C91" s="4" t="inlineStr">
        <ns0:is>
          <ns0:t>dk-food-links</ns0:t>
        </ns0:is>
      </ns0:c>
      <ns0:c r="D91" s="4" t="n">
        <ns0:v>2</ns0:v>
      </ns0:c>
      <ns0:c r="E91" s="8" t="inlineStr">
        <ns0:is>
          <ns0:t>식물플랑크톤 증가와 연결될 수 있는 것은?</ns0:t>
        </ns0:is>
      </ns0:c>
      <ns0:c r="F91" s="8" t="inlineStr">
        <ns0:is>
          <ns0:t>독도 면적이 두 배로 증가</ns0:t>
        </ns0:is>
      </ns0:c>
      <ns0:c r="G91" s="8" t="inlineStr">
        <ns0:is>
          <ns0:t>서도와 동도가 한 이름이 됨</ns0:t>
        </ns0:is>
      </ns0:c>
      <ns0:c r="H91" s="8" t="inlineStr">
        <ns0:is>
          <ns0:t>이를 먹는 생물의 먹이 증가</ns0:t>
        </ns0:is>
      </ns0:c>
      <ns0:c r="I91" s="8" t="n">
        <ns0:v>3</ns0:v>
      </ns0:c>
      <ns0:c r="J91" s="8" t="inlineStr">
        <ns0:is>
          <ns0:t>작은 식물플랑크톤은 독도 바다 먹이 관계의 바탕이 되어요. 이를 먹는 동물플랑크톤과 어린 물고기로 연결될 수 있어요.</ns0:t>
        </ns0:is>
      </ns0:c>
      <ns0:c r="K91" s="8" t="inlineStr">
        <ns0:is>
          <ns0:t>고른 보기 ‘독도 면적이 두 배로 증가’와 달라요. 이 문항의 정답은 ‘이를 먹는 생물의 먹이 증가’입니다. 작은 식물플랑크톤은 독도 바다 먹이 관계의 바탕이 되어요. 이를 먹는 동물플랑크톤과 어린 물고기로 연결될 수 있어요.</ns0:t>
        </ns0:is>
      </ns0:c>
      <ns0:c r="L91" s="8" t="inlineStr">
        <ns0:is>
          <ns0:t>고른 보기 ‘서도와 동도가 한 이름이 됨’와 달라요. 이 문항의 정답은 ‘이를 먹는 생물의 먹이 증가’입니다. 작은 식물플랑크톤은 독도 바다 먹이 관계의 바탕이 되어요. 이를 먹는 동물플랑크톤과 어린 물고기로 연결될 수 있어요.</ns0:t>
        </ns0:is>
      </ns0:c>
      <ns0:c r="M91" s="8" t="inlineStr">
        <ns0:is>
          <ns0:t>작은 식물플랑크톤은 독도 바다 먹이 관계의 바탕이 되어요. 이를 먹는 동물플랑크톤과 어린 물고기로 연결될 수 있어요.</ns0:t>
        </ns0:is>
      </ns0:c>
      <ns0:c r="N91" s="8" t="inlineStr"/>
      <ns0:c r="O91" s="8" t="inlineStr">
        <ns0:is>
          <ns0:t>https://www.dokdo.re.kr/home/cms/cmsCont.do?cntnts_sn=82</ns0:t>
        </ns0:is>
      </ns0:c>
      <ns0:c r="P91" s="5">
        <ns0:f>LEN(E91)+MAX(LEN(F91),LEN(G91),LEN(H91))</ns0:f>
        <ns0:v>38</ns0:v>
      </ns0:c>
      <ns0:c r="Q91" s="9" t="inlineStr">
        <ns0:is>
          <ns0:t>출처 기반 자체 검토 / 독립 승인 전</ns0:t>
        </ns0:is>
      </ns0:c>
    </ns0:row>
    <ns0:row r="92" ht="98" customHeight="1">
      <ns0:c r="A92" s="2" t="n">
        <ns0:v>910091</ns0:v>
      </ns0:c>
      <ns0:c r="B92" s="2" t="n">
        <ns0:v>5</ns0:v>
      </ns0:c>
      <ns0:c r="C92" s="2" t="inlineStr">
        <ns0:is>
          <ns0:t>dk-food-links</ns0:t>
        </ns0:is>
      </ns0:c>
      <ns0:c r="D92" s="2" t="n">
        <ns0:v>3</ns0:v>
      </ns0:c>
      <ns0:c r="E92" s="6" t="inlineStr">
        <ns0:is>
          <ns0:t>자료의 순서에서 식물플랑크톤 다음 연결은?</ns0:t>
        </ns0:is>
      </ns0:c>
      <ns0:c r="F92" s="6" t="inlineStr">
        <ns0:is>
          <ns0:t>울도군의 행정구역</ns0:t>
        </ns0:is>
      </ns0:c>
      <ns0:c r="G92" s="6" t="inlineStr">
        <ns0:is>
          <ns0:t>동물플랑크톤의 먹이</ns0:t>
        </ns0:is>
      </ns0:c>
      <ns0:c r="H92" s="6" t="inlineStr">
        <ns0:is>
          <ns0:t>독도등대의 전력</ns0:t>
        </ns0:is>
      </ns0:c>
      <ns0:c r="I92" s="6" t="n">
        <ns0:v>2</ns0:v>
      </ns0:c>
      <ns0:c r="J92" s="6" t="inlineStr">
        <ns0:is>
          <ns0:t>작은 식물플랑크톤은 독도 바다 먹이 관계의 바탕이 되어요. 이를 먹는 동물플랑크톤과 어린 물고기로 연결될 수 있어요.</ns0:t>
        </ns0:is>
      </ns0:c>
      <ns0:c r="K92" s="6" t="inlineStr">
        <ns0:is>
          <ns0:t>고른 보기 ‘울도군의 행정구역’와 달라요. 이 문항의 정답은 ‘동물플랑크톤의 먹이’입니다. 작은 식물플랑크톤은 독도 바다 먹이 관계의 바탕이 되어요. 이를 먹는 동물플랑크톤과 어린 물고기로 연결될 수 있어요.</ns0:t>
        </ns0:is>
      </ns0:c>
      <ns0:c r="L92" s="6" t="inlineStr">
        <ns0:is>
          <ns0:t>작은 식물플랑크톤은 독도 바다 먹이 관계의 바탕이 되어요. 이를 먹는 동물플랑크톤과 어린 물고기로 연결될 수 있어요.</ns0:t>
        </ns0:is>
      </ns0:c>
      <ns0:c r="M92" s="6" t="inlineStr">
        <ns0:is>
          <ns0:t>고른 보기 ‘독도등대의 전력’와 달라요. 이 문항의 정답은 ‘동물플랑크톤의 먹이’입니다. 작은 식물플랑크톤은 독도 바다 먹이 관계의 바탕이 되어요. 이를 먹는 동물플랑크톤과 어린 물고기로 연결될 수 있어요.</ns0:t>
        </ns0:is>
      </ns0:c>
      <ns0:c r="N92" s="6" t="inlineStr">
        <ns0:is>
          <ns0:t>연구 설명의 연결: 영양염 공급→식물플랑크톤 성장→동물플랑크톤의 먹이→어린 물고기의 먹이. 성육장 기능에 기여할 것으로 기대된다고 설명합니다.</ns0:t>
        </ns0:is>
      </ns0:c>
      <ns0:c r="O92" s="6" t="inlineStr">
        <ns0:is>
          <ns0:t>https://www.dokdo.re.kr/home/cms/cmsCont.do?cntnts_sn=82</ns0:t>
        </ns0:is>
      </ns0:c>
      <ns0:c r="P92" s="3">
        <ns0:f>LEN(E92)+MAX(LEN(F92),LEN(G92),LEN(H92))</ns0:f>
        <ns0:v>33</ns0:v>
      </ns0:c>
      <ns0:c r="Q92" s="7" t="inlineStr">
        <ns0:is>
          <ns0:t>출처 기반 자체 검토 / 독립 승인 전</ns0:t>
        </ns0:is>
      </ns0:c>
    </ns0:row>
    <ns0:row r="93" ht="98" customHeight="1">
      <ns0:c r="A93" s="4" t="n">
        <ns0:v>910092</ns0:v>
      </ns0:c>
      <ns0:c r="B93" s="4" t="n">
        <ns0:v>5</ns0:v>
      </ns0:c>
      <ns0:c r="C93" s="4" t="inlineStr">
        <ns0:is>
          <ns0:t>dk-food-links</ns0:t>
        </ns0:is>
      </ns0:c>
      <ns0:c r="D93" s="4" t="n">
        <ns0:v>4</ns0:v>
      </ns0:c>
      <ns0:c r="E93" s="8" t="inlineStr">
        <ns0:is>
          <ns0:t>‘성육장에 기여할 것으로 기대’의 바른 요약은?</ns0:t>
        </ns0:is>
      </ns0:c>
      <ns0:c r="F93" s="8" t="inlineStr">
        <ns0:is>
          <ns0:t>기여 가능성으로 설명하며 조건을 남긴다</ns0:t>
        </ns0:is>
      </ns0:c>
      <ns0:c r="G93" s="8" t="inlineStr">
        <ns0:is>
          <ns0:t>모든 물고기 수가 이미 두 배가 됐다고 한다</ns0:t>
        </ns0:is>
      </ns0:c>
      <ns0:c r="H93" s="8" t="inlineStr">
        <ns0:is>
          <ns0:t>가능성이라는 이유로 관찰 자료도 전부 버린다</ns0:t>
        </ns0:is>
      </ns0:c>
      <ns0:c r="I93" s="8" t="n">
        <ns0:v>1</ns0:v>
      </ns0:c>
      <ns0:c r="J93" s="8" t="inlineStr">
        <ns0:is>
          <ns0:t>작은 식물플랑크톤은 독도 바다 먹이 관계의 바탕이 되어요. 이를 먹는 동물플랑크톤과 어린 물고기로 연결될 수 있어요.</ns0:t>
        </ns0:is>
      </ns0:c>
      <ns0:c r="K93" s="8" t="inlineStr">
        <ns0:is>
          <ns0:t>작은 식물플랑크톤은 독도 바다 먹이 관계의 바탕이 되어요. 이를 먹는 동물플랑크톤과 어린 물고기로 연결될 수 있어요.</ns0:t>
        </ns0:is>
      </ns0:c>
      <ns0:c r="L93" s="8" t="inlineStr">
        <ns0:is>
          <ns0:t>고른 보기 ‘모든 물고기 수가 이미 두 배가 됐다고 한다’와 달라요. 이 문항의 정답은 ‘기여 가능성으로 설명하며 조건을 남긴다’입니다. 작은 식물플랑크톤은 독도 바다 먹이 관계의 바탕이 되어요. 이를 먹는 동물플랑크톤과 어린 물고기로 연결될 수 있어요.</ns0:t>
        </ns0:is>
      </ns0:c>
      <ns0:c r="M93" s="8" t="inlineStr">
        <ns0:is>
          <ns0:t>고른 보기 ‘가능성이라는 이유로 관찰 자료도 전부 버린다’와 달라요. 이 문항의 정답은 ‘기여 가능성으로 설명하며 조건을 남긴다’입니다. 작은 식물플랑크톤은 독도 바다 먹이 관계의 바탕이 되어요. 이를 먹는 동물플랑크톤과 어린 물고기로 연결될 수 있어요.</ns0:t>
        </ns0:is>
      </ns0:c>
      <ns0:c r="N93" s="8" t="inlineStr">
        <ns0:is>
          <ns0:t>연구 설명의 연결: 영양염 공급→식물플랑크톤 성장→동물플랑크톤의 먹이→어린 물고기의 먹이. 성육장 기능에 기여할 것으로 기대된다고 설명합니다.</ns0:t>
        </ns0:is>
      </ns0:c>
      <ns0:c r="O93" s="8" t="inlineStr">
        <ns0:is>
          <ns0:t>https://www.dokdo.re.kr/home/cms/cmsCont.do?cntnts_sn=82</ns0:t>
        </ns0:is>
      </ns0:c>
      <ns0:c r="P93" s="5">
        <ns0:f>LEN(E93)+MAX(LEN(F93),LEN(G93),LEN(H93))</ns0:f>
        <ns0:v>50</ns0:v>
      </ns0:c>
      <ns0:c r="Q93" s="9" t="inlineStr">
        <ns0:is>
          <ns0:t>출처 기반 자체 검토 / 독립 승인 전</ns0:t>
        </ns0:is>
      </ns0:c>
    </ns0:row>
    <ns0:row r="94" ht="98" customHeight="1">
      <ns0:c r="A94" s="2" t="n">
        <ns0:v>910093</ns0:v>
      </ns0:c>
      <ns0:c r="B94" s="2" t="n">
        <ns0:v>5</ns0:v>
      </ns0:c>
      <ns0:c r="C94" s="2" t="inlineStr">
        <ns0:is>
          <ns0:t>dk-gangchi-history</ns0:t>
        </ns0:is>
      </ns0:c>
      <ns0:c r="D94" s="2" t="n">
        <ns0:v>1</ns0:v>
      </ns0:c>
      <ns0:c r="E94" s="6" t="inlineStr">
        <ns0:is>
          <ns0:t>옛 독도 바다에 살았던 동물은?</ns0:t>
        </ns0:is>
      </ns0:c>
      <ns0:c r="F94" s="6" t="inlineStr">
        <ns0:is>
          <ns0:t>민물 돌고래</ns0:t>
        </ns0:is>
      </ns0:c>
      <ns0:c r="G94" s="6" t="inlineStr">
        <ns0:is>
          <ns0:t>사막여우</ns0:t>
        </ns0:is>
      </ns0:c>
      <ns0:c r="H94" s="6" t="inlineStr">
        <ns0:is>
          <ns0:t>강치</ns0:t>
        </ns0:is>
      </ns0:c>
      <ns0:c r="I94" s="6" t="n">
        <ns0:v>3</ns0:v>
      </ns0:c>
      <ns0:c r="J94" s="6" t="inlineStr">
        <ns0:is>
          <ns0:t>독도에는 강치가 살았어요. 연구는 지나치게 많이 잡은 일이 강치 감소와 멸종에 큰 영향을 주었음을 설명해요.</ns0:t>
        </ns0:is>
      </ns0:c>
      <ns0:c r="K94" s="6" t="inlineStr">
        <ns0:is>
          <ns0:t>고른 보기 ‘민물 돌고래’와 달라요. 이 문항의 정답은 ‘강치’입니다. 독도에는 강치가 살았어요. 연구는 지나치게 많이 잡은 일이 강치 감소와 멸종에 큰 영향을 주었음을 설명해요.</ns0:t>
        </ns0:is>
      </ns0:c>
      <ns0:c r="L94" s="6" t="inlineStr">
        <ns0:is>
          <ns0:t>고른 보기 ‘사막여우’와 달라요. 이 문항의 정답은 ‘강치’입니다. 독도에는 강치가 살았어요. 연구는 지나치게 많이 잡은 일이 강치 감소와 멸종에 큰 영향을 주었음을 설명해요.</ns0:t>
        </ns0:is>
      </ns0:c>
      <ns0:c r="M94" s="6" t="inlineStr">
        <ns0:is>
          <ns0:t>독도에는 강치가 살았어요. 연구는 지나치게 많이 잡은 일이 강치 감소와 멸종에 큰 영향을 주었음을 설명해요.</ns0:t>
        </ns0:is>
      </ns0:c>
      <ns0:c r="N94" s="6" t="inlineStr"/>
      <ns0:c r="O94" s="6" t="inlineStr">
        <ns0:is>
          <ns0:t>https://www.mof.go.kr/doc/ko/selectDoc.do?bbsSeq=10&amp;docSeq=45126&amp;menuSeq=971
https://www.mdpi.com/2077-1312/10/2/271</ns0:t>
        </ns0:is>
      </ns0:c>
      <ns0:c r="P94" s="3">
        <ns0:f>LEN(E94)+MAX(LEN(F94),LEN(G94),LEN(H94))</ns0:f>
        <ns0:v>23</ns0:v>
      </ns0:c>
      <ns0:c r="Q94" s="7" t="inlineStr">
        <ns0:is>
          <ns0:t>출처 기반 자체 검토 / 독립 승인 전</ns0:t>
        </ns0:is>
      </ns0:c>
    </ns0:row>
    <ns0:row r="95" ht="98" customHeight="1">
      <ns0:c r="A95" s="4" t="n">
        <ns0:v>910094</ns0:v>
      </ns0:c>
      <ns0:c r="B95" s="4" t="n">
        <ns0:v>5</ns0:v>
      </ns0:c>
      <ns0:c r="C95" s="4" t="inlineStr">
        <ns0:is>
          <ns0:t>dk-gangchi-history</ns0:t>
        </ns0:is>
      </ns0:c>
      <ns0:c r="D95" s="4" t="n">
        <ns0:v>2</ns0:v>
      </ns0:c>
      <ns0:c r="E95" s="8" t="inlineStr">
        <ns0:is>
          <ns0:t>연구가 강치 감소와 연결한 사람의 행동은?</ns0:t>
        </ns0:is>
      </ns0:c>
      <ns0:c r="F95" s="8" t="inlineStr">
        <ns0:is>
          <ns0:t>옛 문서 정리</ns0:t>
        </ns0:is>
      </ns0:c>
      <ns0:c r="G95" s="8" t="inlineStr">
        <ns0:is>
          <ns0:t>지나친 포획</ns0:t>
        </ns0:is>
      </ns0:c>
      <ns0:c r="H95" s="8" t="inlineStr">
        <ns0:is>
          <ns0:t>섬 높이 측량</ns0:t>
        </ns0:is>
      </ns0:c>
      <ns0:c r="I95" s="8" t="n">
        <ns0:v>2</ns0:v>
      </ns0:c>
      <ns0:c r="J95" s="8" t="inlineStr">
        <ns0:is>
          <ns0:t>독도에는 강치가 살았어요. 연구는 지나치게 많이 잡은 일이 강치 감소와 멸종에 큰 영향을 주었음을 설명해요.</ns0:t>
        </ns0:is>
      </ns0:c>
      <ns0:c r="K95" s="8" t="inlineStr">
        <ns0:is>
          <ns0:t>고른 보기 ‘옛 문서 정리’와 달라요. 이 문항의 정답은 ‘지나친 포획’입니다. 독도에는 강치가 살았어요. 연구는 지나치게 많이 잡은 일이 강치 감소와 멸종에 큰 영향을 주었음을 설명해요.</ns0:t>
        </ns0:is>
      </ns0:c>
      <ns0:c r="L95" s="8" t="inlineStr">
        <ns0:is>
          <ns0:t>독도에는 강치가 살았어요. 연구는 지나치게 많이 잡은 일이 강치 감소와 멸종에 큰 영향을 주었음을 설명해요.</ns0:t>
        </ns0:is>
      </ns0:c>
      <ns0:c r="M95" s="8" t="inlineStr">
        <ns0:is>
          <ns0:t>고른 보기 ‘섬 높이 측량’와 달라요. 이 문항의 정답은 ‘지나친 포획’입니다. 독도에는 강치가 살았어요. 연구는 지나치게 많이 잡은 일이 강치 감소와 멸종에 큰 영향을 주었음을 설명해요.</ns0:t>
        </ns0:is>
      </ns0:c>
      <ns0:c r="N95" s="8" t="inlineStr"/>
      <ns0:c r="O95" s="8" t="inlineStr">
        <ns0:is>
          <ns0:t>https://www.mof.go.kr/doc/ko/selectDoc.do?bbsSeq=10&amp;docSeq=45126&amp;menuSeq=971
https://www.mdpi.com/2077-1312/10/2/271</ns0:t>
        </ns0:is>
      </ns0:c>
      <ns0:c r="P95" s="5">
        <ns0:f>LEN(E95)+MAX(LEN(F95),LEN(G95),LEN(H95))</ns0:f>
        <ns0:v>30</ns0:v>
      </ns0:c>
      <ns0:c r="Q95" s="9" t="inlineStr">
        <ns0:is>
          <ns0:t>출처 기반 자체 검토 / 독립 승인 전</ns0:t>
        </ns0:is>
      </ns0:c>
    </ns0:row>
    <ns0:row r="96" ht="98" customHeight="1">
      <ns0:c r="A96" s="2" t="n">
        <ns0:v>910095</ns0:v>
      </ns0:c>
      <ns0:c r="B96" s="2" t="n">
        <ns0:v>5</ns0:v>
      </ns0:c>
      <ns0:c r="C96" s="2" t="inlineStr">
        <ns0:is>
          <ns0:t>dk-gangchi-history</ns0:t>
        </ns0:is>
      </ns0:c>
      <ns0:c r="D96" s="2" t="n">
        <ns0:v>3</ns0:v>
      </ns0:c>
      <ns0:c r="E96" s="6" t="inlineStr">
        <ns0:is>
          <ns0:t>자료가 강치의 과거 개체 수를 살핀 방법은?</ns0:t>
        </ns0:is>
      </ns0:c>
      <ns0:c r="F96" s="6" t="inlineStr">
        <ns0:is>
          <ns0:t>포획 기록과 개체군 모델</ns0:t>
        </ns0:is>
      </ns0:c>
      <ns0:c r="G96" s="6" t="inlineStr">
        <ns0:is>
          <ns0:t>현재 모든 강치를 직접 세기</ns0:t>
        </ns0:is>
      </ns0:c>
      <ns0:c r="H96" s="6" t="inlineStr">
        <ns0:is>
          <ns0:t>앱에 그린 동물 수 세기</ns0:t>
        </ns0:is>
      </ns0:c>
      <ns0:c r="I96" s="6" t="n">
        <ns0:v>1</ns0:v>
      </ns0:c>
      <ns0:c r="J96" s="6" t="inlineStr">
        <ns0:is>
          <ns0:t>독도에는 강치가 살았어요. 연구는 지나치게 많이 잡은 일이 강치 감소와 멸종에 큰 영향을 주었음을 설명해요.</ns0:t>
        </ns0:is>
      </ns0:c>
      <ns0:c r="K96" s="6" t="inlineStr">
        <ns0:is>
          <ns0:t>독도에는 강치가 살았어요. 연구는 지나치게 많이 잡은 일이 강치 감소와 멸종에 큰 영향을 주었음을 설명해요.</ns0:t>
        </ns0:is>
      </ns0:c>
      <ns0:c r="L96" s="6" t="inlineStr">
        <ns0:is>
          <ns0:t>고른 보기 ‘현재 모든 강치를 직접 세기’와 달라요. 이 문항의 정답은 ‘포획 기록과 개체군 모델’입니다. 독도에는 강치가 살았어요. 연구는 지나치게 많이 잡은 일이 강치 감소와 멸종에 큰 영향을 주었음을 설명해요.</ns0:t>
        </ns0:is>
      </ns0:c>
      <ns0:c r="M96" s="6" t="inlineStr">
        <ns0:is>
          <ns0:t>고른 보기 ‘앱에 그린 동물 수 세기’와 달라요. 이 문항의 정답은 ‘포획 기록과 개체군 모델’입니다. 독도에는 강치가 살았어요. 연구는 지나치게 많이 잡은 일이 강치 감소와 멸종에 큰 영향을 주었음을 설명해요.</ns0:t>
        </ns0:is>
      </ns0:c>
      <ns0:c r="N96" s="6" t="inlineStr">
        <ns0:is>
          <ns0:t>2022년 연구는 과거 포획 기록과 개체군 모델을 이용해 남획의 영향을 살폈습니다. 이 문항은 현재 동물 수를 외우는 문제가 아니라 독도 강치의 역사를 이해하는 문제입니다.</ns0:t>
        </ns0:is>
      </ns0:c>
      <ns0:c r="O96" s="6" t="inlineStr">
        <ns0:is>
          <ns0:t>https://www.mof.go.kr/doc/ko/selectDoc.do?bbsSeq=10&amp;docSeq=45126&amp;menuSeq=971
https://www.mdpi.com/2077-1312/10/2/271</ns0:t>
        </ns0:is>
      </ns0:c>
      <ns0:c r="P96" s="3">
        <ns0:f>LEN(E96)+MAX(LEN(F96),LEN(G96),LEN(H96))</ns0:f>
        <ns0:v>39</ns0:v>
      </ns0:c>
      <ns0:c r="Q96" s="7" t="inlineStr">
        <ns0:is>
          <ns0:t>출처 기반 자체 검토 / 독립 승인 전</ns0:t>
        </ns0:is>
      </ns0:c>
    </ns0:row>
    <ns0:row r="97" ht="98" customHeight="1">
      <ns0:c r="A97" s="4" t="n">
        <ns0:v>910096</ns0:v>
      </ns0:c>
      <ns0:c r="B97" s="4" t="n">
        <ns0:v>5</ns0:v>
      </ns0:c>
      <ns0:c r="C97" s="4" t="inlineStr">
        <ns0:is>
          <ns0:t>dk-gangchi-history</ns0:t>
        </ns0:is>
      </ns0:c>
      <ns0:c r="D97" s="4" t="n">
        <ns0:v>4</ns0:v>
      </ns0:c>
      <ns0:c r="E97" s="8" t="inlineStr">
        <ns0:is>
          <ns0:t>연구를 ‘남획 외 요인은 전부 불가능’이라 요약하면?</ns0:t>
        </ns0:is>
      </ns0:c>
      <ns0:c r="F97" s="8" t="inlineStr">
        <ns0:is>
          <ns0:t>남획 연구이므로 모든 요인을 이미 검증했다</ns0:t>
        </ns0:is>
      </ns0:c>
      <ns0:c r="G97" s="8" t="inlineStr">
        <ns0:is>
          <ns0:t>과거 연구에는 어떤 결론도 있을 수 없다</ns0:t>
        </ns0:is>
      </ns0:c>
      <ns0:c r="H97" s="8" t="inlineStr">
        <ns0:is>
          <ns0:t>모델의 가정과 검토하지 않은 요인을 넘어선다</ns0:t>
        </ns0:is>
      </ns0:c>
      <ns0:c r="I97" s="8" t="n">
        <ns0:v>3</ns0:v>
      </ns0:c>
      <ns0:c r="J97" s="8" t="inlineStr">
        <ns0:is>
          <ns0:t>독도에는 강치가 살았어요. 연구는 지나치게 많이 잡은 일이 강치 감소와 멸종에 큰 영향을 주었음을 설명해요.</ns0:t>
        </ns0:is>
      </ns0:c>
      <ns0:c r="K97" s="8" t="inlineStr">
        <ns0:is>
          <ns0:t>고른 보기 ‘남획 연구이므로 모든 요인을 이미 검증했다’와 달라요. 이 문항의 정답은 ‘모델의 가정과 검토하지 않은 요인을 넘어선다’입니다. 독도에는 강치가 살았어요. 연구는 지나치게 많이 잡은 일이 강치 감소와 멸종에 큰 영향을 주었음을 설명해요.</ns0:t>
        </ns0:is>
      </ns0:c>
      <ns0:c r="L97" s="8" t="inlineStr">
        <ns0:is>
          <ns0:t>고른 보기 ‘과거 연구에는 어떤 결론도 있을 수 없다’와 달라요. 이 문항의 정답은 ‘모델의 가정과 검토하지 않은 요인을 넘어선다’입니다. 독도에는 강치가 살았어요. 연구는 지나치게 많이 잡은 일이 강치 감소와 멸종에 큰 영향을 주었음을 설명해요.</ns0:t>
        </ns0:is>
      </ns0:c>
      <ns0:c r="M97" s="8" t="inlineStr">
        <ns0:is>
          <ns0:t>독도에는 강치가 살았어요. 연구는 지나치게 많이 잡은 일이 강치 감소와 멸종에 큰 영향을 주었음을 설명해요.</ns0:t>
        </ns0:is>
      </ns0:c>
      <ns0:c r="N97" s="8" t="inlineStr">
        <ns0:is>
          <ns0:t>2022년 연구는 과거 포획 기록과 개체군 모델을 이용해 남획의 영향을 살폈습니다. 이 문항은 현재 동물 수를 외우는 문제가 아니라 독도 강치의 역사를 이해하는 문제입니다.</ns0:t>
        </ns0:is>
      </ns0:c>
      <ns0:c r="O97" s="8" t="inlineStr">
        <ns0:is>
          <ns0:t>https://www.mof.go.kr/doc/ko/selectDoc.do?bbsSeq=10&amp;docSeq=45126&amp;menuSeq=971
https://www.mdpi.com/2077-1312/10/2/271</ns0:t>
        </ns0:is>
      </ns0:c>
      <ns0:c r="P97" s="5">
        <ns0:f>LEN(E97)+MAX(LEN(F97),LEN(G97),LEN(H97))</ns0:f>
        <ns0:v>53</ns0:v>
      </ns0:c>
      <ns0:c r="Q97" s="9" t="inlineStr">
        <ns0:is>
          <ns0:t>출처 기반 자체 검토 / 독립 승인 전</ns0:t>
        </ns0:is>
      </ns0:c>
    </ns0:row>
    <ns0:row r="98" ht="98" customHeight="1">
      <ns0:c r="A98" s="2" t="n">
        <ns0:v>910097</ns0:v>
      </ns0:c>
      <ns0:c r="B98" s="2" t="n">
        <ns0:v>5</ns0:v>
      </ns0:c>
      <ns0:c r="C98" s="2" t="inlineStr">
        <ns0:is>
          <ns0:t>dk-model-evidence</ns0:t>
        </ns0:is>
      </ns0:c>
      <ns0:c r="D98" s="2" t="n">
        <ns0:v>1</ns0:v>
      </ns0:c>
      <ns0:c r="E98" s="6" t="inlineStr">
        <ns0:is>
          <ns0:t>옛 강치 수를 알아볼 때 쓸 자료는?</ns0:t>
        </ns0:is>
      </ns0:c>
      <ns0:c r="F98" s="6" t="inlineStr">
        <ns0:is>
          <ns0:t>등대의 색 이름만</ns0:t>
        </ns0:is>
      </ns0:c>
      <ns0:c r="G98" s="6" t="inlineStr">
        <ns0:is>
          <ns0:t>남아 있는 포획 기록</ns0:t>
        </ns0:is>
      </ns0:c>
      <ns0:c r="H98" s="6" t="inlineStr">
        <ns0:is>
          <ns0:t>오늘의 배 시간표만</ns0:t>
        </ns0:is>
      </ns0:c>
      <ns0:c r="I98" s="6" t="n">
        <ns0:v>2</ns0:v>
      </ns0:c>
      <ns0:c r="J98" s="6" t="inlineStr">
        <ns0:is>
          <ns0:t>강치의 옛 개체 수는 남아 있는 기록으로 추정해요. 연구 모델의 수치와 당시 직접 센 수치는 구별해야 해요.</ns0:t>
        </ns0:is>
      </ns0:c>
      <ns0:c r="K98" s="6" t="inlineStr">
        <ns0:is>
          <ns0:t>고른 보기 ‘등대의 색 이름만’와 달라요. 이 문항의 정답은 ‘남아 있는 포획 기록’입니다. 강치의 옛 개체 수는 남아 있는 기록으로 추정해요. 연구 모델의 수치와 당시 직접 센 수치는 구별해야 해요.</ns0:t>
        </ns0:is>
      </ns0:c>
      <ns0:c r="L98" s="6" t="inlineStr">
        <ns0:is>
          <ns0:t>강치의 옛 개체 수는 남아 있는 기록으로 추정해요. 연구 모델의 수치와 당시 직접 센 수치는 구별해야 해요.</ns0:t>
        </ns0:is>
      </ns0:c>
      <ns0:c r="M98" s="6" t="inlineStr">
        <ns0:is>
          <ns0:t>고른 보기 ‘오늘의 배 시간표만’와 달라요. 이 문항의 정답은 ‘남아 있는 포획 기록’입니다. 강치의 옛 개체 수는 남아 있는 기록으로 추정해요. 연구 모델의 수치와 당시 직접 센 수치는 구별해야 해요.</ns0:t>
        </ns0:is>
      </ns0:c>
      <ns0:c r="N98" s="6" t="inlineStr"/>
      <ns0:c r="O98" s="6" t="inlineStr">
        <ns0:is>
          <ns0:t>https://www.mdpi.com/2077-1312/10/2/271</ns0:t>
        </ns0:is>
      </ns0:c>
      <ns0:c r="P98" s="3">
        <ns0:f>LEN(E98)+MAX(LEN(F98),LEN(G98),LEN(H98))</ns0:f>
        <ns0:v>31</ns0:v>
      </ns0:c>
      <ns0:c r="Q98" s="7" t="inlineStr">
        <ns0:is>
          <ns0:t>출처 기반 자체 검토 / 독립 승인 전</ns0:t>
        </ns0:is>
      </ns0:c>
    </ns0:row>
    <ns0:row r="99" ht="98" customHeight="1">
      <ns0:c r="A99" s="4" t="n">
        <ns0:v>910098</ns0:v>
      </ns0:c>
      <ns0:c r="B99" s="4" t="n">
        <ns0:v>5</ns0:v>
      </ns0:c>
      <ns0:c r="C99" s="4" t="inlineStr">
        <ns0:is>
          <ns0:t>dk-model-evidence</ns0:t>
        </ns0:is>
      </ns0:c>
      <ns0:c r="D99" s="4" t="n">
        <ns0:v>2</ns0:v>
      </ns0:c>
      <ns0:c r="E99" s="8" t="inlineStr">
        <ns0:is>
          <ns0:t>연구 모델로 구한 강치 수는 무엇일까요?</ns0:t>
        </ns0:is>
      </ns0:c>
      <ns0:c r="F99" s="8" t="inlineStr">
        <ns0:is>
          <ns0:t>기록과 가정으로 구한 추정값</ns0:t>
        </ns0:is>
      </ns0:c>
      <ns0:c r="G99" s="8" t="inlineStr">
        <ns0:is>
          <ns0:t>그날 모든 개체를 직접 센 값</ns0:t>
        </ns0:is>
      </ns0:c>
      <ns0:c r="H99" s="8" t="inlineStr">
        <ns0:is>
          <ns0:t>해안선의 정확한 길이</ns0:t>
        </ns0:is>
      </ns0:c>
      <ns0:c r="I99" s="8" t="n">
        <ns0:v>1</ns0:v>
      </ns0:c>
      <ns0:c r="J99" s="8" t="inlineStr">
        <ns0:is>
          <ns0:t>강치의 옛 개체 수는 남아 있는 기록으로 추정해요. 연구 모델의 수치와 당시 직접 센 수치는 구별해야 해요.</ns0:t>
        </ns0:is>
      </ns0:c>
      <ns0:c r="K99" s="8" t="inlineStr">
        <ns0:is>
          <ns0:t>강치의 옛 개체 수는 남아 있는 기록으로 추정해요. 연구 모델의 수치와 당시 직접 센 수치는 구별해야 해요.</ns0:t>
        </ns0:is>
      </ns0:c>
      <ns0:c r="L99" s="8" t="inlineStr">
        <ns0:is>
          <ns0:t>고른 보기 ‘그날 모든 개체를 직접 센 값’와 달라요. 이 문항의 정답은 ‘기록과 가정으로 구한 추정값’입니다. 강치의 옛 개체 수는 남아 있는 기록으로 추정해요. 연구 모델의 수치와 당시 직접 센 수치는 구별해야 해요.</ns0:t>
        </ns0:is>
      </ns0:c>
      <ns0:c r="M99" s="8" t="inlineStr">
        <ns0:is>
          <ns0:t>고른 보기 ‘해안선의 정확한 길이’와 달라요. 이 문항의 정답은 ‘기록과 가정으로 구한 추정값’입니다. 강치의 옛 개체 수는 남아 있는 기록으로 추정해요. 연구 모델의 수치와 당시 직접 센 수치는 구별해야 해요.</ns0:t>
        </ns0:is>
      </ns0:c>
      <ns0:c r="N99" s="8" t="inlineStr"/>
      <ns0:c r="O99" s="8" t="inlineStr">
        <ns0:is>
          <ns0:t>https://www.mdpi.com/2077-1312/10/2/271</ns0:t>
        </ns0:is>
      </ns0:c>
      <ns0:c r="P99" s="5">
        <ns0:f>LEN(E99)+MAX(LEN(F99),LEN(G99),LEN(H99))</ns0:f>
        <ns0:v>38</ns0:v>
      </ns0:c>
      <ns0:c r="Q99" s="9" t="inlineStr">
        <ns0:is>
          <ns0:t>출처 기반 자체 검토 / 독립 승인 전</ns0:t>
        </ns0:is>
      </ns0:c>
    </ns0:row>
    <ns0:row r="100" ht="98" customHeight="1">
      <ns0:c r="A100" s="2" t="n">
        <ns0:v>910099</ns0:v>
      </ns0:c>
      <ns0:c r="B100" s="2" t="n">
        <ns0:v>5</ns0:v>
      </ns0:c>
      <ns0:c r="C100" s="2" t="inlineStr">
        <ns0:is>
          <ns0:t>dk-model-evidence</ns0:t>
        </ns0:is>
      </ns0:c>
      <ns0:c r="D100" s="2" t="n">
        <ns0:v>3</ns0:v>
      </ns0:c>
      <ns0:c r="E100" s="6" t="inlineStr">
        <ns0:is>
          <ns0:t>자료가 밝히는 연구의 한계는?</ns0:t>
        </ns0:is>
      </ns0:c>
      <ns0:c r="F100" s="6" t="inlineStr">
        <ns0:is>
          <ns0:t>포획 기록을 전혀 사용하지 않음</ns0:t>
        </ns0:is>
      </ns0:c>
      <ns0:c r="G100" s="6" t="inlineStr">
        <ns0:is>
          <ns0:t>현대 선박의 길이만 조사함</ns0:t>
        </ns0:is>
      </ns0:c>
      <ns0:c r="H100" s="6" t="inlineStr">
        <ns0:is>
          <ns0:t>생태 정보 부족과 모델 가정</ns0:t>
        </ns0:is>
      </ns0:c>
      <ns0:c r="I100" s="6" t="n">
        <ns0:v>3</ns0:v>
      </ns0:c>
      <ns0:c r="J100" s="6" t="inlineStr">
        <ns0:is>
          <ns0:t>강치의 옛 개체 수는 남아 있는 기록으로 추정해요. 연구 모델의 수치와 당시 직접 센 수치는 구별해야 해요.</ns0:t>
        </ns0:is>
      </ns0:c>
      <ns0:c r="K100" s="6" t="inlineStr">
        <ns0:is>
          <ns0:t>고른 보기 ‘포획 기록을 전혀 사용하지 않음’와 달라요. 이 문항의 정답은 ‘생태 정보 부족과 모델 가정’입니다. 강치의 옛 개체 수는 남아 있는 기록으로 추정해요. 연구 모델의 수치와 당시 직접 센 수치는 구별해야 해요.</ns0:t>
        </ns0:is>
      </ns0:c>
      <ns0:c r="L100" s="6" t="inlineStr">
        <ns0:is>
          <ns0:t>고른 보기 ‘현대 선박의 길이만 조사함’와 달라요. 이 문항의 정답은 ‘생태 정보 부족과 모델 가정’입니다. 강치의 옛 개체 수는 남아 있는 기록으로 추정해요. 연구 모델의 수치와 당시 직접 센 수치는 구별해야 해요.</ns0:t>
        </ns0:is>
      </ns0:c>
      <ns0:c r="M100" s="6" t="inlineStr">
        <ns0:is>
          <ns0:t>강치의 옛 개체 수는 남아 있는 기록으로 추정해요. 연구 모델의 수치와 당시 직접 센 수치는 구별해야 해요.</ns0:t>
        </ns0:is>
      </ns0:c>
      <ns0:c r="N100" s="6" t="inlineStr">
        <ns0:is>
          <ns0:t>Lee 외(2022)는 포획 기록과 개체군 모형으로 1900~1951년의 독도 강치 개체 수를 재구성했습니다. 논문은 생태 정보 부족과 모델 가정을 한계로 밝힙니다.</ns0:t>
        </ns0:is>
      </ns0:c>
      <ns0:c r="O100" s="6" t="inlineStr">
        <ns0:is>
          <ns0:t>https://www.mdpi.com/2077-1312/10/2/271</ns0:t>
        </ns0:is>
      </ns0:c>
      <ns0:c r="P100" s="3">
        <ns0:f>LEN(E100)+MAX(LEN(F100),LEN(G100),LEN(H100))</ns0:f>
        <ns0:v>33</ns0:v>
      </ns0:c>
      <ns0:c r="Q100" s="7" t="inlineStr">
        <ns0:is>
          <ns0:t>출처 기반 자체 검토 / 독립 승인 전</ns0:t>
        </ns0:is>
      </ns0:c>
    </ns0:row>
    <ns0:row r="101" ht="98" customHeight="1">
      <ns0:c r="A101" s="4" t="n">
        <ns0:v>910100</ns0:v>
      </ns0:c>
      <ns0:c r="B101" s="4" t="n">
        <ns0:v>5</ns0:v>
      </ns0:c>
      <ns0:c r="C101" s="4" t="inlineStr">
        <ns0:is>
          <ns0:t>dk-model-evidence</ns0:t>
        </ns0:is>
      </ns0:c>
      <ns0:c r="D101" s="4" t="n">
        <ns0:v>4</ns0:v>
      </ns0:c>
      <ns0:c r="E101" s="8" t="inlineStr">
        <ns0:is>
          <ns0:t>추정치를 당시 직접 센 확정값처럼 쓰면?</ns0:t>
        </ns0:is>
      </ns0:c>
      <ns0:c r="F101" s="8" t="inlineStr">
        <ns0:is>
          <ns0:t>추정값은 역사 연구에서 쓸 수 없다</ns0:t>
        </ns0:is>
      </ns0:c>
      <ns0:c r="G101" s="8" t="inlineStr">
        <ns0:is>
          <ns0:t>자료의 성격과 불확실성을 숨기게 된다</ns0:t>
        </ns0:is>
      </ns0:c>
      <ns0:c r="H101" s="8" t="inlineStr">
        <ns0:is>
          <ns0:t>모델이므로 오차가 무조건 없다</ns0:t>
        </ns0:is>
      </ns0:c>
      <ns0:c r="I101" s="8" t="n">
        <ns0:v>2</ns0:v>
      </ns0:c>
      <ns0:c r="J101" s="8" t="inlineStr">
        <ns0:is>
          <ns0:t>강치의 옛 개체 수는 남아 있는 기록으로 추정해요. 연구 모델의 수치와 당시 직접 센 수치는 구별해야 해요.</ns0:t>
        </ns0:is>
      </ns0:c>
      <ns0:c r="K101" s="8" t="inlineStr">
        <ns0:is>
          <ns0:t>고른 보기 ‘추정값은 역사 연구에서 쓸 수 없다’와 달라요. 이 문항의 정답은 ‘자료의 성격과 불확실성을 숨기게 된다’입니다. 강치의 옛 개체 수는 남아 있는 기록으로 추정해요. 연구 모델의 수치와 당시 직접 센 수치는 구별해야 해요.</ns0:t>
        </ns0:is>
      </ns0:c>
      <ns0:c r="L101" s="8" t="inlineStr">
        <ns0:is>
          <ns0:t>강치의 옛 개체 수는 남아 있는 기록으로 추정해요. 연구 모델의 수치와 당시 직접 센 수치는 구별해야 해요.</ns0:t>
        </ns0:is>
      </ns0:c>
      <ns0:c r="M101" s="8" t="inlineStr">
        <ns0:is>
          <ns0:t>고른 보기 ‘모델이므로 오차가 무조건 없다’와 달라요. 이 문항의 정답은 ‘자료의 성격과 불확실성을 숨기게 된다’입니다. 강치의 옛 개체 수는 남아 있는 기록으로 추정해요. 연구 모델의 수치와 당시 직접 센 수치는 구별해야 해요.</ns0:t>
        </ns0:is>
      </ns0:c>
      <ns0:c r="N101" s="8" t="inlineStr">
        <ns0:is>
          <ns0:t>Lee 외(2022)는 포획 기록과 개체군 모형으로 1900~1951년의 독도 강치 개체 수를 재구성했습니다. 논문은 생태 정보 부족과 모델 가정을 한계로 밝힙니다.</ns0:t>
        </ns0:is>
      </ns0:c>
      <ns0:c r="O101" s="8" t="inlineStr">
        <ns0:is>
          <ns0:t>https://www.mdpi.com/2077-1312/10/2/271</ns0:t>
        </ns0:is>
      </ns0:c>
      <ns0:c r="P101" s="5">
        <ns0:f>LEN(E101)+MAX(LEN(F101),LEN(G101),LEN(H101))</ns0:f>
        <ns0:v>42</ns0:v>
      </ns0:c>
      <ns0:c r="Q101" s="9" t="inlineStr">
        <ns0:is>
          <ns0:t>출처 기반 자체 검토 / 독립 승인 전</ns0:t>
        </ns0:is>
      </ns0:c>
    </ns0:row>
    <ns0:row r="102" ht="98" customHeight="1">
      <ns0:c r="A102" s="2" t="n">
        <ns0:v>910101</ns0:v>
      </ns0:c>
      <ns0:c r="B102" s="2" t="n">
        <ns0:v>6</ns0:v>
      </ns0:c>
      <ns0:c r="C102" s="2" t="inlineStr">
        <ns0:is>
          <ns0:t>dk-lighthouse</ns0:t>
        </ns0:is>
      </ns0:c>
      <ns0:c r="D102" s="2" t="n">
        <ns0:v>1</ns0:v>
      </ns0:c>
      <ns0:c r="E102" s="6" t="inlineStr">
        <ns0:is>
          <ns0:t>독도등대가 있는 섬은?</ns0:t>
        </ns0:is>
      </ns0:c>
      <ns0:c r="F102" s="6" t="inlineStr">
        <ns0:is>
          <ns0:t>동도</ns0:t>
        </ns0:is>
      </ns0:c>
      <ns0:c r="G102" s="6" t="inlineStr">
        <ns0:is>
          <ns0:t>서도</ns0:t>
        </ns0:is>
      </ns0:c>
      <ns0:c r="H102" s="6" t="inlineStr">
        <ns0:is>
          <ns0:t>울릉도</ns0:t>
        </ns0:is>
      </ns0:c>
      <ns0:c r="I102" s="6" t="n">
        <ns0:v>1</ns0:v>
      </ns0:c>
      <ns0:c r="J102" s="6" t="inlineStr">
        <ns0:is>
          <ns0:t>독도등대는 동도에 있어요. 등대는 바다를 지나는 배가 위치를 알아보는 데 도움을 주어요.</ns0:t>
        </ns0:is>
      </ns0:c>
      <ns0:c r="K102" s="6" t="inlineStr">
        <ns0:is>
          <ns0:t>독도등대는 동도에 있어요. 등대는 바다를 지나는 배가 위치를 알아보는 데 도움을 주어요.</ns0:t>
        </ns0:is>
      </ns0:c>
      <ns0:c r="L102" s="6" t="inlineStr">
        <ns0:is>
          <ns0:t>고른 보기 ‘서도’와 달라요. 이 문항의 정답은 ‘동도’입니다. 독도등대는 동도에 있어요. 등대는 바다를 지나는 배가 위치를 알아보는 데 도움을 주어요.</ns0:t>
        </ns0:is>
      </ns0:c>
      <ns0:c r="M102" s="6" t="inlineStr">
        <ns0:is>
          <ns0:t>고른 보기 ‘울릉도’와 달라요. 이 문항의 정답은 ‘동도’입니다. 독도등대는 동도에 있어요. 등대는 바다를 지나는 배가 위치를 알아보는 데 도움을 주어요.</ns0:t>
        </ns0:is>
      </ns0:c>
      <ns0:c r="N102" s="6" t="inlineStr"/>
      <ns0:c r="O102" s="6" t="inlineStr">
        <ns0:is>
          <ns0:t>https://dokdo.mofa.go.kr/kor/introduce/facility.jsp</ns0:t>
        </ns0:is>
      </ns0:c>
      <ns0:c r="P102" s="3">
        <ns0:f>LEN(E102)+MAX(LEN(F102),LEN(G102),LEN(H102))</ns0:f>
        <ns0:v>15</ns0:v>
      </ns0:c>
      <ns0:c r="Q102" s="7" t="inlineStr">
        <ns0:is>
          <ns0:t>출처 기반 자체 검토 / 독립 승인 전</ns0:t>
        </ns0:is>
      </ns0:c>
    </ns0:row>
    <ns0:row r="103" ht="98" customHeight="1">
      <ns0:c r="A103" s="4" t="n">
        <ns0:v>910102</ns0:v>
      </ns0:c>
      <ns0:c r="B103" s="4" t="n">
        <ns0:v>6</ns0:v>
      </ns0:c>
      <ns0:c r="C103" s="4" t="inlineStr">
        <ns0:is>
          <ns0:t>dk-lighthouse</ns0:t>
        </ns0:is>
      </ns0:c>
      <ns0:c r="D103" s="4" t="n">
        <ns0:v>2</ns0:v>
      </ns0:c>
      <ns0:c r="E103" s="8" t="inlineStr">
        <ns0:is>
          <ns0:t>독도등대와 연결되는 역할은?</ns0:t>
        </ns0:is>
      </ns0:c>
      <ns0:c r="F103" s="8" t="inlineStr">
        <ns0:is>
          <ns0:t>물골의 물을 저장하기</ns0:t>
        </ns0:is>
      </ns0:c>
      <ns0:c r="G103" s="8" t="inlineStr">
        <ns0:is>
          <ns0:t>철새의 이동 날짜를 정하기</ns0:t>
        </ns0:is>
      </ns0:c>
      <ns0:c r="H103" s="8" t="inlineStr">
        <ns0:is>
          <ns0:t>배가 위치를 알아보게 돕기</ns0:t>
        </ns0:is>
      </ns0:c>
      <ns0:c r="I103" s="8" t="n">
        <ns0:v>3</ns0:v>
      </ns0:c>
      <ns0:c r="J103" s="8" t="inlineStr">
        <ns0:is>
          <ns0:t>독도등대는 동도에 있어요. 등대는 바다를 지나는 배가 위치를 알아보는 데 도움을 주어요.</ns0:t>
        </ns0:is>
      </ns0:c>
      <ns0:c r="K103" s="8" t="inlineStr">
        <ns0:is>
          <ns0:t>고른 보기 ‘물골의 물을 저장하기’와 달라요. 이 문항의 정답은 ‘배가 위치를 알아보게 돕기’입니다. 독도등대는 동도에 있어요. 등대는 바다를 지나는 배가 위치를 알아보는 데 도움을 주어요.</ns0:t>
        </ns0:is>
      </ns0:c>
      <ns0:c r="L103" s="8" t="inlineStr">
        <ns0:is>
          <ns0:t>고른 보기 ‘철새의 이동 날짜를 정하기’와 달라요. 이 문항의 정답은 ‘배가 위치를 알아보게 돕기’입니다. 독도등대는 동도에 있어요. 등대는 바다를 지나는 배가 위치를 알아보는 데 도움을 주어요.</ns0:t>
        </ns0:is>
      </ns0:c>
      <ns0:c r="M103" s="8" t="inlineStr">
        <ns0:is>
          <ns0:t>독도등대는 동도에 있어요. 등대는 바다를 지나는 배가 위치를 알아보는 데 도움을 주어요.</ns0:t>
        </ns0:is>
      </ns0:c>
      <ns0:c r="N103" s="8" t="inlineStr"/>
      <ns0:c r="O103" s="8" t="inlineStr">
        <ns0:is>
          <ns0:t>https://dokdo.mofa.go.kr/kor/introduce/facility.jsp</ns0:t>
        </ns0:is>
      </ns0:c>
      <ns0:c r="P103" s="5">
        <ns0:f>LEN(E103)+MAX(LEN(F103),LEN(G103),LEN(H103))</ns0:f>
        <ns0:v>29</ns0:v>
      </ns0:c>
      <ns0:c r="Q103" s="9" t="inlineStr">
        <ns0:is>
          <ns0:t>출처 기반 자체 검토 / 독립 승인 전</ns0:t>
        </ns0:is>
      </ns0:c>
    </ns0:row>
    <ns0:row r="104" ht="98" customHeight="1">
      <ns0:c r="A104" s="2" t="n">
        <ns0:v>910103</ns0:v>
      </ns0:c>
      <ns0:c r="B104" s="2" t="n">
        <ns0:v>6</ns0:v>
      </ns0:c>
      <ns0:c r="C104" s="2" t="inlineStr">
        <ns0:is>
          <ns0:t>dk-lighthouse</ns0:t>
        </ns0:is>
      </ns0:c>
      <ns0:c r="D104" s="2" t="n">
        <ns0:v>3</ns0:v>
      </ns0:c>
      <ns0:c r="E104" s="6" t="inlineStr">
        <ns0:is>
          <ns0:t>시설 자료의 두 날짜를 바르게 읽으면?</ns0:t>
        </ns0:is>
      </ns0:c>
      <ns0:c r="F104" s="6" t="inlineStr">
        <ns0:is>
          <ns0:t>두 날짜 모두 독도 화산 형성 시점</ns0:t>
        </ns0:is>
      </ns0:c>
      <ns0:c r="G104" s="6" t="inlineStr">
        <ns0:is>
          <ns0:t>1954년 설치·1998년 증축과 유인화</ns0:t>
        </ns0:is>
      </ns0:c>
      <ns0:c r="H104" s="6" t="inlineStr">
        <ns0:is>
          <ns0:t>1998년 설치·1954년 증축</ns0:t>
        </ns0:is>
      </ns0:c>
      <ns0:c r="I104" s="6" t="n">
        <ns0:v>2</ns0:v>
      </ns0:c>
      <ns0:c r="J104" s="6" t="inlineStr">
        <ns0:is>
          <ns0:t>독도등대는 동도에 있어요. 등대는 바다를 지나는 배가 위치를 알아보는 데 도움을 주어요.</ns0:t>
        </ns0:is>
      </ns0:c>
      <ns0:c r="K104" s="6" t="inlineStr">
        <ns0:is>
          <ns0:t>고른 보기 ‘두 날짜 모두 독도 화산 형성 시점’와 달라요. 이 문항의 정답은 ‘1954년 설치·1998년 증축과 유인화’입니다. 독도등대는 동도에 있어요. 등대는 바다를 지나는 배가 위치를 알아보는 데 도움을 주어요.</ns0:t>
        </ns0:is>
      </ns0:c>
      <ns0:c r="L104" s="6" t="inlineStr">
        <ns0:is>
          <ns0:t>독도등대는 동도에 있어요. 등대는 바다를 지나는 배가 위치를 알아보는 데 도움을 주어요.</ns0:t>
        </ns0:is>
      </ns0:c>
      <ns0:c r="M104" s="6" t="inlineStr">
        <ns0:is>
          <ns0:t>고른 보기 ‘1998년 설치·1954년 증축’와 달라요. 이 문항의 정답은 ‘1954년 설치·1998년 증축과 유인화’입니다. 독도등대는 동도에 있어요. 등대는 바다를 지나는 배가 위치를 알아보는 데 도움을 주어요.</ns0:t>
        </ns0:is>
      </ns0:c>
      <ns0:c r="N104" s="6" t="inlineStr">
        <ns0:is>
          <ns0:t>외교부 시설 자료: 독도등대는 1954년 8월 처음 설치되었고 1998년 12월 증축·유인화되었습니다. 등탑 높이 15m는 동도 전체 표고와 다른 값입니다.</ns0:t>
        </ns0:is>
      </ns0:c>
      <ns0:c r="O104" s="6" t="inlineStr">
        <ns0:is>
          <ns0:t>https://dokdo.mofa.go.kr/kor/introduce/facility.jsp</ns0:t>
        </ns0:is>
      </ns0:c>
      <ns0:c r="P104" s="3">
        <ns0:f>LEN(E104)+MAX(LEN(F104),LEN(G104),LEN(H104))</ns0:f>
        <ns0:v>43</ns0:v>
      </ns0:c>
      <ns0:c r="Q104" s="7" t="inlineStr">
        <ns0:is>
          <ns0:t>출처 기반 자체 검토 / 독립 승인 전</ns0:t>
        </ns0:is>
      </ns0:c>
    </ns0:row>
    <ns0:row r="105" ht="98" customHeight="1">
      <ns0:c r="A105" s="4" t="n">
        <ns0:v>910104</ns0:v>
      </ns0:c>
      <ns0:c r="B105" s="4" t="n">
        <ns0:v>6</ns0:v>
      </ns0:c>
      <ns0:c r="C105" s="4" t="inlineStr">
        <ns0:is>
          <ns0:t>dk-lighthouse</ns0:t>
        </ns0:is>
      </ns0:c>
      <ns0:c r="D105" s="4" t="n">
        <ns0:v>4</ns0:v>
      </ns0:c>
      <ns0:c r="E105" s="8" t="inlineStr">
        <ns0:is>
          <ns0:t>등탑 높이 15m를 동도 높이로 표시하면?</ns0:t>
        </ns0:is>
      </ns0:c>
      <ns0:c r="F105" s="8" t="inlineStr">
        <ns0:is>
          <ns0:t>시설 높이와 섬의 표고를 혼동했다</ns0:t>
        </ns0:is>
      </ns0:c>
      <ns0:c r="G105" s="8" t="inlineStr">
        <ns0:is>
          <ns0:t>동도 위 시설은 모두 섬 전체와 같은 높이다</ns0:t>
        </ns0:is>
      </ns0:c>
      <ns0:c r="H105" s="8" t="inlineStr">
        <ns0:is>
          <ns0:t>등대가 있으므로 섬 표고가 필요 없다</ns0:t>
        </ns0:is>
      </ns0:c>
      <ns0:c r="I105" s="8" t="n">
        <ns0:v>1</ns0:v>
      </ns0:c>
      <ns0:c r="J105" s="8" t="inlineStr">
        <ns0:is>
          <ns0:t>독도등대는 동도에 있어요. 등대는 바다를 지나는 배가 위치를 알아보는 데 도움을 주어요.</ns0:t>
        </ns0:is>
      </ns0:c>
      <ns0:c r="K105" s="8" t="inlineStr">
        <ns0:is>
          <ns0:t>독도등대는 동도에 있어요. 등대는 바다를 지나는 배가 위치를 알아보는 데 도움을 주어요.</ns0:t>
        </ns0:is>
      </ns0:c>
      <ns0:c r="L105" s="8" t="inlineStr">
        <ns0:is>
          <ns0:t>고른 보기 ‘동도 위 시설은 모두 섬 전체와 같은 높이다’와 달라요. 이 문항의 정답은 ‘시설 높이와 섬의 표고를 혼동했다’입니다. 독도등대는 동도에 있어요. 등대는 바다를 지나는 배가 위치를 알아보는 데 도움을 주어요.</ns0:t>
        </ns0:is>
      </ns0:c>
      <ns0:c r="M105" s="8" t="inlineStr">
        <ns0:is>
          <ns0:t>고른 보기 ‘등대가 있으므로 섬 표고가 필요 없다’와 달라요. 이 문항의 정답은 ‘시설 높이와 섬의 표고를 혼동했다’입니다. 독도등대는 동도에 있어요. 등대는 바다를 지나는 배가 위치를 알아보는 데 도움을 주어요.</ns0:t>
        </ns0:is>
      </ns0:c>
      <ns0:c r="N105" s="8" t="inlineStr">
        <ns0:is>
          <ns0:t>외교부 시설 자료: 독도등대는 1954년 8월 처음 설치되었고 1998년 12월 증축·유인화되었습니다. 등탑 높이 15m는 동도 전체 표고와 다른 값입니다.</ns0:t>
        </ns0:is>
      </ns0:c>
      <ns0:c r="O105" s="8" t="inlineStr">
        <ns0:is>
          <ns0:t>https://dokdo.mofa.go.kr/kor/introduce/facility.jsp</ns0:t>
        </ns0:is>
      </ns0:c>
      <ns0:c r="P105" s="5">
        <ns0:f>LEN(E105)+MAX(LEN(F105),LEN(G105),LEN(H105))</ns0:f>
        <ns0:v>47</ns0:v>
      </ns0:c>
      <ns0:c r="Q105" s="9" t="inlineStr">
        <ns0:is>
          <ns0:t>출처 기반 자체 검토 / 독립 승인 전</ns0:t>
        </ns0:is>
      </ns0:c>
    </ns0:row>
    <ns0:row r="106" ht="98" customHeight="1">
      <ns0:c r="A106" s="2" t="n">
        <ns0:v>910105</ns0:v>
      </ns0:c>
      <ns0:c r="B106" s="2" t="n">
        <ns0:v>6</ns0:v>
      </ns0:c>
      <ns0:c r="C106" s="2" t="inlineStr">
        <ns0:is>
          <ns0:t>dk-dock</ns0:t>
        </ns0:is>
      </ns0:c>
      <ns0:c r="D106" s="2" t="n">
        <ns0:v>1</ns0:v>
      </ns0:c>
      <ns0:c r="E106" s="6" t="inlineStr">
        <ns0:is>
          <ns0:t>배가 닿는 동도의 시설은?</ns0:t>
        </ns0:is>
      </ns0:c>
      <ns0:c r="F106" s="6" t="inlineStr">
        <ns0:is>
          <ns0:t>헬기장</ns0:t>
        </ns0:is>
      </ns0:c>
      <ns0:c r="G106" s="6" t="inlineStr">
        <ns0:is>
          <ns0:t>물골</ns0:t>
        </ns0:is>
      </ns0:c>
      <ns0:c r="H106" s="6" t="inlineStr">
        <ns0:is>
          <ns0:t>선착장</ns0:t>
        </ns0:is>
      </ns0:c>
      <ns0:c r="I106" s="6" t="n">
        <ns0:v>3</ns0:v>
      </ns0:c>
      <ns0:c r="J106" s="6" t="inlineStr">
        <ns0:is>
          <ns0:t>독도의 접안시설은 동도에 있어요. 배가 닿는 곳과 정상의 시설은 같은 장소가 아니에요.</ns0:t>
        </ns0:is>
      </ns0:c>
      <ns0:c r="K106" s="6" t="inlineStr">
        <ns0:is>
          <ns0:t>고른 보기 ‘헬기장’와 달라요. 이 문항의 정답은 ‘선착장’입니다. 독도의 접안시설은 동도에 있어요. 배가 닿는 곳과 정상의 시설은 같은 장소가 아니에요.</ns0:t>
        </ns0:is>
      </ns0:c>
      <ns0:c r="L106" s="6" t="inlineStr">
        <ns0:is>
          <ns0:t>고른 보기 ‘물골’와 달라요. 이 문항의 정답은 ‘선착장’입니다. 독도의 접안시설은 동도에 있어요. 배가 닿는 곳과 정상의 시설은 같은 장소가 아니에요.</ns0:t>
        </ns0:is>
      </ns0:c>
      <ns0:c r="M106" s="6" t="inlineStr">
        <ns0:is>
          <ns0:t>독도의 접안시설은 동도에 있어요. 배가 닿는 곳과 정상의 시설은 같은 장소가 아니에요.</ns0:t>
        </ns0:is>
      </ns0:c>
      <ns0:c r="N106" s="6" t="inlineStr"/>
      <ns0:c r="O106" s="6" t="inlineStr">
        <ns0:is>
          <ns0:t>https://dokdo.mofa.go.kr/kor/introduce/facility.jsp
https://dokdo.mofa.go.kr/kor/introduce/residence.jsp</ns0:t>
        </ns0:is>
      </ns0:c>
      <ns0:c r="P106" s="3">
        <ns0:f>LEN(E106)+MAX(LEN(F106),LEN(G106),LEN(H106))</ns0:f>
        <ns0:v>17</ns0:v>
      </ns0:c>
      <ns0:c r="Q106" s="7" t="inlineStr">
        <ns0:is>
          <ns0:t>출처 기반 자체 검토 / 독립 승인 전</ns0:t>
        </ns0:is>
      </ns0:c>
    </ns0:row>
    <ns0:row r="107" ht="98" customHeight="1">
      <ns0:c r="A107" s="4" t="n">
        <ns0:v>910106</ns0:v>
      </ns0:c>
      <ns0:c r="B107" s="4" t="n">
        <ns0:v>6</ns0:v>
      </ns0:c>
      <ns0:c r="C107" s="4" t="inlineStr">
        <ns0:is>
          <ns0:t>dk-dock</ns0:t>
        </ns0:is>
      </ns0:c>
      <ns0:c r="D107" s="4" t="n">
        <ns0:v>2</ns0:v>
      </ns0:c>
      <ns0:c r="E107" s="8" t="inlineStr">
        <ns0:is>
          <ns0:t>선착장과 등대를 바르게 연결하면?</ns0:t>
        </ns0:is>
      </ns0:c>
      <ns0:c r="F107" s="8" t="inlineStr">
        <ns0:is>
          <ns0:t>둘 다 헬기 착륙 장소</ns0:t>
        </ns0:is>
      </ns0:c>
      <ns0:c r="G107" s="8" t="inlineStr">
        <ns0:is>
          <ns0:t>선착장=접안·등대=항로표지</ns0:t>
        </ns0:is>
      </ns0:c>
      <ns0:c r="H107" s="8" t="inlineStr">
        <ns0:is>
          <ns0:t>선착장=새 둥지·등대=식수원</ns0:t>
        </ns0:is>
      </ns0:c>
      <ns0:c r="I107" s="8" t="n">
        <ns0:v>2</ns0:v>
      </ns0:c>
      <ns0:c r="J107" s="8" t="inlineStr">
        <ns0:is>
          <ns0:t>독도의 접안시설은 동도에 있어요. 배가 닿는 곳과 정상의 시설은 같은 장소가 아니에요.</ns0:t>
        </ns0:is>
      </ns0:c>
      <ns0:c r="K107" s="8" t="inlineStr">
        <ns0:is>
          <ns0:t>고른 보기 ‘둘 다 헬기 착륙 장소’와 달라요. 이 문항의 정답은 ‘선착장=접안·등대=항로표지’입니다. 독도의 접안시설은 동도에 있어요. 배가 닿는 곳과 정상의 시설은 같은 장소가 아니에요.</ns0:t>
        </ns0:is>
      </ns0:c>
      <ns0:c r="L107" s="8" t="inlineStr">
        <ns0:is>
          <ns0:t>독도의 접안시설은 동도에 있어요. 배가 닿는 곳과 정상의 시설은 같은 장소가 아니에요.</ns0:t>
        </ns0:is>
      </ns0:c>
      <ns0:c r="M107" s="8" t="inlineStr">
        <ns0:is>
          <ns0:t>고른 보기 ‘선착장=새 둥지·등대=식수원’와 달라요. 이 문항의 정답은 ‘선착장=접안·등대=항로표지’입니다. 독도의 접안시설은 동도에 있어요. 배가 닿는 곳과 정상의 시설은 같은 장소가 아니에요.</ns0:t>
        </ns0:is>
      </ns0:c>
      <ns0:c r="N107" s="8" t="inlineStr"/>
      <ns0:c r="O107" s="8" t="inlineStr">
        <ns0:is>
          <ns0:t>https://dokdo.mofa.go.kr/kor/introduce/facility.jsp
https://dokdo.mofa.go.kr/kor/introduce/residence.jsp</ns0:t>
        </ns0:is>
      </ns0:c>
      <ns0:c r="P107" s="5">
        <ns0:f>LEN(E107)+MAX(LEN(F107),LEN(G107),LEN(H107))</ns0:f>
        <ns0:v>33</ns0:v>
      </ns0:c>
      <ns0:c r="Q107" s="9" t="inlineStr">
        <ns0:is>
          <ns0:t>출처 기반 자체 검토 / 독립 승인 전</ns0:t>
        </ns0:is>
      </ns0:c>
    </ns0:row>
    <ns0:row r="108" ht="98" customHeight="1">
      <ns0:c r="A108" s="2" t="n">
        <ns0:v>910107</ns0:v>
      </ns0:c>
      <ns0:c r="B108" s="2" t="n">
        <ns0:v>6</ns0:v>
      </ns0:c>
      <ns0:c r="C108" s="2" t="inlineStr">
        <ns0:is>
          <ns0:t>dk-dock</ns0:t>
        </ns0:is>
      </ns0:c>
      <ns0:c r="D108" s="2" t="n">
        <ns0:v>3</ns0:v>
      </ns0:c>
      <ns0:c r="E108" s="6" t="inlineStr">
        <ns0:is>
          <ns0:t>안내에 따르면 일반 관람 장소는?</ns0:t>
        </ns0:is>
      </ns0:c>
      <ns0:c r="F108" s="6" t="inlineStr">
        <ns0:is>
          <ns0:t>동도 선착장</ns0:t>
        </ns0:is>
      </ns0:c>
      <ns0:c r="G108" s="6" t="inlineStr">
        <ns0:is>
          <ns0:t>서도 정상 전체</ns0:t>
        </ns0:is>
      </ns0:c>
      <ns0:c r="H108" s="6" t="inlineStr">
        <ns0:is>
          <ns0:t>독도 모든 동굴 안</ns0:t>
        </ns0:is>
      </ns0:c>
      <ns0:c r="I108" s="6" t="n">
        <ns0:v>1</ns0:v>
      </ns0:c>
      <ns0:c r="J108" s="6" t="inlineStr">
        <ns0:is>
          <ns0:t>독도의 접안시설은 동도에 있어요. 배가 닿는 곳과 정상의 시설은 같은 장소가 아니에요.</ns0:t>
        </ns0:is>
      </ns0:c>
      <ns0:c r="K108" s="6" t="inlineStr">
        <ns0:is>
          <ns0:t>독도의 접안시설은 동도에 있어요. 배가 닿는 곳과 정상의 시설은 같은 장소가 아니에요.</ns0:t>
        </ns0:is>
      </ns0:c>
      <ns0:c r="L108" s="6" t="inlineStr">
        <ns0:is>
          <ns0:t>고른 보기 ‘서도 정상 전체’와 달라요. 이 문항의 정답은 ‘동도 선착장’입니다. 독도의 접안시설은 동도에 있어요. 배가 닿는 곳과 정상의 시설은 같은 장소가 아니에요.</ns0:t>
        </ns0:is>
      </ns0:c>
      <ns0:c r="M108" s="6" t="inlineStr">
        <ns0:is>
          <ns0:t>고른 보기 ‘독도 모든 동굴 안’와 달라요. 이 문항의 정답은 ‘동도 선착장’입니다. 독도의 접안시설은 동도에 있어요. 배가 닿는 곳과 정상의 시설은 같은 장소가 아니에요.</ns0:t>
        </ns0:is>
      </ns0:c>
      <ns0:c r="N108" s="6" t="inlineStr">
        <ns0:is>
          <ns0:t>외교부는 동도의 접안시설과 등반로를 따로 소개합니다. 일반 방문객은 입도 시 동도 선착장에서 관람하며 기상과 선박 사정에 따라 입도가 제한될 수 있습니다. 2026-09-11 확인.</ns0:t>
        </ns0:is>
      </ns0:c>
      <ns0:c r="O108" s="6" t="inlineStr">
        <ns0:is>
          <ns0:t>https://dokdo.mofa.go.kr/kor/introduce/facility.jsp
https://dokdo.mofa.go.kr/kor/introduce/residence.jsp</ns0:t>
        </ns0:is>
      </ns0:c>
      <ns0:c r="P108" s="3">
        <ns0:f>LEN(E108)+MAX(LEN(F108),LEN(G108),LEN(H108))</ns0:f>
        <ns0:v>28</ns0:v>
      </ns0:c>
      <ns0:c r="Q108" s="7" t="inlineStr">
        <ns0:is>
          <ns0:t>출처 기반 자체 검토 / 독립 승인 전</ns0:t>
        </ns0:is>
      </ns0:c>
    </ns0:row>
    <ns0:row r="109" ht="98" customHeight="1">
      <ns0:c r="A109" s="4" t="n">
        <ns0:v>910108</ns0:v>
      </ns0:c>
      <ns0:c r="B109" s="4" t="n">
        <ns0:v>6</ns0:v>
      </ns0:c>
      <ns0:c r="C109" s="4" t="inlineStr">
        <ns0:is>
          <ns0:t>dk-dock</ns0:t>
        </ns0:is>
      </ns0:c>
      <ns0:c r="D109" s="4" t="n">
        <ns0:v>4</ns0:v>
      </ns0:c>
      <ns0:c r="E109" s="8" t="inlineStr">
        <ns0:is>
          <ns0:t>선착장 도착이 정상까지 자유 출입을 뜻할까요?</ns0:t>
        </ns0:is>
      </ns0:c>
      <ns0:c r="F109" s="8" t="inlineStr">
        <ns0:is>
          <ns0:t>배에서 내리면 모든 시설이 공개된다</ns0:t>
        </ns0:is>
      </ns0:c>
      <ns0:c r="G109" s="8" t="inlineStr">
        <ns0:is>
          <ns0:t>등대 사진이 있으면 출입 허가도 생긴다</ns0:t>
        </ns0:is>
      </ns0:c>
      <ns0:c r="H109" s="8" t="inlineStr">
        <ns0:is>
          <ns0:t>관람 구역과 허가 조건을 따로 확인해야 한다</ns0:t>
        </ns0:is>
      </ns0:c>
      <ns0:c r="I109" s="8" t="n">
        <ns0:v>3</ns0:v>
      </ns0:c>
      <ns0:c r="J109" s="8" t="inlineStr">
        <ns0:is>
          <ns0:t>독도의 접안시설은 동도에 있어요. 배가 닿는 곳과 정상의 시설은 같은 장소가 아니에요.</ns0:t>
        </ns0:is>
      </ns0:c>
      <ns0:c r="K109" s="8" t="inlineStr">
        <ns0:is>
          <ns0:t>고른 보기 ‘배에서 내리면 모든 시설이 공개된다’와 달라요. 이 문항의 정답은 ‘관람 구역과 허가 조건을 따로 확인해야 한다’입니다. 독도의 접안시설은 동도에 있어요. 배가 닿는 곳과 정상의 시설은 같은 장소가 아니에요.</ns0:t>
        </ns0:is>
      </ns0:c>
      <ns0:c r="L109" s="8" t="inlineStr">
        <ns0:is>
          <ns0:t>고른 보기 ‘등대 사진이 있으면 출입 허가도 생긴다’와 달라요. 이 문항의 정답은 ‘관람 구역과 허가 조건을 따로 확인해야 한다’입니다. 독도의 접안시설은 동도에 있어요. 배가 닿는 곳과 정상의 시설은 같은 장소가 아니에요.</ns0:t>
        </ns0:is>
      </ns0:c>
      <ns0:c r="M109" s="8" t="inlineStr">
        <ns0:is>
          <ns0:t>독도의 접안시설은 동도에 있어요. 배가 닿는 곳과 정상의 시설은 같은 장소가 아니에요.</ns0:t>
        </ns0:is>
      </ns0:c>
      <ns0:c r="N109" s="8" t="inlineStr">
        <ns0:is>
          <ns0:t>외교부는 동도의 접안시설과 등반로를 따로 소개합니다. 일반 방문객은 입도 시 동도 선착장에서 관람하며 기상과 선박 사정에 따라 입도가 제한될 수 있습니다. 2026-09-11 확인.</ns0:t>
        </ns0:is>
      </ns0:c>
      <ns0:c r="O109" s="8" t="inlineStr">
        <ns0:is>
          <ns0:t>https://dokdo.mofa.go.kr/kor/introduce/facility.jsp
https://dokdo.mofa.go.kr/kor/introduce/residence.jsp</ns0:t>
        </ns0:is>
      </ns0:c>
      <ns0:c r="P109" s="5">
        <ns0:f>LEN(E109)+MAX(LEN(F109),LEN(G109),LEN(H109))</ns0:f>
        <ns0:v>49</ns0:v>
      </ns0:c>
      <ns0:c r="Q109" s="9" t="inlineStr">
        <ns0:is>
          <ns0:t>출처 기반 자체 검토 / 독립 승인 전</ns0:t>
        </ns0:is>
      </ns0:c>
    </ns0:row>
    <ns0:row r="110" ht="98" customHeight="1">
      <ns0:c r="A110" s="2" t="n">
        <ns0:v>910109</ns0:v>
      </ns0:c>
      <ns0:c r="B110" s="2" t="n">
        <ns0:v>6</ns0:v>
      </ns0:c>
      <ns0:c r="C110" s="2" t="inlineStr">
        <ns0:is>
          <ns0:t>dk-residence</ns0:t>
        </ns0:is>
      </ns0:c>
      <ns0:c r="D110" s="2" t="n">
        <ns0:v>1</ns0:v>
      </ns0:c>
      <ns0:c r="E110" s="6" t="inlineStr">
        <ns0:is>
          <ns0:t>주민숙소가 소개된 큰 섬은?</ns0:t>
        </ns0:is>
      </ns0:c>
      <ns0:c r="F110" s="6" t="inlineStr">
        <ns0:is>
          <ns0:t>오키섬</ns0:t>
        </ns0:is>
      </ns0:c>
      <ns0:c r="G110" s="6" t="inlineStr">
        <ns0:is>
          <ns0:t>서도</ns0:t>
        </ns0:is>
      </ns0:c>
      <ns0:c r="H110" s="6" t="inlineStr">
        <ns0:is>
          <ns0:t>동도</ns0:t>
        </ns0:is>
      </ns0:c>
      <ns0:c r="I110" s="6" t="n">
        <ns0:v>2</ns0:v>
      </ns0:c>
      <ns0:c r="J110" s="6" t="inlineStr">
        <ns0:is>
          <ns0:t>서도에는 주민숙소가 있어요. 독도는 자연환경뿐 아니라 사람들의 생활과 관리 활동도 함께 살펴볼 곳이에요.</ns0:t>
        </ns0:is>
      </ns0:c>
      <ns0:c r="K110" s="6" t="inlineStr">
        <ns0:is>
          <ns0:t>고른 보기 ‘오키섬’와 달라요. 이 문항의 정답은 ‘서도’입니다. 서도에는 주민숙소가 있어요. 독도는 자연환경뿐 아니라 사람들의 생활과 관리 활동도 함께 살펴볼 곳이에요.</ns0:t>
        </ns0:is>
      </ns0:c>
      <ns0:c r="L110" s="6" t="inlineStr">
        <ns0:is>
          <ns0:t>서도에는 주민숙소가 있어요. 독도는 자연환경뿐 아니라 사람들의 생활과 관리 활동도 함께 살펴볼 곳이에요.</ns0:t>
        </ns0:is>
      </ns0:c>
      <ns0:c r="M110" s="6" t="inlineStr">
        <ns0:is>
          <ns0:t>고른 보기 ‘동도’와 달라요. 이 문항의 정답은 ‘서도’입니다. 서도에는 주민숙소가 있어요. 독도는 자연환경뿐 아니라 사람들의 생활과 관리 활동도 함께 살펴볼 곳이에요.</ns0:t>
        </ns0:is>
      </ns0:c>
      <ns0:c r="N110" s="6" t="inlineStr"/>
      <ns0:c r="O110" s="6" t="inlineStr">
        <ns0:is>
          <ns0:t>https://dokdo.mofa.go.kr/kor/introduce/facility.jsp</ns0:t>
        </ns0:is>
      </ns0:c>
      <ns0:c r="P110" s="3">
        <ns0:f>LEN(E110)+MAX(LEN(F110),LEN(G110),LEN(H110))</ns0:f>
        <ns0:v>18</ns0:v>
      </ns0:c>
      <ns0:c r="Q110" s="7" t="inlineStr">
        <ns0:is>
          <ns0:t>출처 기반 자체 검토 / 독립 승인 전</ns0:t>
        </ns0:is>
      </ns0:c>
    </ns0:row>
    <ns0:row r="111" ht="98" customHeight="1">
      <ns0:c r="A111" s="4" t="n">
        <ns0:v>910110</ns0:v>
      </ns0:c>
      <ns0:c r="B111" s="4" t="n">
        <ns0:v>6</ns0:v>
      </ns0:c>
      <ns0:c r="C111" s="4" t="inlineStr">
        <ns0:is>
          <ns0:t>dk-residence</ns0:t>
        </ns0:is>
      </ns0:c>
      <ns0:c r="D111" s="4" t="n">
        <ns0:v>2</ns0:v>
      </ns0:c>
      <ns0:c r="E111" s="8" t="inlineStr">
        <ns0:is>
          <ns0:t>두 섬의 시설을 바르게 연결하면?</ns0:t>
        </ns0:is>
      </ns0:c>
      <ns0:c r="F111" s="8" t="inlineStr">
        <ns0:is>
          <ns0:t>서도=주민숙소·동도=등대</ns0:t>
        </ns0:is>
      </ns0:c>
      <ns0:c r="G111" s="8" t="inlineStr">
        <ns0:is>
          <ns0:t>서도=등대·동도=물골</ns0:t>
        </ns0:is>
      </ns0:c>
      <ns0:c r="H111" s="8" t="inlineStr">
        <ns0:is>
          <ns0:t>두 섬 모두 시설이 없음</ns0:t>
        </ns0:is>
      </ns0:c>
      <ns0:c r="I111" s="8" t="n">
        <ns0:v>1</ns0:v>
      </ns0:c>
      <ns0:c r="J111" s="8" t="inlineStr">
        <ns0:is>
          <ns0:t>서도에는 주민숙소가 있어요. 독도는 자연환경뿐 아니라 사람들의 생활과 관리 활동도 함께 살펴볼 곳이에요.</ns0:t>
        </ns0:is>
      </ns0:c>
      <ns0:c r="K111" s="8" t="inlineStr">
        <ns0:is>
          <ns0:t>서도에는 주민숙소가 있어요. 독도는 자연환경뿐 아니라 사람들의 생활과 관리 활동도 함께 살펴볼 곳이에요.</ns0:t>
        </ns0:is>
      </ns0:c>
      <ns0:c r="L111" s="8" t="inlineStr">
        <ns0:is>
          <ns0:t>고른 보기 ‘서도=등대·동도=물골’와 달라요. 이 문항의 정답은 ‘서도=주민숙소·동도=등대’입니다. 서도에는 주민숙소가 있어요. 독도는 자연환경뿐 아니라 사람들의 생활과 관리 활동도 함께 살펴볼 곳이에요.</ns0:t>
        </ns0:is>
      </ns0:c>
      <ns0:c r="M111" s="8" t="inlineStr">
        <ns0:is>
          <ns0:t>고른 보기 ‘두 섬 모두 시설이 없음’와 달라요. 이 문항의 정답은 ‘서도=주민숙소·동도=등대’입니다. 서도에는 주민숙소가 있어요. 독도는 자연환경뿐 아니라 사람들의 생활과 관리 활동도 함께 살펴볼 곳이에요.</ns0:t>
        </ns0:is>
      </ns0:c>
      <ns0:c r="N111" s="8" t="inlineStr"/>
      <ns0:c r="O111" s="8" t="inlineStr">
        <ns0:is>
          <ns0:t>https://dokdo.mofa.go.kr/kor/introduce/facility.jsp</ns0:t>
        </ns0:is>
      </ns0:c>
      <ns0:c r="P111" s="5">
        <ns0:f>LEN(E111)+MAX(LEN(F111),LEN(G111),LEN(H111))</ns0:f>
        <ns0:v>31</ns0:v>
      </ns0:c>
      <ns0:c r="Q111" s="9" t="inlineStr">
        <ns0:is>
          <ns0:t>출처 기반 자체 검토 / 독립 승인 전</ns0:t>
        </ns0:is>
      </ns0:c>
    </ns0:row>
    <ns0:row r="112" ht="98" customHeight="1">
      <ns0:c r="A112" s="2" t="n">
        <ns0:v>910111</ns0:v>
      </ns0:c>
      <ns0:c r="B112" s="2" t="n">
        <ns0:v>6</ns0:v>
      </ns0:c>
      <ns0:c r="C112" s="2" t="inlineStr">
        <ns0:is>
          <ns0:t>dk-residence</ns0:t>
        </ns0:is>
      </ns0:c>
      <ns0:c r="D112" s="2" t="n">
        <ns0:v>3</ns0:v>
      </ns0:c>
      <ns0:c r="E112" s="6" t="inlineStr">
        <ns0:is>
          <ns0:t>자료가 구분해서 소개하는 두 숙소는?</ns0:t>
        </ns0:is>
      </ns0:c>
      <ns0:c r="F112" s="6" t="inlineStr">
        <ns0:is>
          <ns0:t>동도 주민숙소와 울릉도 경비대 숙소</ns0:t>
        </ns0:is>
      </ns0:c>
      <ns0:c r="G112" s="6" t="inlineStr">
        <ns0:is>
          <ns0:t>서도 등대와 동도 물골</ns0:t>
        </ns0:is>
      </ns0:c>
      <ns0:c r="H112" s="6" t="inlineStr">
        <ns0:is>
          <ns0:t>서도 주민숙소와 동도 경비대 숙소</ns0:t>
        </ns0:is>
      </ns0:c>
      <ns0:c r="I112" s="6" t="n">
        <ns0:v>3</ns0:v>
      </ns0:c>
      <ns0:c r="J112" s="6" t="inlineStr">
        <ns0:is>
          <ns0:t>서도에는 주민숙소가 있어요. 독도는 자연환경뿐 아니라 사람들의 생활과 관리 활동도 함께 살펴볼 곳이에요.</ns0:t>
        </ns0:is>
      </ns0:c>
      <ns0:c r="K112" s="6" t="inlineStr">
        <ns0:is>
          <ns0:t>고른 보기 ‘동도 주민숙소와 울릉도 경비대 숙소’와 달라요. 이 문항의 정답은 ‘서도 주민숙소와 동도 경비대 숙소’입니다. 서도에는 주민숙소가 있어요. 독도는 자연환경뿐 아니라 사람들의 생활과 관리 활동도 함께 살펴볼 곳이에요.</ns0:t>
        </ns0:is>
      </ns0:c>
      <ns0:c r="L112" s="6" t="inlineStr">
        <ns0:is>
          <ns0:t>고른 보기 ‘서도 등대와 동도 물골’와 달라요. 이 문항의 정답은 ‘서도 주민숙소와 동도 경비대 숙소’입니다. 서도에는 주민숙소가 있어요. 독도는 자연환경뿐 아니라 사람들의 생활과 관리 활동도 함께 살펴볼 곳이에요.</ns0:t>
        </ns0:is>
      </ns0:c>
      <ns0:c r="M112" s="6" t="inlineStr">
        <ns0:is>
          <ns0:t>서도에는 주민숙소가 있어요. 독도는 자연환경뿐 아니라 사람들의 생활과 관리 활동도 함께 살펴볼 곳이에요.</ns0:t>
        </ns0:is>
      </ns0:c>
      <ns0:c r="N112" s="6" t="inlineStr">
        <ns0:is>
          <ns0:t>외교부 시설 안내는 서도 주민숙소와 동도 경비대 숙소를 구분합니다. 시설의 존재와 특정 날짜의 실제 거주 인원은 별도의 정보입니다.</ns0:t>
        </ns0:is>
      </ns0:c>
      <ns0:c r="O112" s="6" t="inlineStr">
        <ns0:is>
          <ns0:t>https://dokdo.mofa.go.kr/kor/introduce/facility.jsp</ns0:t>
        </ns0:is>
      </ns0:c>
      <ns0:c r="P112" s="3">
        <ns0:f>LEN(E112)+MAX(LEN(F112),LEN(G112),LEN(H112))</ns0:f>
        <ns0:v>39</ns0:v>
      </ns0:c>
      <ns0:c r="Q112" s="7" t="inlineStr">
        <ns0:is>
          <ns0:t>출처 기반 자체 검토 / 독립 승인 전</ns0:t>
        </ns0:is>
      </ns0:c>
    </ns0:row>
    <ns0:row r="113" ht="98" customHeight="1">
      <ns0:c r="A113" s="4" t="n">
        <ns0:v>910112</ns0:v>
      </ns0:c>
      <ns0:c r="B113" s="4" t="n">
        <ns0:v>6</ns0:v>
      </ns0:c>
      <ns0:c r="C113" s="4" t="inlineStr">
        <ns0:is>
          <ns0:t>dk-residence</ns0:t>
        </ns0:is>
      </ns0:c>
      <ns0:c r="D113" s="4" t="n">
        <ns0:v>4</ns0:v>
      </ns0:c>
      <ns0:c r="E113" s="8" t="inlineStr">
        <ns0:is>
          <ns0:t>건물 사진만으로 현재 거주 인원을 정한다면?</ns0:t>
        </ns0:is>
      </ns0:c>
      <ns0:c r="F113" s="8" t="inlineStr">
        <ns0:is>
          <ns0:t>숙소가 있으면 언제나 같은 인원이다</ns0:t>
        </ns0:is>
      </ns0:c>
      <ns0:c r="G113" s="8" t="inlineStr">
        <ns0:is>
          <ns0:t>촬영 시점과 별도의 인원 자료가 필요하다</ns0:t>
        </ns0:is>
      </ns0:c>
      <ns0:c r="H113" s="8" t="inlineStr">
        <ns0:is>
          <ns0:t>창문 수가 곧 현재 인원이다</ns0:t>
        </ns0:is>
      </ns0:c>
      <ns0:c r="I113" s="8" t="n">
        <ns0:v>2</ns0:v>
      </ns0:c>
      <ns0:c r="J113" s="8" t="inlineStr">
        <ns0:is>
          <ns0:t>서도에는 주민숙소가 있어요. 독도는 자연환경뿐 아니라 사람들의 생활과 관리 활동도 함께 살펴볼 곳이에요.</ns0:t>
        </ns0:is>
      </ns0:c>
      <ns0:c r="K113" s="8" t="inlineStr">
        <ns0:is>
          <ns0:t>고른 보기 ‘숙소가 있으면 언제나 같은 인원이다’와 달라요. 이 문항의 정답은 ‘촬영 시점과 별도의 인원 자료가 필요하다’입니다. 서도에는 주민숙소가 있어요. 독도는 자연환경뿐 아니라 사람들의 생활과 관리 활동도 함께 살펴볼 곳이에요.</ns0:t>
        </ns0:is>
      </ns0:c>
      <ns0:c r="L113" s="8" t="inlineStr">
        <ns0:is>
          <ns0:t>서도에는 주민숙소가 있어요. 독도는 자연환경뿐 아니라 사람들의 생활과 관리 활동도 함께 살펴볼 곳이에요.</ns0:t>
        </ns0:is>
      </ns0:c>
      <ns0:c r="M113" s="8" t="inlineStr">
        <ns0:is>
          <ns0:t>고른 보기 ‘창문 수가 곧 현재 인원이다’와 달라요. 이 문항의 정답은 ‘촬영 시점과 별도의 인원 자료가 필요하다’입니다. 서도에는 주민숙소가 있어요. 독도는 자연환경뿐 아니라 사람들의 생활과 관리 활동도 함께 살펴볼 곳이에요.</ns0:t>
        </ns0:is>
      </ns0:c>
      <ns0:c r="N113" s="8" t="inlineStr">
        <ns0:is>
          <ns0:t>외교부 시설 안내는 서도 주민숙소와 동도 경비대 숙소를 구분합니다. 시설의 존재와 특정 날짜의 실제 거주 인원은 별도의 정보입니다.</ns0:t>
        </ns0:is>
      </ns0:c>
      <ns0:c r="O113" s="8" t="inlineStr">
        <ns0:is>
          <ns0:t>https://dokdo.mofa.go.kr/kor/introduce/facility.jsp</ns0:t>
        </ns0:is>
      </ns0:c>
      <ns0:c r="P113" s="5">
        <ns0:f>LEN(E113)+MAX(LEN(F113),LEN(G113),LEN(H113))</ns0:f>
        <ns0:v>46</ns0:v>
      </ns0:c>
      <ns0:c r="Q113" s="9" t="inlineStr">
        <ns0:is>
          <ns0:t>출처 기반 자체 검토 / 독립 승인 전</ns0:t>
        </ns0:is>
      </ns0:c>
    </ns0:row>
    <ns0:row r="114" ht="98" customHeight="1">
      <ns0:c r="A114" s="2" t="n">
        <ns0:v>910113</ns0:v>
      </ns0:c>
      <ns0:c r="B114" s="2" t="n">
        <ns0:v>6</ns0:v>
      </ns0:c>
      <ns0:c r="C114" s="2" t="inlineStr">
        <ns0:is>
          <ns0:t>dk-freshwater</ns0:t>
        </ns0:is>
      </ns0:c>
      <ns0:c r="D114" s="2" t="n">
        <ns0:v>1</ns0:v>
      </ns0:c>
      <ns0:c r="E114" s="6" t="inlineStr">
        <ns0:is>
          <ns0:t>독도 생활에 필요한 물을 마련하는 시설은?</ns0:t>
        </ns0:is>
      </ns0:c>
      <ns0:c r="F114" s="6" t="inlineStr">
        <ns0:is>
          <ns0:t>담수시설</ns0:t>
        </ns0:is>
      </ns0:c>
      <ns0:c r="G114" s="6" t="inlineStr">
        <ns0:is>
          <ns0:t>헬기장 표시</ns0:t>
        </ns0:is>
      </ns0:c>
      <ns0:c r="H114" s="6" t="inlineStr">
        <ns0:is>
          <ns0:t>기념 표석</ns0:t>
        </ns0:is>
      </ns0:c>
      <ns0:c r="I114" s="6" t="n">
        <ns0:v>1</ns0:v>
      </ns0:c>
      <ns0:c r="J114" s="6" t="inlineStr">
        <ns0:is>
          <ns0:t>독도 생활에는 마실 물이 필요해요. 시설 안내에는 바닷물을 생활에 쓸 물로 바꾸는 담수시설이 나와요.</ns0:t>
        </ns0:is>
      </ns0:c>
      <ns0:c r="K114" s="6" t="inlineStr">
        <ns0:is>
          <ns0:t>독도 생활에는 마실 물이 필요해요. 시설 안내에는 바닷물을 생활에 쓸 물로 바꾸는 담수시설이 나와요.</ns0:t>
        </ns0:is>
      </ns0:c>
      <ns0:c r="L114" s="6" t="inlineStr">
        <ns0:is>
          <ns0:t>고른 보기 ‘헬기장 표시’와 달라요. 이 문항의 정답은 ‘담수시설’입니다. 독도 생활에는 마실 물이 필요해요. 시설 안내에는 바닷물을 생활에 쓸 물로 바꾸는 담수시설이 나와요.</ns0:t>
        </ns0:is>
      </ns0:c>
      <ns0:c r="M114" s="6" t="inlineStr">
        <ns0:is>
          <ns0:t>고른 보기 ‘기념 표석’와 달라요. 이 문항의 정답은 ‘담수시설’입니다. 독도 생활에는 마실 물이 필요해요. 시설 안내에는 바닷물을 생활에 쓸 물로 바꾸는 담수시설이 나와요.</ns0:t>
        </ns0:is>
      </ns0:c>
      <ns0:c r="N114" s="6" t="inlineStr"/>
      <ns0:c r="O114" s="6" t="inlineStr">
        <ns0:is>
          <ns0:t>https://dokdo.mofa.go.kr/kor/introduce/facility.jsp
https://www.dokdo.re.kr/home/cms/cmsCont.do?cntnts_sn=66</ns0:t>
        </ns0:is>
      </ns0:c>
      <ns0:c r="P114" s="3">
        <ns0:f>LEN(E114)+MAX(LEN(F114),LEN(G114),LEN(H114))</ns0:f>
        <ns0:v>29</ns0:v>
      </ns0:c>
      <ns0:c r="Q114" s="7" t="inlineStr">
        <ns0:is>
          <ns0:t>출처 기반 자체 검토 / 독립 승인 전</ns0:t>
        </ns0:is>
      </ns0:c>
    </ns0:row>
    <ns0:row r="115" ht="98" customHeight="1">
      <ns0:c r="A115" s="4" t="n">
        <ns0:v>910114</ns0:v>
      </ns0:c>
      <ns0:c r="B115" s="4" t="n">
        <ns0:v>6</ns0:v>
      </ns0:c>
      <ns0:c r="C115" s="4" t="inlineStr">
        <ns0:is>
          <ns0:t>dk-freshwater</ns0:t>
        </ns0:is>
      </ns0:c>
      <ns0:c r="D115" s="4" t="n">
        <ns0:v>2</ns0:v>
      </ns0:c>
      <ns0:c r="E115" s="8" t="inlineStr">
        <ns0:is>
          <ns0:t>담수시설이 돕는 일은?</ns0:t>
        </ns0:is>
      </ns0:c>
      <ns0:c r="F115" s="8" t="inlineStr">
        <ns0:is>
          <ns0:t>서도를 동도로 옮기기</ns0:t>
        </ns0:is>
      </ns0:c>
      <ns0:c r="G115" s="8" t="inlineStr">
        <ns0:is>
          <ns0:t>등대의 높이를 재기</ns0:t>
        </ns0:is>
      </ns0:c>
      <ns0:c r="H115" s="8" t="inlineStr">
        <ns0:is>
          <ns0:t>바닷물에서 쓸 물을 얻기</ns0:t>
        </ns0:is>
      </ns0:c>
      <ns0:c r="I115" s="8" t="n">
        <ns0:v>3</ns0:v>
      </ns0:c>
      <ns0:c r="J115" s="8" t="inlineStr">
        <ns0:is>
          <ns0:t>독도 생활에는 마실 물이 필요해요. 시설 안내에는 바닷물을 생활에 쓸 물로 바꾸는 담수시설이 나와요.</ns0:t>
        </ns0:is>
      </ns0:c>
      <ns0:c r="K115" s="8" t="inlineStr">
        <ns0:is>
          <ns0:t>고른 보기 ‘서도를 동도로 옮기기’와 달라요. 이 문항의 정답은 ‘바닷물에서 쓸 물을 얻기’입니다. 독도 생활에는 마실 물이 필요해요. 시설 안내에는 바닷물을 생활에 쓸 물로 바꾸는 담수시설이 나와요.</ns0:t>
        </ns0:is>
      </ns0:c>
      <ns0:c r="L115" s="8" t="inlineStr">
        <ns0:is>
          <ns0:t>고른 보기 ‘등대의 높이를 재기’와 달라요. 이 문항의 정답은 ‘바닷물에서 쓸 물을 얻기’입니다. 독도 생활에는 마실 물이 필요해요. 시설 안내에는 바닷물을 생활에 쓸 물로 바꾸는 담수시설이 나와요.</ns0:t>
        </ns0:is>
      </ns0:c>
      <ns0:c r="M115" s="8" t="inlineStr">
        <ns0:is>
          <ns0:t>독도 생활에는 마실 물이 필요해요. 시설 안내에는 바닷물을 생활에 쓸 물로 바꾸는 담수시설이 나와요.</ns0:t>
        </ns0:is>
      </ns0:c>
      <ns0:c r="N115" s="8" t="inlineStr"/>
      <ns0:c r="O115" s="8" t="inlineStr">
        <ns0:is>
          <ns0:t>https://dokdo.mofa.go.kr/kor/introduce/facility.jsp
https://www.dokdo.re.kr/home/cms/cmsCont.do?cntnts_sn=66</ns0:t>
        </ns0:is>
      </ns0:c>
      <ns0:c r="P115" s="5">
        <ns0:f>LEN(E115)+MAX(LEN(F115),LEN(G115),LEN(H115))</ns0:f>
        <ns0:v>25</ns0:v>
      </ns0:c>
      <ns0:c r="Q115" s="9" t="inlineStr">
        <ns0:is>
          <ns0:t>출처 기반 자체 검토 / 독립 승인 전</ns0:t>
        </ns0:is>
      </ns0:c>
    </ns0:row>
    <ns0:row r="116" ht="98" customHeight="1">
      <ns0:c r="A116" s="2" t="n">
        <ns0:v>910115</ns0:v>
      </ns0:c>
      <ns0:c r="B116" s="2" t="n">
        <ns0:v>6</ns0:v>
      </ns0:c>
      <ns0:c r="C116" s="2" t="inlineStr">
        <ns0:is>
          <ns0:t>dk-freshwater</ns0:t>
        </ns0:is>
      </ns0:c>
      <ns0:c r="D116" s="2" t="n">
        <ns0:v>3</ns0:v>
      </ns0:c>
      <ns0:c r="E116" s="6" t="inlineStr">
        <ns0:is>
          <ns0:t>물골과 담수시설을 함께 읽으면 무엇을 알까요?</ns0:t>
        </ns0:is>
      </ns0:c>
      <ns0:c r="F116" s="6" t="inlineStr">
        <ns0:is>
          <ns0:t>동도와 서도의 면적이 같아진 이유</ns0:t>
        </ns0:is>
      </ns0:c>
      <ns0:c r="G116" s="6" t="inlineStr">
        <ns0:is>
          <ns0:t>독도에서 물을 마련하는 방식의 변화</ns0:t>
        </ns0:is>
      </ns0:c>
      <ns0:c r="H116" s="6" t="inlineStr">
        <ns0:is>
          <ns0:t>독도에 바다가 사라진 시점</ns0:t>
        </ns0:is>
      </ns0:c>
      <ns0:c r="I116" s="6" t="n">
        <ns0:v>2</ns0:v>
      </ns0:c>
      <ns0:c r="J116" s="6" t="inlineStr">
        <ns0:is>
          <ns0:t>독도 생활에는 마실 물이 필요해요. 시설 안내에는 바닷물을 생활에 쓸 물로 바꾸는 담수시설이 나와요.</ns0:t>
        </ns0:is>
      </ns0:c>
      <ns0:c r="K116" s="6" t="inlineStr">
        <ns0:is>
          <ns0:t>고른 보기 ‘동도와 서도의 면적이 같아진 이유’와 달라요. 이 문항의 정답은 ‘독도에서 물을 마련하는 방식의 변화’입니다. 독도 생활에는 마실 물이 필요해요. 시설 안내에는 바닷물을 생활에 쓸 물로 바꾸는 담수시설이 나와요.</ns0:t>
        </ns0:is>
      </ns0:c>
      <ns0:c r="L116" s="6" t="inlineStr">
        <ns0:is>
          <ns0:t>독도 생활에는 마실 물이 필요해요. 시설 안내에는 바닷물을 생활에 쓸 물로 바꾸는 담수시설이 나와요.</ns0:t>
        </ns0:is>
      </ns0:c>
      <ns0:c r="M116" s="6" t="inlineStr">
        <ns0:is>
          <ns0:t>고른 보기 ‘독도에 바다가 사라진 시점’와 달라요. 이 문항의 정답은 ‘독도에서 물을 마련하는 방식의 변화’입니다. 독도 생활에는 마실 물이 필요해요. 시설 안내에는 바닷물을 생활에 쓸 물로 바꾸는 담수시설이 나와요.</ns0:t>
        </ns0:is>
      </ns0:c>
      <ns0:c r="N116" s="6" t="inlineStr">
        <ns0:is>
          <ns0:t>외교부는 서도 주민숙소의 담수기와 동도 경비대의 담수시설을 소개합니다. 물골의 과거 활용과 현대의 물 공급 시설을 함께 보면 생활 방식의 변화를 알 수 있습니다.</ns0:t>
        </ns0:is>
      </ns0:c>
      <ns0:c r="O116" s="6" t="inlineStr">
        <ns0:is>
          <ns0:t>https://dokdo.mofa.go.kr/kor/introduce/facility.jsp
https://www.dokdo.re.kr/home/cms/cmsCont.do?cntnts_sn=66</ns0:t>
        </ns0:is>
      </ns0:c>
      <ns0:c r="P116" s="3">
        <ns0:f>LEN(E116)+MAX(LEN(F116),LEN(G116),LEN(H116))</ns0:f>
        <ns0:v>44</ns0:v>
      </ns0:c>
      <ns0:c r="Q116" s="7" t="inlineStr">
        <ns0:is>
          <ns0:t>출처 기반 자체 검토 / 독립 승인 전</ns0:t>
        </ns0:is>
      </ns0:c>
    </ns0:row>
    <ns0:row r="117" ht="98" customHeight="1">
      <ns0:c r="A117" s="4" t="n">
        <ns0:v>910116</ns0:v>
      </ns0:c>
      <ns0:c r="B117" s="4" t="n">
        <ns0:v>6</ns0:v>
      </ns0:c>
      <ns0:c r="C117" s="4" t="inlineStr">
        <ns0:is>
          <ns0:t>dk-freshwater</ns0:t>
        </ns0:is>
      </ns0:c>
      <ns0:c r="D117" s="4" t="n">
        <ns0:v>4</ns0:v>
      </ns0:c>
      <ns0:c r="E117" s="8" t="inlineStr">
        <ns0:is>
          <ns0:t>시설의 하루 생산량이 실제 하루 사용량일까요?</ns0:t>
        </ns0:is>
      </ns0:c>
      <ns0:c r="F117" s="8" t="inlineStr">
        <ns0:is>
          <ns0:t>생산 능력과 사용량은 구분해야 한다</ns0:t>
        </ns0:is>
      </ns0:c>
      <ns0:c r="G117" s="8" t="inlineStr">
        <ns0:is>
          <ns0:t>시설 설명의 숫자는 모두 같은 뜻이다</ns0:t>
        </ns0:is>
      </ns0:c>
      <ns0:c r="H117" s="8" t="inlineStr">
        <ns0:is>
          <ns0:t>생산량에 섬 높이를 더하면 사용량이다</ns0:t>
        </ns0:is>
      </ns0:c>
      <ns0:c r="I117" s="8" t="n">
        <ns0:v>1</ns0:v>
      </ns0:c>
      <ns0:c r="J117" s="8" t="inlineStr">
        <ns0:is>
          <ns0:t>독도 생활에는 마실 물이 필요해요. 시설 안내에는 바닷물을 생활에 쓸 물로 바꾸는 담수시설이 나와요.</ns0:t>
        </ns0:is>
      </ns0:c>
      <ns0:c r="K117" s="8" t="inlineStr">
        <ns0:is>
          <ns0:t>독도 생활에는 마실 물이 필요해요. 시설 안내에는 바닷물을 생활에 쓸 물로 바꾸는 담수시설이 나와요.</ns0:t>
        </ns0:is>
      </ns0:c>
      <ns0:c r="L117" s="8" t="inlineStr">
        <ns0:is>
          <ns0:t>고른 보기 ‘시설 설명의 숫자는 모두 같은 뜻이다’와 달라요. 이 문항의 정답은 ‘생산 능력과 사용량은 구분해야 한다’입니다. 독도 생활에는 마실 물이 필요해요. 시설 안내에는 바닷물을 생활에 쓸 물로 바꾸는 담수시설이 나와요.</ns0:t>
        </ns0:is>
      </ns0:c>
      <ns0:c r="M117" s="8" t="inlineStr">
        <ns0:is>
          <ns0:t>고른 보기 ‘생산량에 섬 높이를 더하면 사용량이다’와 달라요. 이 문항의 정답은 ‘생산 능력과 사용량은 구분해야 한다’입니다. 독도 생활에는 마실 물이 필요해요. 시설 안내에는 바닷물을 생활에 쓸 물로 바꾸는 담수시설이 나와요.</ns0:t>
        </ns0:is>
      </ns0:c>
      <ns0:c r="N117" s="8" t="inlineStr">
        <ns0:is>
          <ns0:t>외교부는 서도 주민숙소의 담수기와 동도 경비대의 담수시설을 소개합니다. 물골의 과거 활용과 현대의 물 공급 시설을 함께 보면 생활 방식의 변화를 알 수 있습니다.</ns0:t>
        </ns0:is>
      </ns0:c>
      <ns0:c r="O117" s="8" t="inlineStr">
        <ns0:is>
          <ns0:t>https://dokdo.mofa.go.kr/kor/introduce/facility.jsp
https://www.dokdo.re.kr/home/cms/cmsCont.do?cntnts_sn=66</ns0:t>
        </ns0:is>
      </ns0:c>
      <ns0:c r="P117" s="5">
        <ns0:f>LEN(E117)+MAX(LEN(F117),LEN(G117),LEN(H117))</ns0:f>
        <ns0:v>45</ns0:v>
      </ns0:c>
      <ns0:c r="Q117" s="9" t="inlineStr">
        <ns0:is>
          <ns0:t>출처 기반 자체 검토 / 독립 승인 전</ns0:t>
        </ns0:is>
      </ns0:c>
    </ns0:row>
    <ns0:row r="118" ht="98" customHeight="1">
      <ns0:c r="A118" s="2" t="n">
        <ns0:v>910117</ns0:v>
      </ns0:c>
      <ns0:c r="B118" s="2" t="n">
        <ns0:v>6</ns0:v>
      </ns0:c>
      <ns0:c r="C118" s="2" t="inlineStr">
        <ns0:is>
          <ns0:t>dk-routes</ns0:t>
        </ns0:is>
      </ns0:c>
      <ns0:c r="D118" s="2" t="n">
        <ns0:v>1</ns0:v>
      </ns0:c>
      <ns0:c r="E118" s="6" t="inlineStr">
        <ns0:is>
          <ns0:t>동도 선착장에서 위쪽으로 이어지는 것은?</ns0:t>
        </ns0:is>
      </ns0:c>
      <ns0:c r="F118" s="6" t="inlineStr">
        <ns0:is>
          <ns0:t>울릉도까지의 도로</ns0:t>
        </ns0:is>
      </ns0:c>
      <ns0:c r="G118" s="6" t="inlineStr">
        <ns0:is>
          <ns0:t>물골의 민물 강</ns0:t>
        </ns0:is>
      </ns0:c>
      <ns0:c r="H118" s="6" t="inlineStr">
        <ns0:is>
          <ns0:t>등반로</ns0:t>
        </ns0:is>
      </ns0:c>
      <ns0:c r="I118" s="6" t="n">
        <ns0:v>3</ns0:v>
      </ns0:c>
      <ns0:c r="J118" s="6" t="inlineStr">
        <ns0:is>
          <ns0:t>동도에는 선착장에서 위쪽 시설로 이어지는 길이 있어요. 사진에서 보이는 직선 거리와 실제 걷는 길의 길이는 다를 수 있어요.</ns0:t>
        </ns0:is>
      </ns0:c>
      <ns0:c r="K118" s="6" t="inlineStr">
        <ns0:is>
          <ns0:t>고른 보기 ‘울릉도까지의 도로’와 달라요. 이 문항의 정답은 ‘등반로’입니다. 동도에는 선착장에서 위쪽 시설로 이어지는 길이 있어요. 사진에서 보이는 직선 거리와 실제 걷는 길의 길이는 다를 수 있어요.</ns0:t>
        </ns0:is>
      </ns0:c>
      <ns0:c r="L118" s="6" t="inlineStr">
        <ns0:is>
          <ns0:t>고른 보기 ‘물골의 민물 강’와 달라요. 이 문항의 정답은 ‘등반로’입니다. 동도에는 선착장에서 위쪽 시설로 이어지는 길이 있어요. 사진에서 보이는 직선 거리와 실제 걷는 길의 길이는 다를 수 있어요.</ns0:t>
        </ns0:is>
      </ns0:c>
      <ns0:c r="M118" s="6" t="inlineStr">
        <ns0:is>
          <ns0:t>동도에는 선착장에서 위쪽 시설로 이어지는 길이 있어요. 사진에서 보이는 직선 거리와 실제 걷는 길의 길이는 다를 수 있어요.</ns0:t>
        </ns0:is>
      </ns0:c>
      <ns0:c r="N118" s="6" t="inlineStr"/>
      <ns0:c r="O118" s="6" t="inlineStr">
        <ns0:is>
          <ns0:t>https://dokdo.mofa.go.kr/kor/introduce/facility.jsp
https://www.jbe.go.kr/dokdo/assets/sub/picture.html</ns0:t>
        </ns0:is>
      </ns0:c>
      <ns0:c r="P118" s="3">
        <ns0:f>LEN(E118)+MAX(LEN(F118),LEN(G118),LEN(H118))</ns0:f>
        <ns0:v>31</ns0:v>
      </ns0:c>
      <ns0:c r="Q118" s="7" t="inlineStr">
        <ns0:is>
          <ns0:t>출처 기반 자체 검토 / 독립 승인 전</ns0:t>
        </ns0:is>
      </ns0:c>
    </ns0:row>
    <ns0:row r="119" ht="98" customHeight="1">
      <ns0:c r="A119" s="4" t="n">
        <ns0:v>910118</ns0:v>
      </ns0:c>
      <ns0:c r="B119" s="4" t="n">
        <ns0:v>6</ns0:v>
      </ns0:c>
      <ns0:c r="C119" s="4" t="inlineStr">
        <ns0:is>
          <ns0:t>dk-routes</ns0:t>
        </ns0:is>
      </ns0:c>
      <ns0:c r="D119" s="4" t="n">
        <ns0:v>2</ns0:v>
      </ns0:c>
      <ns0:c r="E119" s="8" t="inlineStr">
        <ns0:is>
          <ns0:t>동도 길이 굽어 이어지는 이유와 맞는 것은?</ns0:t>
        </ns0:is>
      </ns0:c>
      <ns0:c r="F119" s="8" t="inlineStr">
        <ns0:is>
          <ns0:t>등대 빛이 길이를 늘리기 때문</ns0:t>
        </ns0:is>
      </ns0:c>
      <ns0:c r="G119" s="8" t="inlineStr">
        <ns0:is>
          <ns0:t>경사와 지형을 따라가기 때문</ns0:t>
        </ns0:is>
      </ns0:c>
      <ns0:c r="H119" s="8" t="inlineStr">
        <ns0:is>
          <ns0:t>섬 이름이 길을 밀기 때문</ns0:t>
        </ns0:is>
      </ns0:c>
      <ns0:c r="I119" s="8" t="n">
        <ns0:v>2</ns0:v>
      </ns0:c>
      <ns0:c r="J119" s="8" t="inlineStr">
        <ns0:is>
          <ns0:t>동도에는 선착장에서 위쪽 시설로 이어지는 길이 있어요. 사진에서 보이는 직선 거리와 실제 걷는 길의 길이는 다를 수 있어요.</ns0:t>
        </ns0:is>
      </ns0:c>
      <ns0:c r="K119" s="8" t="inlineStr">
        <ns0:is>
          <ns0:t>고른 보기 ‘등대 빛이 길이를 늘리기 때문’와 달라요. 이 문항의 정답은 ‘경사와 지형을 따라가기 때문’입니다. 동도에는 선착장에서 위쪽 시설로 이어지는 길이 있어요. 사진에서 보이는 직선 거리와 실제 걷는 길의 길이는 다를 수 있어요.</ns0:t>
        </ns0:is>
      </ns0:c>
      <ns0:c r="L119" s="8" t="inlineStr">
        <ns0:is>
          <ns0:t>동도에는 선착장에서 위쪽 시설로 이어지는 길이 있어요. 사진에서 보이는 직선 거리와 실제 걷는 길의 길이는 다를 수 있어요.</ns0:t>
        </ns0:is>
      </ns0:c>
      <ns0:c r="M119" s="8" t="inlineStr">
        <ns0:is>
          <ns0:t>고른 보기 ‘섬 이름이 길을 밀기 때문’와 달라요. 이 문항의 정답은 ‘경사와 지형을 따라가기 때문’입니다. 동도에는 선착장에서 위쪽 시설로 이어지는 길이 있어요. 사진에서 보이는 직선 거리와 실제 걷는 길의 길이는 다를 수 있어요.</ns0:t>
        </ns0:is>
      </ns0:c>
      <ns0:c r="N119" s="8" t="inlineStr"/>
      <ns0:c r="O119" s="8" t="inlineStr">
        <ns0:is>
          <ns0:t>https://dokdo.mofa.go.kr/kor/introduce/facility.jsp
https://www.jbe.go.kr/dokdo/assets/sub/picture.html</ns0:t>
        </ns0:is>
      </ns0:c>
      <ns0:c r="P119" s="5">
        <ns0:f>LEN(E119)+MAX(LEN(F119),LEN(G119),LEN(H119))</ns0:f>
        <ns0:v>40</ns0:v>
      </ns0:c>
      <ns0:c r="Q119" s="9" t="inlineStr">
        <ns0:is>
          <ns0:t>출처 기반 자체 검토 / 독립 승인 전</ns0:t>
        </ns0:is>
      </ns0:c>
    </ns0:row>
    <ns0:row r="120" ht="98" customHeight="1">
      <ns0:c r="A120" s="2" t="n">
        <ns0:v>910119</ns0:v>
      </ns0:c>
      <ns0:c r="B120" s="2" t="n">
        <ns0:v>6</ns0:v>
      </ns0:c>
      <ns0:c r="C120" s="2" t="inlineStr">
        <ns0:is>
          <ns0:t>dk-routes</ns0:t>
        </ns0:is>
      </ns0:c>
      <ns0:c r="D120" s="2" t="n">
        <ns0:v>3</ns0:v>
      </ns0:c>
      <ns0:c r="E120" s="6" t="inlineStr">
        <ns0:is>
          <ns0:t>자료의 796m가 가리키는 것은?</ns0:t>
        </ns0:is>
      </ns0:c>
      <ns0:c r="F120" s="6" t="inlineStr">
        <ns0:is>
          <ns0:t>동도의 등반로 길이</ns0:t>
        </ns0:is>
      </ns0:c>
      <ns0:c r="G120" s="6" t="inlineStr">
        <ns0:is>
          <ns0:t>서도의 최고 높이</ns0:t>
        </ns0:is>
      </ns0:c>
      <ns0:c r="H120" s="6" t="inlineStr">
        <ns0:is>
          <ns0:t>울릉도와 독도의 간격</ns0:t>
        </ns0:is>
      </ns0:c>
      <ns0:c r="I120" s="6" t="n">
        <ns0:v>1</ns0:v>
      </ns0:c>
      <ns0:c r="J120" s="6" t="inlineStr">
        <ns0:is>
          <ns0:t>동도에는 선착장에서 위쪽 시설로 이어지는 길이 있어요. 사진에서 보이는 직선 거리와 실제 걷는 길의 길이는 다를 수 있어요.</ns0:t>
        </ns0:is>
      </ns0:c>
      <ns0:c r="K120" s="6" t="inlineStr">
        <ns0:is>
          <ns0:t>동도에는 선착장에서 위쪽 시설로 이어지는 길이 있어요. 사진에서 보이는 직선 거리와 실제 걷는 길의 길이는 다를 수 있어요.</ns0:t>
        </ns0:is>
      </ns0:c>
      <ns0:c r="L120" s="6" t="inlineStr">
        <ns0:is>
          <ns0:t>고른 보기 ‘서도의 최고 높이’와 달라요. 이 문항의 정답은 ‘동도의 등반로 길이’입니다. 동도에는 선착장에서 위쪽 시설로 이어지는 길이 있어요. 사진에서 보이는 직선 거리와 실제 걷는 길의 길이는 다를 수 있어요.</ns0:t>
        </ns0:is>
      </ns0:c>
      <ns0:c r="M120" s="6" t="inlineStr">
        <ns0:is>
          <ns0:t>고른 보기 ‘울릉도와 독도의 간격’와 달라요. 이 문항의 정답은 ‘동도의 등반로 길이’입니다. 동도에는 선착장에서 위쪽 시설로 이어지는 길이 있어요. 사진에서 보이는 직선 거리와 실제 걷는 길의 길이는 다를 수 있어요.</ns0:t>
        </ns0:is>
      </ns0:c>
      <ns0:c r="N120" s="6" t="inlineStr">
        <ns0:is>
          <ns0:t>외교부 시설 안내는 동도 등반로를 796m로 소개합니다. 길은 경사와 지형을 따라 이어지므로 두 지점을 직선으로 잇는 선과 같다고 볼 수 없습니다.</ns0:t>
        </ns0:is>
      </ns0:c>
      <ns0:c r="O120" s="6" t="inlineStr">
        <ns0:is>
          <ns0:t>https://dokdo.mofa.go.kr/kor/introduce/facility.jsp
https://www.jbe.go.kr/dokdo/assets/sub/picture.html</ns0:t>
        </ns0:is>
      </ns0:c>
      <ns0:c r="P120" s="3">
        <ns0:f>LEN(E120)+MAX(LEN(F120),LEN(G120),LEN(H120))</ns0:f>
        <ns0:v>29</ns0:v>
      </ns0:c>
      <ns0:c r="Q120" s="7" t="inlineStr">
        <ns0:is>
          <ns0:t>출처 기반 자체 검토 / 독립 승인 전</ns0:t>
        </ns0:is>
      </ns0:c>
    </ns0:row>
    <ns0:row r="121" ht="98" customHeight="1">
      <ns0:c r="A121" s="4" t="n">
        <ns0:v>910120</ns0:v>
      </ns0:c>
      <ns0:c r="B121" s="4" t="n">
        <ns0:v>6</ns0:v>
      </ns0:c>
      <ns0:c r="C121" s="4" t="inlineStr">
        <ns0:is>
          <ns0:t>dk-routes</ns0:t>
        </ns0:is>
      </ns0:c>
      <ns0:c r="D121" s="4" t="n">
        <ns0:v>4</ns0:v>
      </ns0:c>
      <ns0:c r="E121" s="8" t="inlineStr">
        <ns0:is>
          <ns0:t>두 지점 직선 길이와 등반로 길이가 다르다면?</ns0:t>
        </ns0:is>
      </ns0:c>
      <ns0:c r="F121" s="8" t="inlineStr">
        <ns0:is>
          <ns0:t>둘 중 하나는 반드시 거짓이다</ns0:t>
        </ns0:is>
      </ns0:c>
      <ns0:c r="G121" s="8" t="inlineStr">
        <ns0:is>
          <ns0:t>경로가 있으면 직선 거리도 동일하다</ns0:t>
        </ns0:is>
      </ns0:c>
      <ns0:c r="H121" s="8" t="inlineStr">
        <ns0:is>
          <ns0:t>거리의 정의와 실제 경로를 구별한다</ns0:t>
        </ns0:is>
      </ns0:c>
      <ns0:c r="I121" s="8" t="n">
        <ns0:v>3</ns0:v>
      </ns0:c>
      <ns0:c r="J121" s="8" t="inlineStr">
        <ns0:is>
          <ns0:t>동도에는 선착장에서 위쪽 시설로 이어지는 길이 있어요. 사진에서 보이는 직선 거리와 실제 걷는 길의 길이는 다를 수 있어요.</ns0:t>
        </ns0:is>
      </ns0:c>
      <ns0:c r="K121" s="8" t="inlineStr">
        <ns0:is>
          <ns0:t>고른 보기 ‘둘 중 하나는 반드시 거짓이다’와 달라요. 이 문항의 정답은 ‘거리의 정의와 실제 경로를 구별한다’입니다. 동도에는 선착장에서 위쪽 시설로 이어지는 길이 있어요. 사진에서 보이는 직선 거리와 실제 걷는 길의 길이는 다를 수 있어요.</ns0:t>
        </ns0:is>
      </ns0:c>
      <ns0:c r="L121" s="8" t="inlineStr">
        <ns0:is>
          <ns0:t>고른 보기 ‘경로가 있으면 직선 거리도 동일하다’와 달라요. 이 문항의 정답은 ‘거리의 정의와 실제 경로를 구별한다’입니다. 동도에는 선착장에서 위쪽 시설로 이어지는 길이 있어요. 사진에서 보이는 직선 거리와 실제 걷는 길의 길이는 다를 수 있어요.</ns0:t>
        </ns0:is>
      </ns0:c>
      <ns0:c r="M121" s="8" t="inlineStr">
        <ns0:is>
          <ns0:t>동도에는 선착장에서 위쪽 시설로 이어지는 길이 있어요. 사진에서 보이는 직선 거리와 실제 걷는 길의 길이는 다를 수 있어요.</ns0:t>
        </ns0:is>
      </ns0:c>
      <ns0:c r="N121" s="8" t="inlineStr">
        <ns0:is>
          <ns0:t>외교부 시설 안내는 동도 등반로를 796m로 소개합니다. 길은 경사와 지형을 따라 이어지므로 두 지점을 직선으로 잇는 선과 같다고 볼 수 없습니다.</ns0:t>
        </ns0:is>
      </ns0:c>
      <ns0:c r="O121" s="8" t="inlineStr">
        <ns0:is>
          <ns0:t>https://dokdo.mofa.go.kr/kor/introduce/facility.jsp
https://www.jbe.go.kr/dokdo/assets/sub/picture.html</ns0:t>
        </ns0:is>
      </ns0:c>
      <ns0:c r="P121" s="5">
        <ns0:f>LEN(E121)+MAX(LEN(F121),LEN(G121),LEN(H121))</ns0:f>
        <ns0:v>44</ns0:v>
      </ns0:c>
      <ns0:c r="Q121" s="9" t="inlineStr">
        <ns0:is>
          <ns0:t>출처 기반 자체 검토 / 독립 승인 전</ns0:t>
        </ns0:is>
      </ns0:c>
    </ns0:row>
    <ns0:row r="122" ht="98" customHeight="1">
      <ns0:c r="A122" s="2" t="n">
        <ns0:v>910121</ns0:v>
      </ns0:c>
      <ns0:c r="B122" s="2" t="n">
        <ns0:v>7</ns0:v>
      </ns0:c>
      <ns0:c r="C122" s="2" t="inlineStr">
        <ns0:is>
          <ns0:t>dk-sejong-record</ns0:t>
        </ns0:is>
      </ns0:c>
      <ns0:c r="D122" s="2" t="n">
        <ns0:v>1</ns0:v>
      </ns0:c>
      <ns0:c r="E122" s="6" t="inlineStr">
        <ns0:is>
          <ns0:t>우산·무릉 두 섬을 적은 옛 기록은?</ns0:t>
        </ns0:is>
      </ns0:c>
      <ns0:c r="F122" s="6" t="inlineStr">
        <ns0:is>
          <ns0:t>현재 배 시간표</ns0:t>
        </ns0:is>
      </ns0:c>
      <ns0:c r="G122" s="6" t="inlineStr">
        <ns0:is>
          <ns0:t>세종실록 지리지</ns0:t>
        </ns0:is>
      </ns0:c>
      <ns0:c r="H122" s="6" t="inlineStr">
        <ns0:is>
          <ns0:t>1900년 관보만</ns0:t>
        </ns0:is>
      </ns0:c>
      <ns0:c r="I122" s="6" t="n">
        <ns0:v>2</ns0:v>
      </ns0:c>
      <ns0:c r="J122" s="6" t="inlineStr">
        <ns0:is>
          <ns0:t>『세종실록』 지리지는 조선의 여러 지역을 설명한 기록이에요. 외교부는 이 기록의 우산·무릉을 독도·울릉도와 연결해 소개해요.</ns0:t>
        </ns0:is>
      </ns0:c>
      <ns0:c r="K122" s="6" t="inlineStr">
        <ns0:is>
          <ns0:t>고른 보기 ‘현재 배 시간표’와 달라요. 이 문항의 정답은 ‘세종실록 지리지’입니다. 『세종실록』 지리지는 조선의 여러 지역을 설명한 기록이에요. 외교부는 이 기록의 우산·무릉을 독도·울릉도와 연결해 소개해요.</ns0:t>
        </ns0:is>
      </ns0:c>
      <ns0:c r="L122" s="6" t="inlineStr">
        <ns0:is>
          <ns0:t>『세종실록』 지리지는 조선의 여러 지역을 설명한 기록이에요. 외교부는 이 기록의 우산·무릉을 독도·울릉도와 연결해 소개해요.</ns0:t>
        </ns0:is>
      </ns0:c>
      <ns0:c r="M122" s="6" t="inlineStr">
        <ns0:is>
          <ns0:t>고른 보기 ‘1900년 관보만’와 달라요. 이 문항의 정답은 ‘세종실록 지리지’입니다. 『세종실록』 지리지는 조선의 여러 지역을 설명한 기록이에요. 외교부는 이 기록의 우산·무릉을 독도·울릉도와 연결해 소개해요.</ns0:t>
        </ns0:is>
      </ns0:c>
      <ns0:c r="N122" s="6" t="inlineStr"/>
      <ns0:c r="O122" s="6" t="inlineStr">
        <ns0:is>
          <ns0:t>https://dokdo.mofa.go.kr/kor/pds/part06_view02.jsp
https://dokdo.mofa.go.kr/m/kor/dokdo/reason_list.jsp</ns0:t>
        </ns0:is>
      </ns0:c>
      <ns0:c r="P122" s="3">
        <ns0:f>LEN(E122)+MAX(LEN(F122),LEN(G122),LEN(H122))</ns0:f>
        <ns0:v>29</ns0:v>
      </ns0:c>
      <ns0:c r="Q122" s="7" t="inlineStr">
        <ns0:is>
          <ns0:t>출처 기반 자체 검토 / 독립 승인 전</ns0:t>
        </ns0:is>
      </ns0:c>
    </ns0:row>
    <ns0:row r="123" ht="98" customHeight="1">
      <ns0:c r="A123" s="4" t="n">
        <ns0:v>910122</ns0:v>
      </ns0:c>
      <ns0:c r="B123" s="4" t="n">
        <ns0:v>7</ns0:v>
      </ns0:c>
      <ns0:c r="C123" s="4" t="inlineStr">
        <ns0:is>
          <ns0:t>dk-sejong-record</ns0:t>
        </ns0:is>
      </ns0:c>
      <ns0:c r="D123" s="4" t="n">
        <ns0:v>2</ns0:v>
      </ns0:c>
      <ns0:c r="E123" s="8" t="inlineStr">
        <ns0:is>
          <ns0:t>옛 지리지와 현재 지도를 함께 보는 까닭은?</ns0:t>
        </ns0:is>
      </ns0:c>
      <ns0:c r="F123" s="8" t="inlineStr">
        <ns0:is>
          <ns0:t>옛 지명과 지금 지명을 연결하려고</ns0:t>
        </ns0:is>
      </ns0:c>
      <ns0:c r="G123" s="8" t="inlineStr">
        <ns0:is>
          <ns0:t>기록의 날짜를 지우려고</ns0:t>
        </ns0:is>
      </ns0:c>
      <ns0:c r="H123" s="8" t="inlineStr">
        <ns0:is>
          <ns0:t>옛 지명을 모두 새로 만들려고</ns0:t>
        </ns0:is>
      </ns0:c>
      <ns0:c r="I123" s="8" t="n">
        <ns0:v>1</ns0:v>
      </ns0:c>
      <ns0:c r="J123" s="8" t="inlineStr">
        <ns0:is>
          <ns0:t>『세종실록』 지리지는 조선의 여러 지역을 설명한 기록이에요. 외교부는 이 기록의 우산·무릉을 독도·울릉도와 연결해 소개해요.</ns0:t>
        </ns0:is>
      </ns0:c>
      <ns0:c r="K123" s="8" t="inlineStr">
        <ns0:is>
          <ns0:t>『세종실록』 지리지는 조선의 여러 지역을 설명한 기록이에요. 외교부는 이 기록의 우산·무릉을 독도·울릉도와 연결해 소개해요.</ns0:t>
        </ns0:is>
      </ns0:c>
      <ns0:c r="L123" s="8" t="inlineStr">
        <ns0:is>
          <ns0:t>고른 보기 ‘기록의 날짜를 지우려고’와 달라요. 이 문항의 정답은 ‘옛 지명과 지금 지명을 연결하려고’입니다. 『세종실록』 지리지는 조선의 여러 지역을 설명한 기록이에요. 외교부는 이 기록의 우산·무릉을 독도·울릉도와 연결해 소개해요.</ns0:t>
        </ns0:is>
      </ns0:c>
      <ns0:c r="M123" s="8" t="inlineStr">
        <ns0:is>
          <ns0:t>고른 보기 ‘옛 지명을 모두 새로 만들려고’와 달라요. 이 문항의 정답은 ‘옛 지명과 지금 지명을 연결하려고’입니다. 『세종실록』 지리지는 조선의 여러 지역을 설명한 기록이에요. 외교부는 이 기록의 우산·무릉을 독도·울릉도와 연결해 소개해요.</ns0:t>
        </ns0:is>
      </ns0:c>
      <ns0:c r="N123" s="8" t="inlineStr"/>
      <ns0:c r="O123" s="8" t="inlineStr">
        <ns0:is>
          <ns0:t>https://dokdo.mofa.go.kr/kor/pds/part06_view02.jsp
https://dokdo.mofa.go.kr/m/kor/dokdo/reason_list.jsp</ns0:t>
        </ns0:is>
      </ns0:c>
      <ns0:c r="P123" s="5">
        <ns0:f>LEN(E123)+MAX(LEN(F123),LEN(G123),LEN(H123))</ns0:f>
        <ns0:v>42</ns0:v>
      </ns0:c>
      <ns0:c r="Q123" s="9" t="inlineStr">
        <ns0:is>
          <ns0:t>출처 기반 자체 검토 / 독립 승인 전</ns0:t>
        </ns0:is>
      </ns0:c>
    </ns0:row>
    <ns0:row r="124" ht="98" customHeight="1">
      <ns0:c r="A124" s="2" t="n">
        <ns0:v>910123</ns0:v>
      </ns0:c>
      <ns0:c r="B124" s="2" t="n">
        <ns0:v>7</ns0:v>
      </ns0:c>
      <ns0:c r="C124" s="2" t="inlineStr">
        <ns0:is>
          <ns0:t>dk-sejong-record</ns0:t>
        </ns0:is>
      </ns0:c>
      <ns0:c r="D124" s="2" t="n">
        <ns0:v>3</ns0:v>
      </ns0:c>
      <ns0:c r="E124" s="6" t="inlineStr">
        <ns0:is>
          <ns0:t>자료의 괄호 안 ‘독도·울릉도’는 무엇인가요?</ns0:t>
        </ns0:is>
      </ns0:c>
      <ns0:c r="F124" s="6" t="inlineStr">
        <ns0:is>
          <ns0:t>1454년 원문과 완전히 같은 표기</ns0:t>
        </ns0:is>
      </ns0:c>
      <ns0:c r="G124" s="6" t="inlineStr">
        <ns0:is>
          <ns0:t>섬의 면적을 나타낸 기호</ns0:t>
        </ns0:is>
      </ns0:c>
      <ns0:c r="H124" s="6" t="inlineStr">
        <ns0:is>
          <ns0:t>현대 지명을 대응시킨 해설</ns0:t>
        </ns0:is>
      </ns0:c>
      <ns0:c r="I124" s="6" t="n">
        <ns0:v>3</ns0:v>
      </ns0:c>
      <ns0:c r="J124" s="6" t="inlineStr">
        <ns0:is>
          <ns0:t>『세종실록』 지리지는 조선의 여러 지역을 설명한 기록이에요. 외교부는 이 기록의 우산·무릉을 독도·울릉도와 연결해 소개해요.</ns0:t>
        </ns0:is>
      </ns0:c>
      <ns0:c r="K124" s="6" t="inlineStr">
        <ns0:is>
          <ns0:t>고른 보기 ‘1454년 원문과 완전히 같은 표기’와 달라요. 이 문항의 정답은 ‘현대 지명을 대응시킨 해설’입니다. 『세종실록』 지리지는 조선의 여러 지역을 설명한 기록이에요. 외교부는 이 기록의 우산·무릉을 독도·울릉도와 연결해 소개해요.</ns0:t>
        </ns0:is>
      </ns0:c>
      <ns0:c r="L124" s="6" t="inlineStr">
        <ns0:is>
          <ns0:t>고른 보기 ‘섬의 면적을 나타낸 기호’와 달라요. 이 문항의 정답은 ‘현대 지명을 대응시킨 해설’입니다. 『세종실록』 지리지는 조선의 여러 지역을 설명한 기록이에요. 외교부는 이 기록의 우산·무릉을 독도·울릉도와 연결해 소개해요.</ns0:t>
        </ns0:is>
      </ns0:c>
      <ns0:c r="M124" s="6" t="inlineStr">
        <ns0:is>
          <ns0:t>『세종실록』 지리지는 조선의 여러 지역을 설명한 기록이에요. 외교부는 이 기록의 우산·무릉을 독도·울릉도와 연결해 소개해요.</ns0:t>
        </ns0:is>
      </ns0:c>
      <ns0:c r="N124" s="6" t="inlineStr">
        <ns0:is>
          <ns0:t>1454년 『세종실록』 지리지의 역문에는 우산·무릉 두 섬이 나옵니다. 외교부 자료의 괄호 안 ‘독도·울릉도’는 현대 지명을 붙인 해설입니다.</ns0:t>
        </ns0:is>
      </ns0:c>
      <ns0:c r="O124" s="6" t="inlineStr">
        <ns0:is>
          <ns0:t>https://dokdo.mofa.go.kr/kor/pds/part06_view02.jsp
https://dokdo.mofa.go.kr/m/kor/dokdo/reason_list.jsp</ns0:t>
        </ns0:is>
      </ns0:c>
      <ns0:c r="P124" s="3">
        <ns0:f>LEN(E124)+MAX(LEN(F124),LEN(G124),LEN(H124))</ns0:f>
        <ns0:v>44</ns0:v>
      </ns0:c>
      <ns0:c r="Q124" s="7" t="inlineStr">
        <ns0:is>
          <ns0:t>출처 기반 자체 검토 / 독립 승인 전</ns0:t>
        </ns0:is>
      </ns0:c>
    </ns0:row>
    <ns0:row r="125" ht="98" customHeight="1">
      <ns0:c r="A125" s="4" t="n">
        <ns0:v>910124</ns0:v>
      </ns0:c>
      <ns0:c r="B125" s="4" t="n">
        <ns0:v>7</ns0:v>
      </ns0:c>
      <ns0:c r="C125" s="4" t="inlineStr">
        <ns0:is>
          <ns0:t>dk-sejong-record</ns0:t>
        </ns0:is>
      </ns0:c>
      <ns0:c r="D125" s="4" t="n">
        <ns0:v>4</ns0:v>
      </ns0:c>
      <ns0:c r="E125" s="8" t="inlineStr">
        <ns0:is>
          <ns0:t>원문 지명과 현대 해설을 인용할 때 맞는 방법은?</ns0:t>
        </ns0:is>
      </ns0:c>
      <ns0:c r="F125" s="8" t="inlineStr">
        <ns0:is>
          <ns0:t>옛 지명은 어떤 자료로도 해석할 수 없다</ns0:t>
        </ns0:is>
      </ns0:c>
      <ns0:c r="G125" s="8" t="inlineStr">
        <ns0:is>
          <ns0:t>원문과 해설의 층위를 구분해 소개한다</ns0:t>
        </ns0:is>
      </ns0:c>
      <ns0:c r="H125" s="8" t="inlineStr">
        <ns0:is>
          <ns0:t>현대 괄호를 모두 원문이라고 적는다</ns0:t>
        </ns0:is>
      </ns0:c>
      <ns0:c r="I125" s="8" t="n">
        <ns0:v>2</ns0:v>
      </ns0:c>
      <ns0:c r="J125" s="8" t="inlineStr">
        <ns0:is>
          <ns0:t>『세종실록』 지리지는 조선의 여러 지역을 설명한 기록이에요. 외교부는 이 기록의 우산·무릉을 독도·울릉도와 연결해 소개해요.</ns0:t>
        </ns0:is>
      </ns0:c>
      <ns0:c r="K125" s="8" t="inlineStr">
        <ns0:is>
          <ns0:t>고른 보기 ‘옛 지명은 어떤 자료로도 해석할 수 없다’와 달라요. 이 문항의 정답은 ‘원문과 해설의 층위를 구분해 소개한다’입니다. 『세종실록』 지리지는 조선의 여러 지역을 설명한 기록이에요. 외교부는 이 기록의 우산·무릉을 독도·울릉도와 연결해 소개해요.</ns0:t>
        </ns0:is>
      </ns0:c>
      <ns0:c r="L125" s="8" t="inlineStr">
        <ns0:is>
          <ns0:t>『세종실록』 지리지는 조선의 여러 지역을 설명한 기록이에요. 외교부는 이 기록의 우산·무릉을 독도·울릉도와 연결해 소개해요.</ns0:t>
        </ns0:is>
      </ns0:c>
      <ns0:c r="M125" s="8" t="inlineStr">
        <ns0:is>
          <ns0:t>고른 보기 ‘현대 괄호를 모두 원문이라고 적는다’와 달라요. 이 문항의 정답은 ‘원문과 해설의 층위를 구분해 소개한다’입니다. 『세종실록』 지리지는 조선의 여러 지역을 설명한 기록이에요. 외교부는 이 기록의 우산·무릉을 독도·울릉도와 연결해 소개해요.</ns0:t>
        </ns0:is>
      </ns0:c>
      <ns0:c r="N125" s="8" t="inlineStr">
        <ns0:is>
          <ns0:t>1454년 『세종실록』 지리지의 역문에는 우산·무릉 두 섬이 나옵니다. 외교부 자료의 괄호 안 ‘독도·울릉도’는 현대 지명을 붙인 해설입니다.</ns0:t>
        </ns0:is>
      </ns0:c>
      <ns0:c r="O125" s="8" t="inlineStr">
        <ns0:is>
          <ns0:t>https://dokdo.mofa.go.kr/kor/pds/part06_view02.jsp
https://dokdo.mofa.go.kr/m/kor/dokdo/reason_list.jsp</ns0:t>
        </ns0:is>
      </ns0:c>
      <ns0:c r="P125" s="5">
        <ns0:f>LEN(E125)+MAX(LEN(F125),LEN(G125),LEN(H125))</ns0:f>
        <ns0:v>49</ns0:v>
      </ns0:c>
      <ns0:c r="Q125" s="9" t="inlineStr">
        <ns0:is>
          <ns0:t>출처 기반 자체 검토 / 독립 승인 전</ns0:t>
        </ns0:is>
      </ns0:c>
    </ns0:row>
    <ns0:row r="126" ht="98" customHeight="1">
      <ns0:c r="A126" s="2" t="n">
        <ns0:v>910125</ns0:v>
      </ns0:c>
      <ns0:c r="B126" s="2" t="n">
        <ns0:v>7</ns0:v>
      </ns0:c>
      <ns0:c r="C126" s="2" t="inlineStr">
        <ns0:is>
          <ns0:t>dk-official-geography</ns0:t>
        </ns0:is>
      </ns0:c>
      <ns0:c r="D126" s="2" t="n">
        <ns0:v>1</ns0:v>
      </ns0:c>
      <ns0:c r="E126" s="6" t="inlineStr">
        <ns0:is>
          <ns0:t>‘관찬서’는 누가 만든 책일까요?</ns0:t>
        </ns0:is>
      </ns0:c>
      <ns0:c r="F126" s="6" t="inlineStr">
        <ns0:is>
          <ns0:t>나라에서 편찬한 책</ns0:t>
        </ns0:is>
      </ns0:c>
      <ns0:c r="G126" s="6" t="inlineStr">
        <ns0:is>
          <ns0:t>개인의 일기만</ns0:t>
        </ns0:is>
      </ns0:c>
      <ns0:c r="H126" s="6" t="inlineStr">
        <ns0:is>
          <ns0:t>배의 광고 전단</ns0:t>
        </ns0:is>
      </ns0:c>
      <ns0:c r="I126" s="6" t="n">
        <ns0:v>1</ns0:v>
      </ns0:c>
      <ns0:c r="J126" s="6" t="inlineStr">
        <ns0:is>
          <ns0:t>조선의 지리지는 나라가 지역을 어떻게 알고 기록했는지 살펴보는 자료예요. 옛 기록의 설명과 오늘의 관찰은 구분해 읽어요.</ns0:t>
        </ns0:is>
      </ns0:c>
      <ns0:c r="K126" s="6" t="inlineStr">
        <ns0:is>
          <ns0:t>조선의 지리지는 나라가 지역을 어떻게 알고 기록했는지 살펴보는 자료예요. 옛 기록의 설명과 오늘의 관찰은 구분해 읽어요.</ns0:t>
        </ns0:is>
      </ns0:c>
      <ns0:c r="L126" s="6" t="inlineStr">
        <ns0:is>
          <ns0:t>고른 보기 ‘개인의 일기만’와 달라요. 이 문항의 정답은 ‘나라에서 편찬한 책’입니다. 조선의 지리지는 나라가 지역을 어떻게 알고 기록했는지 살펴보는 자료예요. 옛 기록의 설명과 오늘의 관찰은 구분해 읽어요.</ns0:t>
        </ns0:is>
      </ns0:c>
      <ns0:c r="M126" s="6" t="inlineStr">
        <ns0:is>
          <ns0:t>고른 보기 ‘배의 광고 전단’와 달라요. 이 문항의 정답은 ‘나라에서 편찬한 책’입니다. 조선의 지리지는 나라가 지역을 어떻게 알고 기록했는지 살펴보는 자료예요. 옛 기록의 설명과 오늘의 관찰은 구분해 읽어요.</ns0:t>
        </ns0:is>
      </ns0:c>
      <ns0:c r="N126" s="6" t="inlineStr"/>
      <ns0:c r="O126" s="6" t="inlineStr">
        <ns0:is>
          <ns0:t>https://dokdo.mofa.go.kr/kor/pds/part06_view02.jsp
https://dokdo.mofa.go.kr/m/kor/dokdo/reason_list.jsp</ns0:t>
        </ns0:is>
      </ns0:c>
      <ns0:c r="P126" s="3">
        <ns0:f>LEN(E126)+MAX(LEN(F126),LEN(G126),LEN(H126))</ns0:f>
        <ns0:v>28</ns0:v>
      </ns0:c>
      <ns0:c r="Q126" s="7" t="inlineStr">
        <ns0:is>
          <ns0:t>출처 기반 자체 검토 / 독립 승인 전</ns0:t>
        </ns0:is>
      </ns0:c>
    </ns0:row>
    <ns0:row r="127" ht="98" customHeight="1">
      <ns0:c r="A127" s="4" t="n">
        <ns0:v>910126</ns0:v>
      </ns0:c>
      <ns0:c r="B127" s="4" t="n">
        <ns0:v>7</ns0:v>
      </ns0:c>
      <ns0:c r="C127" s="4" t="inlineStr">
        <ns0:is>
          <ns0:t>dk-official-geography</ns0:t>
        </ns0:is>
      </ns0:c>
      <ns0:c r="D127" s="4" t="n">
        <ns0:v>2</ns0:v>
      </ns0:c>
      <ns0:c r="E127" s="8" t="inlineStr">
        <ns0:is>
          <ns0:t>독도 관련 옛 지리지를 읽으면 알 수 있는 것은?</ns0:t>
        </ns0:is>
      </ns0:c>
      <ns0:c r="F127" s="8" t="inlineStr">
        <ns0:is>
          <ns0:t>오늘의 실시간 파도 높이</ns0:t>
        </ns0:is>
      </ns0:c>
      <ns0:c r="G127" s="8" t="inlineStr">
        <ns0:is>
          <ns0:t>내일의 배 출발 시각</ns0:t>
        </ns0:is>
      </ns0:c>
      <ns0:c r="H127" s="8" t="inlineStr">
        <ns0:is>
          <ns0:t>당시 지역을 기록한 방식</ns0:t>
        </ns0:is>
      </ns0:c>
      <ns0:c r="I127" s="8" t="n">
        <ns0:v>3</ns0:v>
      </ns0:c>
      <ns0:c r="J127" s="8" t="inlineStr">
        <ns0:is>
          <ns0:t>조선의 지리지는 나라가 지역을 어떻게 알고 기록했는지 살펴보는 자료예요. 옛 기록의 설명과 오늘의 관찰은 구분해 읽어요.</ns0:t>
        </ns0:is>
      </ns0:c>
      <ns0:c r="K127" s="8" t="inlineStr">
        <ns0:is>
          <ns0:t>고른 보기 ‘오늘의 실시간 파도 높이’와 달라요. 이 문항의 정답은 ‘당시 지역을 기록한 방식’입니다. 조선의 지리지는 나라가 지역을 어떻게 알고 기록했는지 살펴보는 자료예요. 옛 기록의 설명과 오늘의 관찰은 구분해 읽어요.</ns0:t>
        </ns0:is>
      </ns0:c>
      <ns0:c r="L127" s="8" t="inlineStr">
        <ns0:is>
          <ns0:t>고른 보기 ‘내일의 배 출발 시각’와 달라요. 이 문항의 정답은 ‘당시 지역을 기록한 방식’입니다. 조선의 지리지는 나라가 지역을 어떻게 알고 기록했는지 살펴보는 자료예요. 옛 기록의 설명과 오늘의 관찰은 구분해 읽어요.</ns0:t>
        </ns0:is>
      </ns0:c>
      <ns0:c r="M127" s="8" t="inlineStr">
        <ns0:is>
          <ns0:t>조선의 지리지는 나라가 지역을 어떻게 알고 기록했는지 살펴보는 자료예요. 옛 기록의 설명과 오늘의 관찰은 구분해 읽어요.</ns0:t>
        </ns0:is>
      </ns0:c>
      <ns0:c r="N127" s="8" t="inlineStr"/>
      <ns0:c r="O127" s="8" t="inlineStr">
        <ns0:is>
          <ns0:t>https://dokdo.mofa.go.kr/kor/pds/part06_view02.jsp
https://dokdo.mofa.go.kr/m/kor/dokdo/reason_list.jsp</ns0:t>
        </ns0:is>
      </ns0:c>
      <ns0:c r="P127" s="5">
        <ns0:f>LEN(E127)+MAX(LEN(F127),LEN(G127),LEN(H127))</ns0:f>
        <ns0:v>40</ns0:v>
      </ns0:c>
      <ns0:c r="Q127" s="9" t="inlineStr">
        <ns0:is>
          <ns0:t>출처 기반 자체 검토 / 독립 승인 전</ns0:t>
        </ns0:is>
      </ns0:c>
    </ns0:row>
    <ns0:row r="128" ht="98" customHeight="1">
      <ns0:c r="A128" s="2" t="n">
        <ns0:v>910127</ns0:v>
      </ns0:c>
      <ns0:c r="B128" s="2" t="n">
        <ns0:v>7</ns0:v>
      </ns0:c>
      <ns0:c r="C128" s="2" t="inlineStr">
        <ns0:is>
          <ns0:t>dk-official-geography</ns0:t>
        </ns0:is>
      </ns0:c>
      <ns0:c r="D128" s="2" t="n">
        <ns0:v>3</ns0:v>
      </ns0:c>
      <ns0:c r="E128" s="6" t="inlineStr">
        <ns0:is>
          <ns0:t>관찬 지리지라는 자료 성격과 맞는 것은?</ns0:t>
        </ns0:is>
      </ns0:c>
      <ns0:c r="F128" s="6" t="inlineStr">
        <ns0:is>
          <ns0:t>현재 독도의 기상 관측 센서</ns0:t>
        </ns0:is>
      </ns0:c>
      <ns0:c r="G128" s="6" t="inlineStr">
        <ns0:is>
          <ns0:t>정부가 편찬한 지역 설명 자료</ns0:t>
        </ns0:is>
      </ns0:c>
      <ns0:c r="H128" s="6" t="inlineStr">
        <ns0:is>
          <ns0:t>현대 관광객 한 명의 사진첩</ns0:t>
        </ns0:is>
      </ns0:c>
      <ns0:c r="I128" s="6" t="n">
        <ns0:v>2</ns0:v>
      </ns0:c>
      <ns0:c r="J128" s="6" t="inlineStr">
        <ns0:is>
          <ns0:t>조선의 지리지는 나라가 지역을 어떻게 알고 기록했는지 살펴보는 자료예요. 옛 기록의 설명과 오늘의 관찰은 구분해 읽어요.</ns0:t>
        </ns0:is>
      </ns0:c>
      <ns0:c r="K128" s="6" t="inlineStr">
        <ns0:is>
          <ns0:t>고른 보기 ‘현재 독도의 기상 관측 센서’와 달라요. 이 문항의 정답은 ‘정부가 편찬한 지역 설명 자료’입니다. 조선의 지리지는 나라가 지역을 어떻게 알고 기록했는지 살펴보는 자료예요. 옛 기록의 설명과 오늘의 관찰은 구분해 읽어요.</ns0:t>
        </ns0:is>
      </ns0:c>
      <ns0:c r="L128" s="6" t="inlineStr">
        <ns0:is>
          <ns0:t>조선의 지리지는 나라가 지역을 어떻게 알고 기록했는지 살펴보는 자료예요. 옛 기록의 설명과 오늘의 관찰은 구분해 읽어요.</ns0:t>
        </ns0:is>
      </ns0:c>
      <ns0:c r="M128" s="6" t="inlineStr">
        <ns0:is>
          <ns0:t>고른 보기 ‘현대 관광객 한 명의 사진첩’와 달라요. 이 문항의 정답은 ‘정부가 편찬한 지역 설명 자료’입니다. 조선의 지리지는 나라가 지역을 어떻게 알고 기록했는지 살펴보는 자료예요. 옛 기록의 설명과 오늘의 관찰은 구분해 읽어요.</ns0:t>
        </ns0:is>
      </ns0:c>
      <ns0:c r="N128" s="6" t="inlineStr">
        <ns0:is>
          <ns0:t>외교부는 『세종실록』 지리지를 관찬서로 소개하고 우산·무릉 두 섬에 관한 기록을 설명합니다. 관찬서는 나라에서 편찬한 책을 뜻합니다.</ns0:t>
        </ns0:is>
      </ns0:c>
      <ns0:c r="O128" s="6" t="inlineStr">
        <ns0:is>
          <ns0:t>https://dokdo.mofa.go.kr/kor/pds/part06_view02.jsp
https://dokdo.mofa.go.kr/m/kor/dokdo/reason_list.jsp</ns0:t>
        </ns0:is>
      </ns0:c>
      <ns0:c r="P128" s="3">
        <ns0:f>LEN(E128)+MAX(LEN(F128),LEN(G128),LEN(H128))</ns0:f>
        <ns0:v>38</ns0:v>
      </ns0:c>
      <ns0:c r="Q128" s="7" t="inlineStr">
        <ns0:is>
          <ns0:t>출처 기반 자체 검토 / 독립 승인 전</ns0:t>
        </ns0:is>
      </ns0:c>
    </ns0:row>
    <ns0:row r="129" ht="98" customHeight="1">
      <ns0:c r="A129" s="4" t="n">
        <ns0:v>910128</ns0:v>
      </ns0:c>
      <ns0:c r="B129" s="4" t="n">
        <ns0:v>7</ns0:v>
      </ns0:c>
      <ns0:c r="C129" s="4" t="inlineStr">
        <ns0:is>
          <ns0:t>dk-official-geography</ns0:t>
        </ns0:is>
      </ns0:c>
      <ns0:c r="D129" s="4" t="n">
        <ns0:v>4</ns0:v>
      </ns0:c>
      <ns0:c r="E129" s="8" t="inlineStr">
        <ns0:is>
          <ns0:t>옛 지리지로 오늘의 방문 가능 여부를 정한다면?</ns0:t>
        </ns0:is>
      </ns0:c>
      <ns0:c r="F129" s="8" t="inlineStr">
        <ns0:is>
          <ns0:t>역사 자료와 현재 운항 정보를 구분해야 한다</ns0:t>
        </ns0:is>
      </ns0:c>
      <ns0:c r="G129" s="8" t="inlineStr">
        <ns0:is>
          <ns0:t>공식 기록이면 모든 시대의 날씨도 결정한다</ns0:t>
        </ns0:is>
      </ns0:c>
      <ns0:c r="H129" s="8" t="inlineStr">
        <ns0:is>
          <ns0:t>오래된 기록에는 지리적 가치가 전혀 없다</ns0:t>
        </ns0:is>
      </ns0:c>
      <ns0:c r="I129" s="8" t="n">
        <ns0:v>1</ns0:v>
      </ns0:c>
      <ns0:c r="J129" s="8" t="inlineStr">
        <ns0:is>
          <ns0:t>조선의 지리지는 나라가 지역을 어떻게 알고 기록했는지 살펴보는 자료예요. 옛 기록의 설명과 오늘의 관찰은 구분해 읽어요.</ns0:t>
        </ns0:is>
      </ns0:c>
      <ns0:c r="K129" s="8" t="inlineStr">
        <ns0:is>
          <ns0:t>조선의 지리지는 나라가 지역을 어떻게 알고 기록했는지 살펴보는 자료예요. 옛 기록의 설명과 오늘의 관찰은 구분해 읽어요.</ns0:t>
        </ns0:is>
      </ns0:c>
      <ns0:c r="L129" s="8" t="inlineStr">
        <ns0:is>
          <ns0:t>고른 보기 ‘공식 기록이면 모든 시대의 날씨도 결정한다’와 달라요. 이 문항의 정답은 ‘역사 자료와 현재 운항 정보를 구분해야 한다’입니다. 조선의 지리지는 나라가 지역을 어떻게 알고 기록했는지 살펴보는 자료예요. 옛 기록의 설명과 오늘의 관찰은 구분해 읽어요.</ns0:t>
        </ns0:is>
      </ns0:c>
      <ns0:c r="M129" s="8" t="inlineStr">
        <ns0:is>
          <ns0:t>고른 보기 ‘오래된 기록에는 지리적 가치가 전혀 없다’와 달라요. 이 문항의 정답은 ‘역사 자료와 현재 운항 정보를 구분해야 한다’입니다. 조선의 지리지는 나라가 지역을 어떻게 알고 기록했는지 살펴보는 자료예요. 옛 기록의 설명과 오늘의 관찰은 구분해 읽어요.</ns0:t>
        </ns0:is>
      </ns0:c>
      <ns0:c r="N129" s="8" t="inlineStr">
        <ns0:is>
          <ns0:t>외교부는 『세종실록』 지리지를 관찬서로 소개하고 우산·무릉 두 섬에 관한 기록을 설명합니다. 관찬서는 나라에서 편찬한 책을 뜻합니다.</ns0:t>
        </ns0:is>
      </ns0:c>
      <ns0:c r="O129" s="8" t="inlineStr">
        <ns0:is>
          <ns0:t>https://dokdo.mofa.go.kr/kor/pds/part06_view02.jsp
https://dokdo.mofa.go.kr/m/kor/dokdo/reason_list.jsp</ns0:t>
        </ns0:is>
      </ns0:c>
      <ns0:c r="P129" s="5">
        <ns0:f>LEN(E129)+MAX(LEN(F129),LEN(G129),LEN(H129))</ns0:f>
        <ns0:v>50</ns0:v>
      </ns0:c>
      <ns0:c r="Q129" s="9" t="inlineStr">
        <ns0:is>
          <ns0:t>출처 기반 자체 검토 / 독립 승인 전</ns0:t>
        </ns0:is>
      </ns0:c>
    </ns0:row>
    <ns0:row r="130" ht="98" customHeight="1">
      <ns0:c r="A130" s="2" t="n">
        <ns0:v>910129</ns0:v>
      </ns0:c>
      <ns0:c r="B130" s="2" t="n">
        <ns0:v>7</ns0:v>
      </ns0:c>
      <ns0:c r="C130" s="2" t="inlineStr">
        <ns0:is>
          <ns0:t>dk-an-1693</ns0:t>
        </ns0:is>
      </ns0:c>
      <ns0:c r="D130" s="2" t="n">
        <ns0:v>1</ns0:v>
      </ns0:c>
      <ns0:c r="E130" s="6" t="inlineStr">
        <ns0:is>
          <ns0:t>1693년 사건과 관련된 인물은?</ns0:t>
        </ns0:is>
      </ns0:c>
      <ns0:c r="F130" s="6" t="inlineStr">
        <ns0:is>
          <ns0:t>심흥택</ns0:t>
        </ns0:is>
      </ns0:c>
      <ns0:c r="G130" s="6" t="inlineStr">
        <ns0:is>
          <ns0:t>이건하</ns0:t>
        </ns0:is>
      </ns0:c>
      <ns0:c r="H130" s="6" t="inlineStr">
        <ns0:is>
          <ns0:t>안용복</ns0:t>
        </ns0:is>
      </ns0:c>
      <ns0:c r="I130" s="6" t="n">
        <ns0:v>3</ns0:v>
      </ns0:c>
      <ns0:c r="J130" s="6" t="inlineStr">
        <ns0:is>
          <ns0:t>안용복과 박어둔은 1693년 울릉도에서 어업을 하다가 일본으로 끌려갔어요. 이 사건은 울릉도 관련 교섭의 계기가 되었어요.</ns0:t>
        </ns0:is>
      </ns0:c>
      <ns0:c r="K130" s="6" t="inlineStr">
        <ns0:is>
          <ns0:t>고른 보기 ‘심흥택’와 달라요. 이 문항의 정답은 ‘안용복’입니다. 안용복과 박어둔은 1693년 울릉도에서 어업을 하다가 일본으로 끌려갔어요. 이 사건은 울릉도 관련 교섭의 계기가 되었어요.</ns0:t>
        </ns0:is>
      </ns0:c>
      <ns0:c r="L130" s="6" t="inlineStr">
        <ns0:is>
          <ns0:t>고른 보기 ‘이건하’와 달라요. 이 문항의 정답은 ‘안용복’입니다. 안용복과 박어둔은 1693년 울릉도에서 어업을 하다가 일본으로 끌려갔어요. 이 사건은 울릉도 관련 교섭의 계기가 되었어요.</ns0:t>
        </ns0:is>
      </ns0:c>
      <ns0:c r="M130" s="6" t="inlineStr">
        <ns0:is>
          <ns0:t>안용복과 박어둔은 1693년 울릉도에서 어업을 하다가 일본으로 끌려갔어요. 이 사건은 울릉도 관련 교섭의 계기가 되었어요.</ns0:t>
        </ns0:is>
      </ns0:c>
      <ns0:c r="N130" s="6" t="inlineStr"/>
      <ns0:c r="O130" s="6" t="inlineStr">
        <ns0:is>
          <ns0:t>https://dokdo.mofa.go.kr/kor/include/print_faq.jsp?class_faq=q5
https://dokdo.mofa.go.kr/m/kor/dokdo/reason_list.jsp</ns0:t>
        </ns0:is>
      </ns0:c>
      <ns0:c r="P130" s="3">
        <ns0:f>LEN(E130)+MAX(LEN(F130),LEN(G130),LEN(H130))</ns0:f>
        <ns0:v>21</ns0:v>
      </ns0:c>
      <ns0:c r="Q130" s="7" t="inlineStr">
        <ns0:is>
          <ns0:t>출처 기반 자체 검토 / 독립 승인 전</ns0:t>
        </ns0:is>
      </ns0:c>
    </ns0:row>
    <ns0:row r="131" ht="98" customHeight="1">
      <ns0:c r="A131" s="4" t="n">
        <ns0:v>910130</ns0:v>
      </ns0:c>
      <ns0:c r="B131" s="4" t="n">
        <ns0:v>7</ns0:v>
      </ns0:c>
      <ns0:c r="C131" s="4" t="inlineStr">
        <ns0:is>
          <ns0:t>dk-an-1693</ns0:t>
        </ns0:is>
      </ns0:c>
      <ns0:c r="D131" s="4" t="n">
        <ns0:v>2</ns0:v>
      </ns0:c>
      <ns0:c r="E131" s="8" t="inlineStr">
        <ns0:is>
          <ns0:t>안용복의 1693년 사건이 시작된 섬은?</ns0:t>
        </ns0:is>
      </ns0:c>
      <ns0:c r="F131" s="8" t="inlineStr">
        <ns0:is>
          <ns0:t>강화도</ns0:t>
        </ns0:is>
      </ns0:c>
      <ns0:c r="G131" s="8" t="inlineStr">
        <ns0:is>
          <ns0:t>울릉도</ns0:t>
        </ns0:is>
      </ns0:c>
      <ns0:c r="H131" s="8" t="inlineStr">
        <ns0:is>
          <ns0:t>제주도</ns0:t>
        </ns0:is>
      </ns0:c>
      <ns0:c r="I131" s="8" t="n">
        <ns0:v>2</ns0:v>
      </ns0:c>
      <ns0:c r="J131" s="8" t="inlineStr">
        <ns0:is>
          <ns0:t>안용복과 박어둔은 1693년 울릉도에서 어업을 하다가 일본으로 끌려갔어요. 이 사건은 울릉도 관련 교섭의 계기가 되었어요.</ns0:t>
        </ns0:is>
      </ns0:c>
      <ns0:c r="K131" s="8" t="inlineStr">
        <ns0:is>
          <ns0:t>고른 보기 ‘강화도’와 달라요. 이 문항의 정답은 ‘울릉도’입니다. 안용복과 박어둔은 1693년 울릉도에서 어업을 하다가 일본으로 끌려갔어요. 이 사건은 울릉도 관련 교섭의 계기가 되었어요.</ns0:t>
        </ns0:is>
      </ns0:c>
      <ns0:c r="L131" s="8" t="inlineStr">
        <ns0:is>
          <ns0:t>안용복과 박어둔은 1693년 울릉도에서 어업을 하다가 일본으로 끌려갔어요. 이 사건은 울릉도 관련 교섭의 계기가 되었어요.</ns0:t>
        </ns0:is>
      </ns0:c>
      <ns0:c r="M131" s="8" t="inlineStr">
        <ns0:is>
          <ns0:t>고른 보기 ‘제주도’와 달라요. 이 문항의 정답은 ‘울릉도’입니다. 안용복과 박어둔은 1693년 울릉도에서 어업을 하다가 일본으로 끌려갔어요. 이 사건은 울릉도 관련 교섭의 계기가 되었어요.</ns0:t>
        </ns0:is>
      </ns0:c>
      <ns0:c r="N131" s="8" t="inlineStr"/>
      <ns0:c r="O131" s="8" t="inlineStr">
        <ns0:is>
          <ns0:t>https://dokdo.mofa.go.kr/kor/include/print_faq.jsp?class_faq=q5
https://dokdo.mofa.go.kr/m/kor/dokdo/reason_list.jsp</ns0:t>
        </ns0:is>
      </ns0:c>
      <ns0:c r="P131" s="5">
        <ns0:f>LEN(E131)+MAX(LEN(F131),LEN(G131),LEN(H131))</ns0:f>
        <ns0:v>25</ns0:v>
      </ns0:c>
      <ns0:c r="Q131" s="9" t="inlineStr">
        <ns0:is>
          <ns0:t>출처 기반 자체 검토 / 독립 승인 전</ns0:t>
        </ns0:is>
      </ns0:c>
    </ns0:row>
    <ns0:row r="132" ht="98" customHeight="1">
      <ns0:c r="A132" s="2" t="n">
        <ns0:v>910131</ns0:v>
      </ns0:c>
      <ns0:c r="B132" s="2" t="n">
        <ns0:v>7</ns0:v>
      </ns0:c>
      <ns0:c r="C132" s="2" t="inlineStr">
        <ns0:is>
          <ns0:t>dk-an-1693</ns0:t>
        </ns0:is>
      </ns0:c>
      <ns0:c r="D132" s="2" t="n">
        <ns0:v>3</ns0:v>
      </ns0:c>
      <ns0:c r="E132" s="6" t="inlineStr">
        <ns0:is>
          <ns0:t>자료가 말하는 사건의 순서는?</ns0:t>
        </ns0:is>
      </ns0:c>
      <ns0:c r="F132" s="6" t="inlineStr">
        <ns0:is>
          <ns0:t>울릉도 어업→일본으로 끌려감→교섭</ns0:t>
        </ns0:is>
      </ns0:c>
      <ns0:c r="G132" s="6" t="inlineStr">
        <ns0:is>
          <ns0:t>칙령 제41호→어업→1693년</ns0:t>
        </ns0:is>
      </ns0:c>
      <ns0:c r="H132" s="6" t="inlineStr">
        <ns0:is>
          <ns0:t>1906년 보고→1693년 사건</ns0:t>
        </ns0:is>
      </ns0:c>
      <ns0:c r="I132" s="6" t="n">
        <ns0:v>1</ns0:v>
      </ns0:c>
      <ns0:c r="J132" s="6" t="inlineStr">
        <ns0:is>
          <ns0:t>안용복과 박어둔은 1693년 울릉도에서 어업을 하다가 일본으로 끌려갔어요. 이 사건은 울릉도 관련 교섭의 계기가 되었어요.</ns0:t>
        </ns0:is>
      </ns0:c>
      <ns0:c r="K132" s="6" t="inlineStr">
        <ns0:is>
          <ns0:t>안용복과 박어둔은 1693년 울릉도에서 어업을 하다가 일본으로 끌려갔어요. 이 사건은 울릉도 관련 교섭의 계기가 되었어요.</ns0:t>
        </ns0:is>
      </ns0:c>
      <ns0:c r="L132" s="6" t="inlineStr">
        <ns0:is>
          <ns0:t>고른 보기 ‘칙령 제41호→어업→1693년’와 달라요. 이 문항의 정답은 ‘울릉도 어업→일본으로 끌려감→교섭’입니다. 안용복과 박어둔은 1693년 울릉도에서 어업을 하다가 일본으로 끌려갔어요. 이 사건은 울릉도 관련 교섭의 계기가 되었어요.</ns0:t>
        </ns0:is>
      </ns0:c>
      <ns0:c r="M132" s="6" t="inlineStr">
        <ns0:is>
          <ns0:t>고른 보기 ‘1906년 보고→1693년 사건’와 달라요. 이 문항의 정답은 ‘울릉도 어업→일본으로 끌려감→교섭’입니다. 안용복과 박어둔은 1693년 울릉도에서 어업을 하다가 일본으로 끌려갔어요. 이 사건은 울릉도 관련 교섭의 계기가 되었어요.</ns0:t>
        </ns0:is>
      </ns0:c>
      <ns0:c r="N132" s="6" t="inlineStr">
        <ns0:is>
          <ns0:t>외교부 연표: 1693년 안용복·박어둔이 울릉도에서 어업 중 일본 선원들에게 잡혀 일본으로 끌려갔습니다. 이후 조선과 일본 사이에 울릉도 관련 교섭이 전개됩니다.</ns0:t>
        </ns0:is>
      </ns0:c>
      <ns0:c r="O132" s="6" t="inlineStr">
        <ns0:is>
          <ns0:t>https://dokdo.mofa.go.kr/kor/include/print_faq.jsp?class_faq=q5
https://dokdo.mofa.go.kr/m/kor/dokdo/reason_list.jsp</ns0:t>
        </ns0:is>
      </ns0:c>
      <ns0:c r="P132" s="3">
        <ns0:f>LEN(E132)+MAX(LEN(F132),LEN(G132),LEN(H132))</ns0:f>
        <ns0:v>34</ns0:v>
      </ns0:c>
      <ns0:c r="Q132" s="7" t="inlineStr">
        <ns0:is>
          <ns0:t>출처 기반 자체 검토 / 독립 승인 전</ns0:t>
        </ns0:is>
      </ns0:c>
    </ns0:row>
    <ns0:row r="133" ht="98" customHeight="1">
      <ns0:c r="A133" s="4" t="n">
        <ns0:v>910132</ns0:v>
      </ns0:c>
      <ns0:c r="B133" s="4" t="n">
        <ns0:v>7</ns0:v>
      </ns0:c>
      <ns0:c r="C133" s="4" t="inlineStr">
        <ns0:is>
          <ns0:t>dk-an-1693</ns0:t>
        </ns0:is>
      </ns0:c>
      <ns0:c r="D133" s="4" t="n">
        <ns0:v>4</ns0:v>
      </ns0:c>
      <ns0:c r="E133" s="8" t="inlineStr">
        <ns0:is>
          <ns0:t>1693년 사건을 1696년 도일과 같은 일로 쓰면?</ns0:t>
        </ns0:is>
      </ns0:c>
      <ns0:c r="F133" s="8" t="inlineStr">
        <ns0:is>
          <ns0:t>같은 인물이면 모든 여행은 한 사건이다</ns0:t>
        </ns0:is>
      </ns0:c>
      <ns0:c r="G133" s="8" t="inlineStr">
        <ns0:is>
          <ns0:t>날짜가 다르면 인물도 반드시 다르다</ns0:t>
        </ns0:is>
      </ns0:c>
      <ns0:c r="H133" s="8" t="inlineStr">
        <ns0:is>
          <ns0:t>시점과 경위를 서로 구분해야 한다</ns0:t>
        </ns0:is>
      </ns0:c>
      <ns0:c r="I133" s="8" t="n">
        <ns0:v>3</ns0:v>
      </ns0:c>
      <ns0:c r="J133" s="8" t="inlineStr">
        <ns0:is>
          <ns0:t>안용복과 박어둔은 1693년 울릉도에서 어업을 하다가 일본으로 끌려갔어요. 이 사건은 울릉도 관련 교섭의 계기가 되었어요.</ns0:t>
        </ns0:is>
      </ns0:c>
      <ns0:c r="K133" s="8" t="inlineStr">
        <ns0:is>
          <ns0:t>고른 보기 ‘같은 인물이면 모든 여행은 한 사건이다’와 달라요. 이 문항의 정답은 ‘시점과 경위를 서로 구분해야 한다’입니다. 안용복과 박어둔은 1693년 울릉도에서 어업을 하다가 일본으로 끌려갔어요. 이 사건은 울릉도 관련 교섭의 계기가 되었어요.</ns0:t>
        </ns0:is>
      </ns0:c>
      <ns0:c r="L133" s="8" t="inlineStr">
        <ns0:is>
          <ns0:t>고른 보기 ‘날짜가 다르면 인물도 반드시 다르다’와 달라요. 이 문항의 정답은 ‘시점과 경위를 서로 구분해야 한다’입니다. 안용복과 박어둔은 1693년 울릉도에서 어업을 하다가 일본으로 끌려갔어요. 이 사건은 울릉도 관련 교섭의 계기가 되었어요.</ns0:t>
        </ns0:is>
      </ns0:c>
      <ns0:c r="M133" s="8" t="inlineStr">
        <ns0:is>
          <ns0:t>안용복과 박어둔은 1693년 울릉도에서 어업을 하다가 일본으로 끌려갔어요. 이 사건은 울릉도 관련 교섭의 계기가 되었어요.</ns0:t>
        </ns0:is>
      </ns0:c>
      <ns0:c r="N133" s="8" t="inlineStr">
        <ns0:is>
          <ns0:t>외교부 연표: 1693년 안용복·박어둔이 울릉도에서 어업 중 일본 선원들에게 잡혀 일본으로 끌려갔습니다. 이후 조선과 일본 사이에 울릉도 관련 교섭이 전개됩니다.</ns0:t>
        </ns0:is>
      </ns0:c>
      <ns0:c r="O133" s="8" t="inlineStr">
        <ns0:is>
          <ns0:t>https://dokdo.mofa.go.kr/kor/include/print_faq.jsp?class_faq=q5
https://dokdo.mofa.go.kr/m/kor/dokdo/reason_list.jsp</ns0:t>
        </ns0:is>
      </ns0:c>
      <ns0:c r="P133" s="5">
        <ns0:f>LEN(E133)+MAX(LEN(F133),LEN(G133),LEN(H133))</ns0:f>
        <ns0:v>50</ns0:v>
      </ns0:c>
      <ns0:c r="Q133" s="9" t="inlineStr">
        <ns0:is>
          <ns0:t>출처 기반 자체 검토 / 독립 승인 전</ns0:t>
        </ns0:is>
      </ns0:c>
    </ns0:row>
    <ns0:row r="134" ht="98" customHeight="1">
      <ns0:c r="A134" s="2" t="n">
        <ns0:v>910133</ns0:v>
      </ns0:c>
      <ns0:c r="B134" s="2" t="n">
        <ns0:v>7</ns0:v>
      </ns0:c>
      <ns0:c r="C134" s="2" t="inlineStr">
        <ns0:is>
          <ns0:t>dk-an-records</ns0:t>
        </ns0:is>
      </ns0:c>
      <ns0:c r="D134" s="2" t="n">
        <ns0:v>1</ns0:v>
      </ns0:c>
      <ns0:c r="E134" s="6" t="inlineStr">
        <ns0:is>
          <ns0:t>안용복 관련 조선의 기록은?</ns0:t>
        </ns0:is>
      </ns0:c>
      <ns0:c r="F134" s="6" t="inlineStr">
        <ns0:is>
          <ns0:t>기상 위성사진</ns0:t>
        </ns0:is>
      </ns0:c>
      <ns0:c r="G134" s="6" t="inlineStr">
        <ns0:is>
          <ns0:t>숙종실록</ns0:t>
        </ns0:is>
      </ns0:c>
      <ns0:c r="H134" s="6" t="inlineStr">
        <ns0:is>
          <ns0:t>현대 선박 광고</ns0:t>
        </ns0:is>
      </ns0:c>
      <ns0:c r="I134" s="6" t="n">
        <ns0:v>2</ns0:v>
      </ns0:c>
      <ns0:c r="J134" s="6" t="inlineStr">
        <ns0:is>
          <ns0:t>안용복의 1696년 활동은 조선의 기록과 일본 오키섬의 조사 기록을 함께 대조하며 살펴볼 수 있어요.</ns0:t>
        </ns0:is>
      </ns0:c>
      <ns0:c r="K134" s="6" t="inlineStr">
        <ns0:is>
          <ns0:t>고른 보기 ‘기상 위성사진’와 달라요. 이 문항의 정답은 ‘숙종실록’입니다. 안용복의 1696년 활동은 조선의 기록과 일본 오키섬의 조사 기록을 함께 대조하며 살펴볼 수 있어요.</ns0:t>
        </ns0:is>
      </ns0:c>
      <ns0:c r="L134" s="6" t="inlineStr">
        <ns0:is>
          <ns0:t>안용복의 1696년 활동은 조선의 기록과 일본 오키섬의 조사 기록을 함께 대조하며 살펴볼 수 있어요.</ns0:t>
        </ns0:is>
      </ns0:c>
      <ns0:c r="M134" s="6" t="inlineStr">
        <ns0:is>
          <ns0:t>고른 보기 ‘현대 선박 광고’와 달라요. 이 문항의 정답은 ‘숙종실록’입니다. 안용복의 1696년 활동은 조선의 기록과 일본 오키섬의 조사 기록을 함께 대조하며 살펴볼 수 있어요.</ns0:t>
        </ns0:is>
      </ns0:c>
      <ns0:c r="N134" s="6" t="inlineStr"/>
      <ns0:c r="O134" s="6" t="inlineStr">
        <ns0:is>
          <ns0:t>https://dokdo.mofa.go.kr/kor/include/print_faq.jsp?class_faq=q5</ns0:t>
        </ns0:is>
      </ns0:c>
      <ns0:c r="P134" s="3">
        <ns0:f>LEN(E134)+MAX(LEN(F134),LEN(G134),LEN(H134))</ns0:f>
        <ns0:v>23</ns0:v>
      </ns0:c>
      <ns0:c r="Q134" s="7" t="inlineStr">
        <ns0:is>
          <ns0:t>출처 기반 자체 검토 / 독립 승인 전</ns0:t>
        </ns0:is>
      </ns0:c>
    </ns0:row>
    <ns0:row r="135" ht="98" customHeight="1">
      <ns0:c r="A135" s="4" t="n">
        <ns0:v>910134</ns0:v>
      </ns0:c>
      <ns0:c r="B135" s="4" t="n">
        <ns0:v>7</ns0:v>
      </ns0:c>
      <ns0:c r="C135" s="4" t="inlineStr">
        <ns0:is>
          <ns0:t>dk-an-records</ns0:t>
        </ns0:is>
      </ns0:c>
      <ns0:c r="D135" s="4" t="n">
        <ns0:v>2</ns0:v>
      </ns0:c>
      <ns0:c r="E135" s="8" t="inlineStr">
        <ns0:is>
          <ns0:t>조선과 일본의 기록을 함께 보는 까닭은?</ns0:t>
        </ns0:is>
      </ns0:c>
      <ns0:c r="F135" s="8" t="inlineStr">
        <ns0:is>
          <ns0:t>같은 사건의 내용을 대조하려고</ns0:t>
        </ns0:is>
      </ns0:c>
      <ns0:c r="G135" s="8" t="inlineStr">
        <ns0:is>
          <ns0:t>두 기록의 날짜를 지우려고</ns0:t>
        </ns0:is>
      </ns0:c>
      <ns0:c r="H135" s="8" t="inlineStr">
        <ns0:is>
          <ns0:t>글자 수만 같게 만들려고</ns0:t>
        </ns0:is>
      </ns0:c>
      <ns0:c r="I135" s="8" t="n">
        <ns0:v>1</ns0:v>
      </ns0:c>
      <ns0:c r="J135" s="8" t="inlineStr">
        <ns0:is>
          <ns0:t>안용복의 1696년 활동은 조선의 기록과 일본 오키섬의 조사 기록을 함께 대조하며 살펴볼 수 있어요.</ns0:t>
        </ns0:is>
      </ns0:c>
      <ns0:c r="K135" s="8" t="inlineStr">
        <ns0:is>
          <ns0:t>안용복의 1696년 활동은 조선의 기록과 일본 오키섬의 조사 기록을 함께 대조하며 살펴볼 수 있어요.</ns0:t>
        </ns0:is>
      </ns0:c>
      <ns0:c r="L135" s="8" t="inlineStr">
        <ns0:is>
          <ns0:t>고른 보기 ‘두 기록의 날짜를 지우려고’와 달라요. 이 문항의 정답은 ‘같은 사건의 내용을 대조하려고’입니다. 안용복의 1696년 활동은 조선의 기록과 일본 오키섬의 조사 기록을 함께 대조하며 살펴볼 수 있어요.</ns0:t>
        </ns0:is>
      </ns0:c>
      <ns0:c r="M135" s="8" t="inlineStr">
        <ns0:is>
          <ns0:t>고른 보기 ‘글자 수만 같게 만들려고’와 달라요. 이 문항의 정답은 ‘같은 사건의 내용을 대조하려고’입니다. 안용복의 1696년 활동은 조선의 기록과 일본 오키섬의 조사 기록을 함께 대조하며 살펴볼 수 있어요.</ns0:t>
        </ns0:is>
      </ns0:c>
      <ns0:c r="N135" s="8" t="inlineStr"/>
      <ns0:c r="O135" s="8" t="inlineStr">
        <ns0:is>
          <ns0:t>https://dokdo.mofa.go.kr/kor/include/print_faq.jsp?class_faq=q5</ns0:t>
        </ns0:is>
      </ns0:c>
      <ns0:c r="P135" s="5">
        <ns0:f>LEN(E135)+MAX(LEN(F135),LEN(G135),LEN(H135))</ns0:f>
        <ns0:v>38</ns0:v>
      </ns0:c>
      <ns0:c r="Q135" s="9" t="inlineStr">
        <ns0:is>
          <ns0:t>출처 기반 자체 검토 / 독립 승인 전</ns0:t>
        </ns0:is>
      </ns0:c>
    </ns0:row>
    <ns0:row r="136" ht="98" customHeight="1">
      <ns0:c r="A136" s="2" t="n">
        <ns0:v>910135</ns0:v>
      </ns0:c>
      <ns0:c r="B136" s="2" t="n">
        <ns0:v>7</ns0:v>
      </ns0:c>
      <ns0:c r="C136" s="2" t="inlineStr">
        <ns0:is>
          <ns0:t>dk-an-records</ns0:t>
        </ns0:is>
      </ns0:c>
      <ns0:c r="D136" s="2" t="n">
        <ns0:v>3</ns0:v>
      </ns0:c>
      <ns0:c r="E136" s="6" t="inlineStr">
        <ns0:is>
          <ns0:t>제시된 두 기록을 비교할 항목은?</ns0:t>
        </ns0:is>
      </ns0:c>
      <ns0:c r="F136" s="6" t="inlineStr">
        <ns0:is>
          <ns0:t>표지 색깔만</ns0:t>
        </ns0:is>
      </ns0:c>
      <ns0:c r="G136" s="6" t="inlineStr">
        <ns0:is>
          <ns0:t>오늘의 독도 수온만</ns0:t>
        </ns0:is>
      </ns0:c>
      <ns0:c r="H136" s="6" t="inlineStr">
        <ns0:is>
          <ns0:t>작성 맥락과 사건의 공통·차이점</ns0:t>
        </ns0:is>
      </ns0:c>
      <ns0:c r="I136" s="6" t="n">
        <ns0:v>3</ns0:v>
      </ns0:c>
      <ns0:c r="J136" s="6" t="inlineStr">
        <ns0:is>
          <ns0:t>안용복의 1696년 활동은 조선의 기록과 일본 오키섬의 조사 기록을 함께 대조하며 살펴볼 수 있어요.</ns0:t>
        </ns0:is>
      </ns0:c>
      <ns0:c r="K136" s="6" t="inlineStr">
        <ns0:is>
          <ns0:t>고른 보기 ‘표지 색깔만’와 달라요. 이 문항의 정답은 ‘작성 맥락과 사건의 공통·차이점’입니다. 안용복의 1696년 활동은 조선의 기록과 일본 오키섬의 조사 기록을 함께 대조하며 살펴볼 수 있어요.</ns0:t>
        </ns0:is>
      </ns0:c>
      <ns0:c r="L136" s="6" t="inlineStr">
        <ns0:is>
          <ns0:t>고른 보기 ‘오늘의 독도 수온만’와 달라요. 이 문항의 정답은 ‘작성 맥락과 사건의 공통·차이점’입니다. 안용복의 1696년 활동은 조선의 기록과 일본 오키섬의 조사 기록을 함께 대조하며 살펴볼 수 있어요.</ns0:t>
        </ns0:is>
      </ns0:c>
      <ns0:c r="M136" s="6" t="inlineStr">
        <ns0:is>
          <ns0:t>안용복의 1696년 활동은 조선의 기록과 일본 오키섬의 조사 기록을 함께 대조하며 살펴볼 수 있어요.</ns0:t>
        </ns0:is>
      </ns0:c>
      <ns0:c r="N136" s="6" t="inlineStr">
        <ns0:is>
          <ns0:t>외교부 설명은 『숙종실록』의 진술 기록과 1696년 오키섬 조사 기록을 함께 소개합니다. 자료가 어디에서, 어떤 목적으로 작성되었는지도 확인해야 합니다.</ns0:t>
        </ns0:is>
      </ns0:c>
      <ns0:c r="O136" s="6" t="inlineStr">
        <ns0:is>
          <ns0:t>https://dokdo.mofa.go.kr/kor/include/print_faq.jsp?class_faq=q5</ns0:t>
        </ns0:is>
      </ns0:c>
      <ns0:c r="P136" s="3">
        <ns0:f>LEN(E136)+MAX(LEN(F136),LEN(G136),LEN(H136))</ns0:f>
        <ns0:v>35</ns0:v>
      </ns0:c>
      <ns0:c r="Q136" s="7" t="inlineStr">
        <ns0:is>
          <ns0:t>출처 기반 자체 검토 / 독립 승인 전</ns0:t>
        </ns0:is>
      </ns0:c>
    </ns0:row>
    <ns0:row r="137" ht="98" customHeight="1">
      <ns0:c r="A137" s="4" t="n">
        <ns0:v>910136</ns0:v>
      </ns0:c>
      <ns0:c r="B137" s="4" t="n">
        <ns0:v>7</ns0:v>
      </ns0:c>
      <ns0:c r="C137" s="4" t="inlineStr">
        <ns0:is>
          <ns0:t>dk-an-records</ns0:t>
        </ns0:is>
      </ns0:c>
      <ns0:c r="D137" s="4" t="n">
        <ns0:v>4</ns0:v>
      </ns0:c>
      <ns0:c r="E137" s="8" t="inlineStr">
        <ns0:is>
          <ns0:t>두 기록이 있으니 모든 세부가 일치한다고 하면?</ns0:t>
        </ns0:is>
      </ns0:c>
      <ns0:c r="F137" s="8" t="inlineStr">
        <ns0:is>
          <ns0:t>다른 나라 자료는 비교 대상에서 빼야 한다</ns0:t>
        </ns0:is>
      </ns0:c>
      <ns0:c r="G137" s="8" t="inlineStr">
        <ns0:is>
          <ns0:t>항목별로 같은 점과 다른 점을 확인해야 한다</ns0:t>
        </ns0:is>
      </ns0:c>
      <ns0:c r="H137" s="8" t="inlineStr">
        <ns0:is>
          <ns0:t>두 개라는 수만으로 일치가 증명된다</ns0:t>
        </ns0:is>
      </ns0:c>
      <ns0:c r="I137" s="8" t="n">
        <ns0:v>2</ns0:v>
      </ns0:c>
      <ns0:c r="J137" s="8" t="inlineStr">
        <ns0:is>
          <ns0:t>안용복의 1696년 활동은 조선의 기록과 일본 오키섬의 조사 기록을 함께 대조하며 살펴볼 수 있어요.</ns0:t>
        </ns0:is>
      </ns0:c>
      <ns0:c r="K137" s="8" t="inlineStr">
        <ns0:is>
          <ns0:t>고른 보기 ‘다른 나라 자료는 비교 대상에서 빼야 한다’와 달라요. 이 문항의 정답은 ‘항목별로 같은 점과 다른 점을 확인해야 한다’입니다. 안용복의 1696년 활동은 조선의 기록과 일본 오키섬의 조사 기록을 함께 대조하며 살펴볼 수 있어요.</ns0:t>
        </ns0:is>
      </ns0:c>
      <ns0:c r="L137" s="8" t="inlineStr">
        <ns0:is>
          <ns0:t>안용복의 1696년 활동은 조선의 기록과 일본 오키섬의 조사 기록을 함께 대조하며 살펴볼 수 있어요.</ns0:t>
        </ns0:is>
      </ns0:c>
      <ns0:c r="M137" s="8" t="inlineStr">
        <ns0:is>
          <ns0:t>고른 보기 ‘두 개라는 수만으로 일치가 증명된다’와 달라요. 이 문항의 정답은 ‘항목별로 같은 점과 다른 점을 확인해야 한다’입니다. 안용복의 1696년 활동은 조선의 기록과 일본 오키섬의 조사 기록을 함께 대조하며 살펴볼 수 있어요.</ns0:t>
        </ns0:is>
      </ns0:c>
      <ns0:c r="N137" s="8" t="inlineStr">
        <ns0:is>
          <ns0:t>외교부 설명은 『숙종실록』의 진술 기록과 1696년 오키섬 조사 기록을 함께 소개합니다. 자료가 어디에서, 어떤 목적으로 작성되었는지도 확인해야 합니다.</ns0:t>
        </ns0:is>
      </ns0:c>
      <ns0:c r="O137" s="8" t="inlineStr">
        <ns0:is>
          <ns0:t>https://dokdo.mofa.go.kr/kor/include/print_faq.jsp?class_faq=q5</ns0:t>
        </ns0:is>
      </ns0:c>
      <ns0:c r="P137" s="5">
        <ns0:f>LEN(E137)+MAX(LEN(F137),LEN(G137),LEN(H137))</ns0:f>
        <ns0:v>50</ns0:v>
      </ns0:c>
      <ns0:c r="Q137" s="9" t="inlineStr">
        <ns0:is>
          <ns0:t>출처 기반 자체 검토 / 독립 승인 전</ns0:t>
        </ns0:is>
      </ns0:c>
    </ns0:row>
    <ns0:row r="138" ht="98" customHeight="1">
      <ns0:c r="A138" s="2" t="n">
        <ns0:v>910137</ns0:v>
      </ns0:c>
      <ns0:c r="B138" s="2" t="n">
        <ns0:v>7</ns0:v>
      </ns0:c>
      <ns0:c r="C138" s="2" t="inlineStr">
        <ns0:is>
          <ns0:t>dk-an-chronology</ns0:t>
        </ns0:is>
      </ns0:c>
      <ns0:c r="D138" s="2" t="n">
        <ns0:v>1</ns0:v>
      </ns0:c>
      <ns0:c r="E138" s="6" t="inlineStr">
        <ns0:is>
          <ns0:t>‘도해’는 어떤 뜻일까요?</ns0:t>
        </ns0:is>
      </ns0:c>
      <ns0:c r="F138" s="6" t="inlineStr">
        <ns0:is>
          <ns0:t>바다를 건너감</ns0:t>
        </ns0:is>
      </ns0:c>
      <ns0:c r="G138" s="6" t="inlineStr">
        <ns0:is>
          <ns0:t>산의 높이를 잼</ns0:t>
        </ns0:is>
      </ns0:c>
      <ns0:c r="H138" s="6" t="inlineStr">
        <ns0:is>
          <ns0:t>섬의 이름을 지움</ns0:t>
        </ns0:is>
      </ns0:c>
      <ns0:c r="I138" s="6" t="n">
        <ns0:v>1</ns0:v>
      </ns0:c>
      <ns0:c r="J138" s="6" t="inlineStr">
        <ns0:is>
          <ns0:t>1696년에는 1월 울릉도 도해금지령, 5월 안용복의 일본 도해가 연표에 나와요. 같은 해에도 사건의 순서를 살펴봐야 해요.</ns0:t>
        </ns0:is>
      </ns0:c>
      <ns0:c r="K138" s="6" t="inlineStr">
        <ns0:is>
          <ns0:t>1696년에는 1월 울릉도 도해금지령, 5월 안용복의 일본 도해가 연표에 나와요. 같은 해에도 사건의 순서를 살펴봐야 해요.</ns0:t>
        </ns0:is>
      </ns0:c>
      <ns0:c r="L138" s="6" t="inlineStr">
        <ns0:is>
          <ns0:t>고른 보기 ‘산의 높이를 잼’와 달라요. 이 문항의 정답은 ‘바다를 건너감’입니다. 1696년에는 1월 울릉도 도해금지령, 5월 안용복의 일본 도해가 연표에 나와요. 같은 해에도 사건의 순서를 살펴봐야 해요.</ns0:t>
        </ns0:is>
      </ns0:c>
      <ns0:c r="M138" s="6" t="inlineStr">
        <ns0:is>
          <ns0:t>고른 보기 ‘섬의 이름을 지움’와 달라요. 이 문항의 정답은 ‘바다를 건너감’입니다. 1696년에는 1월 울릉도 도해금지령, 5월 안용복의 일본 도해가 연표에 나와요. 같은 해에도 사건의 순서를 살펴봐야 해요.</ns0:t>
        </ns0:is>
      </ns0:c>
      <ns0:c r="N138" s="6" t="inlineStr"/>
      <ns0:c r="O138" s="6" t="inlineStr">
        <ns0:is>
          <ns0:t>https://dokdo.mofa.go.kr/m/kor/dokdo/reason_list.jsp</ns0:t>
        </ns0:is>
      </ns0:c>
      <ns0:c r="P138" s="3">
        <ns0:f>LEN(E138)+MAX(LEN(F138),LEN(G138),LEN(H138))</ns0:f>
        <ns0:v>23</ns0:v>
      </ns0:c>
      <ns0:c r="Q138" s="7" t="inlineStr">
        <ns0:is>
          <ns0:t>출처 기반 자체 검토 / 독립 승인 전</ns0:t>
        </ns0:is>
      </ns0:c>
    </ns0:row>
    <ns0:row r="139" ht="98" customHeight="1">
      <ns0:c r="A139" s="4" t="n">
        <ns0:v>910138</ns0:v>
      </ns0:c>
      <ns0:c r="B139" s="4" t="n">
        <ns0:v>7</ns0:v>
      </ns0:c>
      <ns0:c r="C139" s="4" t="inlineStr">
        <ns0:is>
          <ns0:t>dk-an-chronology</ns0:t>
        </ns0:is>
      </ns0:c>
      <ns0:c r="D139" s="4" t="n">
        <ns0:v>2</ns0:v>
      </ns0:c>
      <ns0:c r="E139" s="8" t="inlineStr">
        <ns0:is>
          <ns0:t>같은 해 1월과 5월 중 먼저인 것은?</ns0:t>
        </ns0:is>
      </ns0:c>
      <ns0:c r="F139" s="8" t="inlineStr">
        <ns0:is>
          <ns0:t>5월의 도해</ns0:t>
        </ns0:is>
      </ns0:c>
      <ns0:c r="G139" s="8" t="inlineStr">
        <ns0:is>
          <ns0:t>두 사건은 같은 날</ns0:t>
        </ns0:is>
      </ns0:c>
      <ns0:c r="H139" s="8" t="inlineStr">
        <ns0:is>
          <ns0:t>1월의 금지령</ns0:t>
        </ns0:is>
      </ns0:c>
      <ns0:c r="I139" s="8" t="n">
        <ns0:v>3</ns0:v>
      </ns0:c>
      <ns0:c r="J139" s="8" t="inlineStr">
        <ns0:is>
          <ns0:t>1696년에는 1월 울릉도 도해금지령, 5월 안용복의 일본 도해가 연표에 나와요. 같은 해에도 사건의 순서를 살펴봐야 해요.</ns0:t>
        </ns0:is>
      </ns0:c>
      <ns0:c r="K139" s="8" t="inlineStr">
        <ns0:is>
          <ns0:t>고른 보기 ‘5월의 도해’와 달라요. 이 문항의 정답은 ‘1월의 금지령’입니다. 1696년에는 1월 울릉도 도해금지령, 5월 안용복의 일본 도해가 연표에 나와요. 같은 해에도 사건의 순서를 살펴봐야 해요.</ns0:t>
        </ns0:is>
      </ns0:c>
      <ns0:c r="L139" s="8" t="inlineStr">
        <ns0:is>
          <ns0:t>고른 보기 ‘두 사건은 같은 날’와 달라요. 이 문항의 정답은 ‘1월의 금지령’입니다. 1696년에는 1월 울릉도 도해금지령, 5월 안용복의 일본 도해가 연표에 나와요. 같은 해에도 사건의 순서를 살펴봐야 해요.</ns0:t>
        </ns0:is>
      </ns0:c>
      <ns0:c r="M139" s="8" t="inlineStr">
        <ns0:is>
          <ns0:t>1696년에는 1월 울릉도 도해금지령, 5월 안용복의 일본 도해가 연표에 나와요. 같은 해에도 사건의 순서를 살펴봐야 해요.</ns0:t>
        </ns0:is>
      </ns0:c>
      <ns0:c r="N139" s="8" t="inlineStr"/>
      <ns0:c r="O139" s="8" t="inlineStr">
        <ns0:is>
          <ns0:t>https://dokdo.mofa.go.kr/m/kor/dokdo/reason_list.jsp</ns0:t>
        </ns0:is>
      </ns0:c>
      <ns0:c r="P139" s="5">
        <ns0:f>LEN(E139)+MAX(LEN(F139),LEN(G139),LEN(H139))</ns0:f>
        <ns0:v>31</ns0:v>
      </ns0:c>
      <ns0:c r="Q139" s="9" t="inlineStr">
        <ns0:is>
          <ns0:t>출처 기반 자체 검토 / 독립 승인 전</ns0:t>
        </ns0:is>
      </ns0:c>
    </ns0:row>
    <ns0:row r="140" ht="98" customHeight="1">
      <ns0:c r="A140" s="2" t="n">
        <ns0:v>910139</ns0:v>
      </ns0:c>
      <ns0:c r="B140" s="2" t="n">
        <ns0:v>7</ns0:v>
      </ns0:c>
      <ns0:c r="C140" s="2" t="inlineStr">
        <ns0:is>
          <ns0:t>dk-an-chronology</ns0:t>
        </ns0:is>
      </ns0:c>
      <ns0:c r="D140" s="2" t="n">
        <ns0:v>3</ns0:v>
      </ns0:c>
      <ns0:c r="E140" s="6" t="inlineStr">
        <ns0:is>
          <ns0:t>자료가 뒷받침하는 순서는?</ns0:t>
        </ns0:is>
      </ns0:c>
      <ns0:c r="F140" s="6" t="inlineStr">
        <ns0:is>
          <ns0:t>두 사건은 서로 다른 세기다</ns0:t>
        </ns0:is>
      </ns0:c>
      <ns0:c r="G140" s="6" t="inlineStr">
        <ns0:is>
          <ns0:t>금지령이 5월 도해보다 먼저다</ns0:t>
        </ns0:is>
      </ns0:c>
      <ns0:c r="H140" s="6" t="inlineStr">
        <ns0:is>
          <ns0:t>5월 도해가 1월 금지령보다 먼저다</ns0:t>
        </ns0:is>
      </ns0:c>
      <ns0:c r="I140" s="6" t="n">
        <ns0:v>2</ns0:v>
      </ns0:c>
      <ns0:c r="J140" s="6" t="inlineStr">
        <ns0:is>
          <ns0:t>1696년에는 1월 울릉도 도해금지령, 5월 안용복의 일본 도해가 연표에 나와요. 같은 해에도 사건의 순서를 살펴봐야 해요.</ns0:t>
        </ns0:is>
      </ns0:c>
      <ns0:c r="K140" s="6" t="inlineStr">
        <ns0:is>
          <ns0:t>고른 보기 ‘두 사건은 서로 다른 세기다’와 달라요. 이 문항의 정답은 ‘금지령이 5월 도해보다 먼저다’입니다. 1696년에는 1월 울릉도 도해금지령, 5월 안용복의 일본 도해가 연표에 나와요. 같은 해에도 사건의 순서를 살펴봐야 해요.</ns0:t>
        </ns0:is>
      </ns0:c>
      <ns0:c r="L140" s="6" t="inlineStr">
        <ns0:is>
          <ns0:t>1696년에는 1월 울릉도 도해금지령, 5월 안용복의 일본 도해가 연표에 나와요. 같은 해에도 사건의 순서를 살펴봐야 해요.</ns0:t>
        </ns0:is>
      </ns0:c>
      <ns0:c r="M140" s="6" t="inlineStr">
        <ns0:is>
          <ns0:t>고른 보기 ‘5월 도해가 1월 금지령보다 먼저다’와 달라요. 이 문항의 정답은 ‘금지령이 5월 도해보다 먼저다’입니다. 1696년에는 1월 울릉도 도해금지령, 5월 안용복의 일본 도해가 연표에 나와요. 같은 해에도 사건의 순서를 살펴봐야 해요.</ns0:t>
        </ns0:is>
      </ns0:c>
      <ns0:c r="N140" s="6" t="inlineStr">
        <ns0:is>
          <ns0:t>외교부 연표: 1696년 1월 다케시마(당시 울릉도) 도해금지령 / 1696년 5월 안용복 일본 도해. ‘도해’는 바다를 건너간다는 뜻입니다.</ns0:t>
        </ns0:is>
      </ns0:c>
      <ns0:c r="O140" s="6" t="inlineStr">
        <ns0:is>
          <ns0:t>https://dokdo.mofa.go.kr/m/kor/dokdo/reason_list.jsp</ns0:t>
        </ns0:is>
      </ns0:c>
      <ns0:c r="P140" s="3">
        <ns0:f>LEN(E140)+MAX(LEN(F140),LEN(G140),LEN(H140))</ns0:f>
        <ns0:v>33</ns0:v>
      </ns0:c>
      <ns0:c r="Q140" s="7" t="inlineStr">
        <ns0:is>
          <ns0:t>출처 기반 자체 검토 / 독립 승인 전</ns0:t>
        </ns0:is>
      </ns0:c>
    </ns0:row>
    <ns0:row r="141" ht="98" customHeight="1">
      <ns0:c r="A141" s="4" t="n">
        <ns0:v>910140</ns0:v>
      </ns0:c>
      <ns0:c r="B141" s="4" t="n">
        <ns0:v>7</ns0:v>
      </ns0:c>
      <ns0:c r="C141" s="4" t="inlineStr">
        <ns0:is>
          <ns0:t>dk-an-chronology</ns0:t>
        </ns0:is>
      </ns0:c>
      <ns0:c r="D141" s="4" t="n">
        <ns0:v>4</ns0:v>
      </ns0:c>
      <ns0:c r="E141" s="8" t="inlineStr">
        <ns0:is>
          <ns0:t>‘5월 도해 때문에 그해 1월 금지령이 나왔다’는 말은?</ns0:t>
        </ns0:is>
      </ns0:c>
      <ns0:c r="F141" s="8" t="inlineStr">
        <ns0:is>
          <ns0:t>제시된 시간 순서와 맞지 않는다</ns0:t>
        </ns0:is>
      </ns0:c>
      <ns0:c r="G141" s="8" t="inlineStr">
        <ns0:is>
          <ns0:t>같은 해이므로 앞뒤는 중요하지 않다</ns0:t>
        </ns0:is>
      </ns0:c>
      <ns0:c r="H141" s="8" t="inlineStr">
        <ns0:is>
          <ns0:t>인물이 같으면 날짜를 바꿔도 된다</ns0:t>
        </ns0:is>
      </ns0:c>
      <ns0:c r="I141" s="8" t="n">
        <ns0:v>1</ns0:v>
      </ns0:c>
      <ns0:c r="J141" s="8" t="inlineStr">
        <ns0:is>
          <ns0:t>1696년에는 1월 울릉도 도해금지령, 5월 안용복의 일본 도해가 연표에 나와요. 같은 해에도 사건의 순서를 살펴봐야 해요.</ns0:t>
        </ns0:is>
      </ns0:c>
      <ns0:c r="K141" s="8" t="inlineStr">
        <ns0:is>
          <ns0:t>1696년에는 1월 울릉도 도해금지령, 5월 안용복의 일본 도해가 연표에 나와요. 같은 해에도 사건의 순서를 살펴봐야 해요.</ns0:t>
        </ns0:is>
      </ns0:c>
      <ns0:c r="L141" s="8" t="inlineStr">
        <ns0:is>
          <ns0:t>고른 보기 ‘같은 해이므로 앞뒤는 중요하지 않다’와 달라요. 이 문항의 정답은 ‘제시된 시간 순서와 맞지 않는다’입니다. 1696년에는 1월 울릉도 도해금지령, 5월 안용복의 일본 도해가 연표에 나와요. 같은 해에도 사건의 순서를 살펴봐야 해요.</ns0:t>
        </ns0:is>
      </ns0:c>
      <ns0:c r="M141" s="8" t="inlineStr">
        <ns0:is>
          <ns0:t>고른 보기 ‘인물이 같으면 날짜를 바꿔도 된다’와 달라요. 이 문항의 정답은 ‘제시된 시간 순서와 맞지 않는다’입니다. 1696년에는 1월 울릉도 도해금지령, 5월 안용복의 일본 도해가 연표에 나와요. 같은 해에도 사건의 순서를 살펴봐야 해요.</ns0:t>
        </ns0:is>
      </ns0:c>
      <ns0:c r="N141" s="8" t="inlineStr">
        <ns0:is>
          <ns0:t>외교부 연표: 1696년 1월 다케시마(당시 울릉도) 도해금지령 / 1696년 5월 안용복 일본 도해. ‘도해’는 바다를 건너간다는 뜻입니다.</ns0:t>
        </ns0:is>
      </ns0:c>
      <ns0:c r="O141" s="8" t="inlineStr">
        <ns0:is>
          <ns0:t>https://dokdo.mofa.go.kr/m/kor/dokdo/reason_list.jsp</ns0:t>
        </ns0:is>
      </ns0:c>
      <ns0:c r="P141" s="5">
        <ns0:f>LEN(E141)+MAX(LEN(F141),LEN(G141),LEN(H141))</ns0:f>
        <ns0:v>50</ns0:v>
      </ns0:c>
      <ns0:c r="Q141" s="9" t="inlineStr">
        <ns0:is>
          <ns0:t>출처 기반 자체 검토 / 독립 승인 전</ns0:t>
        </ns0:is>
      </ns0:c>
    </ns0:row>
    <ns0:row r="142" ht="98" customHeight="1">
      <ns0:c r="A142" s="2" t="n">
        <ns0:v>910141</ns0:v>
      </ns0:c>
      <ns0:c r="B142" s="2" t="n">
        <ns0:v>8</ns0:v>
      </ns0:c>
      <ns0:c r="C142" s="2" t="inlineStr">
        <ns0:is>
          <ns0:t>dk-decree-name</ns0:t>
        </ns0:is>
      </ns0:c>
      <ns0:c r="D142" s="2" t="n">
        <ns0:v>1</ns0:v>
      </ns0:c>
      <ns0:c r="E142" s="6" t="inlineStr">
        <ns0:is>
          <ns0:t>칙령 제41호가 정한 새 이름은?</ns0:t>
        </ns0:is>
      </ns0:c>
      <ns0:c r="F142" s="6" t="inlineStr">
        <ns0:is>
          <ns0:t>제주</ns0:t>
        </ns0:is>
      </ns0:c>
      <ns0:c r="G142" s="6" t="inlineStr">
        <ns0:is>
          <ns0:t>강화</ns0:t>
        </ns0:is>
      </ns0:c>
      <ns0:c r="H142" s="6" t="inlineStr">
        <ns0:is>
          <ns0:t>울도</ns0:t>
        </ns0:is>
      </ns0:c>
      <ns0:c r="I142" s="6" t="n">
        <ns0:v>3</ns0:v>
      </ns0:c>
      <ns0:c r="J142" s="6" t="inlineStr">
        <ns0:is>
          <ns0:t>대한제국 칙령 제41호는 1900년에 울릉도를 울도로 이름 바꾸고 행정 체계를 정한 문서예요.</ns0:t>
        </ns0:is>
      </ns0:c>
      <ns0:c r="K142" s="6" t="inlineStr">
        <ns0:is>
          <ns0:t>고른 보기 ‘제주’와 달라요. 이 문항의 정답은 ‘울도’입니다. 대한제국 칙령 제41호는 1900년에 울릉도를 울도로 이름 바꾸고 행정 체계를 정한 문서예요.</ns0:t>
        </ns0:is>
      </ns0:c>
      <ns0:c r="L142" s="6" t="inlineStr">
        <ns0:is>
          <ns0:t>고른 보기 ‘강화’와 달라요. 이 문항의 정답은 ‘울도’입니다. 대한제국 칙령 제41호는 1900년에 울릉도를 울도로 이름 바꾸고 행정 체계를 정한 문서예요.</ns0:t>
        </ns0:is>
      </ns0:c>
      <ns0:c r="M142" s="6" t="inlineStr">
        <ns0:is>
          <ns0:t>대한제국 칙령 제41호는 1900년에 울릉도를 울도로 이름 바꾸고 행정 체계를 정한 문서예요.</ns0:t>
        </ns0:is>
      </ns0:c>
      <ns0:c r="N142" s="6" t="inlineStr"/>
      <ns0:c r="O142" s="6" t="inlineStr">
        <ns0:is>
          <ns0:t>https://dokdo.mofa.go.kr/kor/pds/part02_view02.jsp</ns0:t>
        </ns0:is>
      </ns0:c>
      <ns0:c r="P142" s="3">
        <ns0:f>LEN(E142)+MAX(LEN(F142),LEN(G142),LEN(H142))</ns0:f>
        <ns0:v>20</ns0:v>
      </ns0:c>
      <ns0:c r="Q142" s="7" t="inlineStr">
        <ns0:is>
          <ns0:t>출처 기반 자체 검토 / 독립 승인 전</ns0:t>
        </ns0:is>
      </ns0:c>
    </ns0:row>
    <ns0:row r="143" ht="98" customHeight="1">
      <ns0:c r="A143" s="4" t="n">
        <ns0:v>910142</ns0:v>
      </ns0:c>
      <ns0:c r="B143" s="4" t="n">
        <ns0:v>8</ns0:v>
      </ns0:c>
      <ns0:c r="C143" s="4" t="inlineStr">
        <ns0:is>
          <ns0:t>dk-decree-name</ns0:t>
        </ns0:is>
      </ns0:c>
      <ns0:c r="D143" s="4" t="n">
        <ns0:v>2</ns0:v>
      </ns0:c>
      <ns0:c r="E143" s="8" t="inlineStr">
        <ns0:is>
          <ns0:t>‘울릉도를 울도로 개칭’의 뜻은?</ns0:t>
        </ns0:is>
      </ns0:c>
      <ns0:c r="F143" s="8" t="inlineStr">
        <ns0:is>
          <ns0:t>섬의 바위를 모두 없앰</ns0:t>
        </ns0:is>
      </ns0:c>
      <ns0:c r="G143" s="8" t="inlineStr">
        <ns0:is>
          <ns0:t>행정상 이름을 바꿈</ns0:t>
        </ns0:is>
      </ns0:c>
      <ns0:c r="H143" s="8" t="inlineStr">
        <ns0:is>
          <ns0:t>섬을 다른 바다로 옮김</ns0:t>
        </ns0:is>
      </ns0:c>
      <ns0:c r="I143" s="8" t="n">
        <ns0:v>2</ns0:v>
      </ns0:c>
      <ns0:c r="J143" s="8" t="inlineStr">
        <ns0:is>
          <ns0:t>대한제국 칙령 제41호는 1900년에 울릉도를 울도로 이름 바꾸고 행정 체계를 정한 문서예요.</ns0:t>
        </ns0:is>
      </ns0:c>
      <ns0:c r="K143" s="8" t="inlineStr">
        <ns0:is>
          <ns0:t>고른 보기 ‘섬의 바위를 모두 없앰’와 달라요. 이 문항의 정답은 ‘행정상 이름을 바꿈’입니다. 대한제국 칙령 제41호는 1900년에 울릉도를 울도로 이름 바꾸고 행정 체계를 정한 문서예요.</ns0:t>
        </ns0:is>
      </ns0:c>
      <ns0:c r="L143" s="8" t="inlineStr">
        <ns0:is>
          <ns0:t>대한제국 칙령 제41호는 1900년에 울릉도를 울도로 이름 바꾸고 행정 체계를 정한 문서예요.</ns0:t>
        </ns0:is>
      </ns0:c>
      <ns0:c r="M143" s="8" t="inlineStr">
        <ns0:is>
          <ns0:t>고른 보기 ‘섬을 다른 바다로 옮김’와 달라요. 이 문항의 정답은 ‘행정상 이름을 바꿈’입니다. 대한제국 칙령 제41호는 1900년에 울릉도를 울도로 이름 바꾸고 행정 체계를 정한 문서예요.</ns0:t>
        </ns0:is>
      </ns0:c>
      <ns0:c r="N143" s="8" t="inlineStr"/>
      <ns0:c r="O143" s="8" t="inlineStr">
        <ns0:is>
          <ns0:t>https://dokdo.mofa.go.kr/kor/pds/part02_view02.jsp</ns0:t>
        </ns0:is>
      </ns0:c>
      <ns0:c r="P143" s="5">
        <ns0:f>LEN(E143)+MAX(LEN(F143),LEN(G143),LEN(H143))</ns0:f>
        <ns0:v>30</ns0:v>
      </ns0:c>
      <ns0:c r="Q143" s="9" t="inlineStr">
        <ns0:is>
          <ns0:t>출처 기반 자체 검토 / 독립 승인 전</ns0:t>
        </ns0:is>
      </ns0:c>
    </ns0:row>
    <ns0:row r="144" ht="98" customHeight="1">
      <ns0:c r="A144" s="2" t="n">
        <ns0:v>910143</ns0:v>
      </ns0:c>
      <ns0:c r="B144" s="2" t="n">
        <ns0:v>8</ns0:v>
      </ns0:c>
      <ns0:c r="C144" s="2" t="inlineStr">
        <ns0:is>
          <ns0:t>dk-decree-name</ns0:t>
        </ns0:is>
      </ns0:c>
      <ns0:c r="D144" s="2" t="n">
        <ns0:v>3</ns0:v>
      </ns0:c>
      <ns0:c r="E144" s="6" t="inlineStr">
        <ns0:is>
          <ns0:t>제1조에서 확인되는 조치는?</ns0:t>
        </ns0:is>
      </ns0:c>
      <ns0:c r="F144" s="6" t="inlineStr">
        <ns0:is>
          <ns0:t>울도라는 이름과 강원도 소속을 정함</ns0:t>
        </ns0:is>
      </ns0:c>
      <ns0:c r="G144" s="6" t="inlineStr">
        <ns0:is>
          <ns0:t>울도라는 이름과 경상북도 소속을 정함</ns0:t>
        </ns0:is>
      </ns0:c>
      <ns0:c r="H144" s="6" t="inlineStr">
        <ns0:is>
          <ns0:t>울릉도라는 이름을 유지하고 군을 폐지함</ns0:t>
        </ns0:is>
      </ns0:c>
      <ns0:c r="I144" s="6" t="n">
        <ns0:v>1</ns0:v>
      </ns0:c>
      <ns0:c r="J144" s="6" t="inlineStr">
        <ns0:is>
          <ns0:t>대한제국 칙령 제41호는 1900년에 울릉도를 울도로 이름 바꾸고 행정 체계를 정한 문서예요.</ns0:t>
        </ns0:is>
      </ns0:c>
      <ns0:c r="K144" s="6" t="inlineStr">
        <ns0:is>
          <ns0:t>대한제국 칙령 제41호는 1900년에 울릉도를 울도로 이름 바꾸고 행정 체계를 정한 문서예요.</ns0:t>
        </ns0:is>
      </ns0:c>
      <ns0:c r="L144" s="6" t="inlineStr">
        <ns0:is>
          <ns0:t>고른 보기 ‘울도라는 이름과 경상북도 소속을 정함’와 달라요. 이 문항의 정답은 ‘울도라는 이름과 강원도 소속을 정함’입니다. 대한제국 칙령 제41호는 1900년에 울릉도를 울도로 이름 바꾸고 행정 체계를 정한 문서예요.</ns0:t>
        </ns0:is>
      </ns0:c>
      <ns0:c r="M144" s="6" t="inlineStr">
        <ns0:is>
          <ns0:t>고른 보기 ‘울릉도라는 이름을 유지하고 군을 폐지함’와 달라요. 이 문항의 정답은 ‘울도라는 이름과 강원도 소속을 정함’입니다. 대한제국 칙령 제41호는 1900년에 울릉도를 울도로 이름 바꾸고 행정 체계를 정한 문서예요.</ns0:t>
        </ns0:is>
      </ns0:c>
      <ns0:c r="N144" s="6" t="inlineStr">
        <ns0:is>
          <ns0:t>칙령 제41호 제1조의 뜻을 풀면 ‘울릉도를 울도로 개칭하고 강원도에 부속한다’입니다. 개칭은 이름을 바꾸는 일입니다.</ns0:t>
        </ns0:is>
      </ns0:c>
      <ns0:c r="O144" s="6" t="inlineStr">
        <ns0:is>
          <ns0:t>https://dokdo.mofa.go.kr/kor/pds/part02_view02.jsp</ns0:t>
        </ns0:is>
      </ns0:c>
      <ns0:c r="P144" s="3">
        <ns0:f>LEN(E144)+MAX(LEN(F144),LEN(G144),LEN(H144))</ns0:f>
        <ns0:v>36</ns0:v>
      </ns0:c>
      <ns0:c r="Q144" s="7" t="inlineStr">
        <ns0:is>
          <ns0:t>출처 기반 자체 검토 / 독립 승인 전</ns0:t>
        </ns0:is>
      </ns0:c>
    </ns0:row>
    <ns0:row r="145" ht="98" customHeight="1">
      <ns0:c r="A145" s="4" t="n">
        <ns0:v>910144</ns0:v>
      </ns0:c>
      <ns0:c r="B145" s="4" t="n">
        <ns0:v>8</ns0:v>
      </ns0:c>
      <ns0:c r="C145" s="4" t="inlineStr">
        <ns0:is>
          <ns0:t>dk-decree-name</ns0:t>
        </ns0:is>
      </ns0:c>
      <ns0:c r="D145" s="4" t="n">
        <ns0:v>4</ns0:v>
      </ns0:c>
      <ns0:c r="E145" s="8" t="inlineStr">
        <ns0:is>
          <ns0:t>‘이름만 바뀌니 행정 내용은 없다’는 평가는?</ns0:t>
        </ns0:is>
      </ns0:c>
      <ns0:c r="F145" s="8" t="inlineStr">
        <ns0:is>
          <ns0:t>개칭이라는 말이 있으면 다른 조항은 무효다</ns0:t>
        </ns0:is>
      </ns0:c>
      <ns0:c r="G145" s="8" t="inlineStr">
        <ns0:is>
          <ns0:t>행정 문서는 시설 사진으로만 판단한다</ns0:t>
        </ns0:is>
      </ns0:c>
      <ns0:c r="H145" s="8" t="inlineStr">
        <ns0:is>
          <ns0:t>소속과 관직을 정한 조항도 확인해야 한다</ns0:t>
        </ns0:is>
      </ns0:c>
      <ns0:c r="I145" s="8" t="n">
        <ns0:v>3</ns0:v>
      </ns0:c>
      <ns0:c r="J145" s="8" t="inlineStr">
        <ns0:is>
          <ns0:t>대한제국 칙령 제41호는 1900년에 울릉도를 울도로 이름 바꾸고 행정 체계를 정한 문서예요.</ns0:t>
        </ns0:is>
      </ns0:c>
      <ns0:c r="K145" s="8" t="inlineStr">
        <ns0:is>
          <ns0:t>고른 보기 ‘개칭이라는 말이 있으면 다른 조항은 무효다’와 달라요. 이 문항의 정답은 ‘소속과 관직을 정한 조항도 확인해야 한다’입니다. 대한제국 칙령 제41호는 1900년에 울릉도를 울도로 이름 바꾸고 행정 체계를 정한 문서예요.</ns0:t>
        </ns0:is>
      </ns0:c>
      <ns0:c r="L145" s="8" t="inlineStr">
        <ns0:is>
          <ns0:t>고른 보기 ‘행정 문서는 시설 사진으로만 판단한다’와 달라요. 이 문항의 정답은 ‘소속과 관직을 정한 조항도 확인해야 한다’입니다. 대한제국 칙령 제41호는 1900년에 울릉도를 울도로 이름 바꾸고 행정 체계를 정한 문서예요.</ns0:t>
        </ns0:is>
      </ns0:c>
      <ns0:c r="M145" s="8" t="inlineStr">
        <ns0:is>
          <ns0:t>대한제국 칙령 제41호는 1900년에 울릉도를 울도로 이름 바꾸고 행정 체계를 정한 문서예요.</ns0:t>
        </ns0:is>
      </ns0:c>
      <ns0:c r="N145" s="8" t="inlineStr">
        <ns0:is>
          <ns0:t>칙령 제41호 제1조의 뜻을 풀면 ‘울릉도를 울도로 개칭하고 강원도에 부속한다’입니다. 개칭은 이름을 바꾸는 일입니다.</ns0:t>
        </ns0:is>
      </ns0:c>
      <ns0:c r="O145" s="8" t="inlineStr">
        <ns0:is>
          <ns0:t>https://dokdo.mofa.go.kr/kor/pds/part02_view02.jsp</ns0:t>
        </ns0:is>
      </ns0:c>
      <ns0:c r="P145" s="5">
        <ns0:f>LEN(E145)+MAX(LEN(F145),LEN(G145),LEN(H145))</ns0:f>
        <ns0:v>48</ns0:v>
      </ns0:c>
      <ns0:c r="Q145" s="9" t="inlineStr">
        <ns0:is>
          <ns0:t>출처 기반 자체 검토 / 독립 승인 전</ns0:t>
        </ns0:is>
      </ns0:c>
    </ns0:row>
    <ns0:row r="146" ht="98" customHeight="1">
      <ns0:c r="A146" s="2" t="n">
        <ns0:v>910145</ns0:v>
      </ns0:c>
      <ns0:c r="B146" s="2" t="n">
        <ns0:v>8</ns0:v>
      </ns0:c>
      <ns0:c r="C146" s="2" t="inlineStr">
        <ns0:is>
          <ns0:t>dk-county-head</ns0:t>
        </ns0:is>
      </ns0:c>
      <ns0:c r="D146" s="2" t="n">
        <ns0:v>1</ns0:v>
      </ns0:c>
      <ns0:c r="E146" s="6" t="inlineStr">
        <ns0:is>
          <ns0:t>칙령에서 도감을 대신하도록 한 관직은?</ns0:t>
        </ns0:is>
      </ns0:c>
      <ns0:c r="F146" s="6" t="inlineStr">
        <ns0:is>
          <ns0:t>선장</ns0:t>
        </ns0:is>
      </ns0:c>
      <ns0:c r="G146" s="6" t="inlineStr">
        <ns0:is>
          <ns0:t>군수</ns0:t>
        </ns0:is>
      </ns0:c>
      <ns0:c r="H146" s="6" t="inlineStr">
        <ns0:is>
          <ns0:t>등대관리원</ns0:t>
        </ns0:is>
      </ns0:c>
      <ns0:c r="I146" s="6" t="n">
        <ns0:v>2</ns0:v>
      </ns0:c>
      <ns0:c r="J146" s="6" t="inlineStr">
        <ns0:is>
          <ns0:t>칙령 제41호는 도감을 군수로 바꾸도록 했어요. 군수는 군의 행정을 맡는 관리예요.</ns0:t>
        </ns0:is>
      </ns0:c>
      <ns0:c r="K146" s="6" t="inlineStr">
        <ns0:is>
          <ns0:t>고른 보기 ‘선장’와 달라요. 이 문항의 정답은 ‘군수’입니다. 칙령 제41호는 도감을 군수로 바꾸도록 했어요. 군수는 군의 행정을 맡는 관리예요.</ns0:t>
        </ns0:is>
      </ns0:c>
      <ns0:c r="L146" s="6" t="inlineStr">
        <ns0:is>
          <ns0:t>칙령 제41호는 도감을 군수로 바꾸도록 했어요. 군수는 군의 행정을 맡는 관리예요.</ns0:t>
        </ns0:is>
      </ns0:c>
      <ns0:c r="M146" s="6" t="inlineStr">
        <ns0:is>
          <ns0:t>고른 보기 ‘등대관리원’와 달라요. 이 문항의 정답은 ‘군수’입니다. 칙령 제41호는 도감을 군수로 바꾸도록 했어요. 군수는 군의 행정을 맡는 관리예요.</ns0:t>
        </ns0:is>
      </ns0:c>
      <ns0:c r="N146" s="6" t="inlineStr"/>
      <ns0:c r="O146" s="6" t="inlineStr">
        <ns0:is>
          <ns0:t>https://dokdo.mofa.go.kr/kor/pds/part02_view02.jsp</ns0:t>
        </ns0:is>
      </ns0:c>
      <ns0:c r="P146" s="3">
        <ns0:f>LEN(E146)+MAX(LEN(F146),LEN(G146),LEN(H146))</ns0:f>
        <ns0:v>26</ns0:v>
      </ns0:c>
      <ns0:c r="Q146" s="7" t="inlineStr">
        <ns0:is>
          <ns0:t>출처 기반 자체 검토 / 독립 승인 전</ns0:t>
        </ns0:is>
      </ns0:c>
    </ns0:row>
    <ns0:row r="147" ht="98" customHeight="1">
      <ns0:c r="A147" s="4" t="n">
        <ns0:v>910146</ns0:v>
      </ns0:c>
      <ns0:c r="B147" s="4" t="n">
        <ns0:v>8</ns0:v>
      </ns0:c>
      <ns0:c r="C147" s="4" t="inlineStr">
        <ns0:is>
          <ns0:t>dk-county-head</ns0:t>
        </ns0:is>
      </ns0:c>
      <ns0:c r="D147" s="4" t="n">
        <ns0:v>2</ns0:v>
      </ns0:c>
      <ns0:c r="E147" s="8" t="inlineStr">
        <ns0:is>
          <ns0:t>군수와 연결되는 일은?</ns0:t>
        </ns0:is>
      </ns0:c>
      <ns0:c r="F147" s="8" t="inlineStr">
        <ns0:is>
          <ns0:t>군의 행정 맡기</ns0:t>
        </ns0:is>
      </ns0:c>
      <ns0:c r="G147" s="8" t="inlineStr">
        <ns0:is>
          <ns0:t>선박 조종만 하기</ns0:t>
        </ns0:is>
      </ns0:c>
      <ns0:c r="H147" s="8" t="inlineStr">
        <ns0:is>
          <ns0:t>등대 불빛만 관리하기</ns0:t>
        </ns0:is>
      </ns0:c>
      <ns0:c r="I147" s="8" t="n">
        <ns0:v>1</ns0:v>
      </ns0:c>
      <ns0:c r="J147" s="8" t="inlineStr">
        <ns0:is>
          <ns0:t>칙령 제41호는 도감을 군수로 바꾸도록 했어요. 군수는 군의 행정을 맡는 관리예요.</ns0:t>
        </ns0:is>
      </ns0:c>
      <ns0:c r="K147" s="8" t="inlineStr">
        <ns0:is>
          <ns0:t>칙령 제41호는 도감을 군수로 바꾸도록 했어요. 군수는 군의 행정을 맡는 관리예요.</ns0:t>
        </ns0:is>
      </ns0:c>
      <ns0:c r="L147" s="8" t="inlineStr">
        <ns0:is>
          <ns0:t>고른 보기 ‘선박 조종만 하기’와 달라요. 이 문항의 정답은 ‘군의 행정 맡기’입니다. 칙령 제41호는 도감을 군수로 바꾸도록 했어요. 군수는 군의 행정을 맡는 관리예요.</ns0:t>
        </ns0:is>
      </ns0:c>
      <ns0:c r="M147" s="8" t="inlineStr">
        <ns0:is>
          <ns0:t>고른 보기 ‘등대 불빛만 관리하기’와 달라요. 이 문항의 정답은 ‘군의 행정 맡기’입니다. 칙령 제41호는 도감을 군수로 바꾸도록 했어요. 군수는 군의 행정을 맡는 관리예요.</ns0:t>
        </ns0:is>
      </ns0:c>
      <ns0:c r="N147" s="8" t="inlineStr"/>
      <ns0:c r="O147" s="8" t="inlineStr">
        <ns0:is>
          <ns0:t>https://dokdo.mofa.go.kr/kor/pds/part02_view02.jsp</ns0:t>
        </ns0:is>
      </ns0:c>
      <ns0:c r="P147" s="5">
        <ns0:f>LEN(E147)+MAX(LEN(F147),LEN(G147),LEN(H147))</ns0:f>
        <ns0:v>23</ns0:v>
      </ns0:c>
      <ns0:c r="Q147" s="9" t="inlineStr">
        <ns0:is>
          <ns0:t>출처 기반 자체 검토 / 독립 승인 전</ns0:t>
        </ns0:is>
      </ns0:c>
    </ns0:row>
    <ns0:row r="148" ht="98" customHeight="1">
      <ns0:c r="A148" s="2" t="n">
        <ns0:v>910147</ns0:v>
      </ns0:c>
      <ns0:c r="B148" s="2" t="n">
        <ns0:v>8</ns0:v>
      </ns0:c>
      <ns0:c r="C148" s="2" t="inlineStr">
        <ns0:is>
          <ns0:t>dk-county-head</ns0:t>
        </ns0:is>
      </ns0:c>
      <ns0:c r="D148" s="2" t="n">
        <ns0:v>3</ns0:v>
      </ns0:c>
      <ns0:c r="E148" s="6" t="inlineStr">
        <ns0:is>
          <ns0:t>자료에서 행정 체계 정비를 보여주는 부분은?</ns0:t>
        </ns0:is>
      </ns0:c>
      <ns0:c r="F148" s="6" t="inlineStr">
        <ns0:is>
          <ns0:t>군수를 도감으로 바꾸어 관직을 축소함</ns0:t>
        </ns0:is>
      </ns0:c>
      <ns0:c r="G148" s="6" t="inlineStr">
        <ns0:is>
          <ns0:t>군청을 없애고 관할 구역도 삭제함</ns0:t>
        </ns0:is>
      </ns0:c>
      <ns0:c r="H148" s="6" t="inlineStr">
        <ns0:is>
          <ns0:t>도감을 군수로 바꾸어 관제에 넣음</ns0:t>
        </ns0:is>
      </ns0:c>
      <ns0:c r="I148" s="6" t="n">
        <ns0:v>3</ns0:v>
      </ns0:c>
      <ns0:c r="J148" s="6" t="inlineStr">
        <ns0:is>
          <ns0:t>칙령 제41호는 도감을 군수로 바꾸도록 했어요. 군수는 군의 행정을 맡는 관리예요.</ns0:t>
        </ns0:is>
      </ns0:c>
      <ns0:c r="K148" s="6" t="inlineStr">
        <ns0:is>
          <ns0:t>고른 보기 ‘군수를 도감으로 바꾸어 관직을 축소함’와 달라요. 이 문항의 정답은 ‘도감을 군수로 바꾸어 관제에 넣음’입니다. 칙령 제41호는 도감을 군수로 바꾸도록 했어요. 군수는 군의 행정을 맡는 관리예요.</ns0:t>
        </ns0:is>
      </ns0:c>
      <ns0:c r="L148" s="6" t="inlineStr">
        <ns0:is>
          <ns0:t>고른 보기 ‘군청을 없애고 관할 구역도 삭제함’와 달라요. 이 문항의 정답은 ‘도감을 군수로 바꾸어 관제에 넣음’입니다. 칙령 제41호는 도감을 군수로 바꾸도록 했어요. 군수는 군의 행정을 맡는 관리예요.</ns0:t>
        </ns0:is>
      </ns0:c>
      <ns0:c r="M148" s="6" t="inlineStr">
        <ns0:is>
          <ns0:t>칙령 제41호는 도감을 군수로 바꾸도록 했어요. 군수는 군의 행정을 맡는 관리예요.</ns0:t>
        </ns0:is>
      </ns0:c>
      <ns0:c r="N148" s="6" t="inlineStr">
        <ns0:is>
          <ns0:t>제1조는 도감(島監)을 군수(郡守)로 개정하여 관제에 넣도록 규정합니다. 관제는 정부의 직책과 조직에 관한 체계입니다.</ns0:t>
        </ns0:is>
      </ns0:c>
      <ns0:c r="O148" s="6" t="inlineStr">
        <ns0:is>
          <ns0:t>https://dokdo.mofa.go.kr/kor/pds/part02_view02.jsp</ns0:t>
        </ns0:is>
      </ns0:c>
      <ns0:c r="P148" s="3">
        <ns0:f>LEN(E148)+MAX(LEN(F148),LEN(G148),LEN(H148))</ns0:f>
        <ns0:v>44</ns0:v>
      </ns0:c>
      <ns0:c r="Q148" s="7" t="inlineStr">
        <ns0:is>
          <ns0:t>출처 기반 자체 검토 / 독립 승인 전</ns0:t>
        </ns0:is>
      </ns0:c>
    </ns0:row>
    <ns0:row r="149" ht="98" customHeight="1">
      <ns0:c r="A149" s="4" t="n">
        <ns0:v>910148</ns0:v>
      </ns0:c>
      <ns0:c r="B149" s="4" t="n">
        <ns0:v>8</ns0:v>
      </ns0:c>
      <ns0:c r="C149" s="4" t="inlineStr">
        <ns0:is>
          <ns0:t>dk-county-head</ns0:t>
        </ns0:is>
      </ns0:c>
      <ns0:c r="D149" s="4" t="n">
        <ns0:v>4</ns0:v>
      </ns0:c>
      <ns0:c r="E149" s="8" t="inlineStr">
        <ns0:is>
          <ns0:t>군수를 등대관리원과 같은 직책이라 하면?</ns0:t>
        </ns0:is>
      </ns0:c>
      <ns0:c r="F149" s="8" t="inlineStr">
        <ns0:is>
          <ns0:t>직책은 문서 해석에 영향을 주지 않는다</ns0:t>
        </ns0:is>
      </ns0:c>
      <ns0:c r="G149" s="8" t="inlineStr">
        <ns0:is>
          <ns0:t>행정 관직과 시설 관리 역할을 혼동했다</ns0:t>
        </ns0:is>
      </ns0:c>
      <ns0:c r="H149" s="8" t="inlineStr">
        <ns0:is>
          <ns0:t>독도 관련 직책이면 모두 같다</ns0:t>
        </ns0:is>
      </ns0:c>
      <ns0:c r="I149" s="8" t="n">
        <ns0:v>2</ns0:v>
      </ns0:c>
      <ns0:c r="J149" s="8" t="inlineStr">
        <ns0:is>
          <ns0:t>칙령 제41호는 도감을 군수로 바꾸도록 했어요. 군수는 군의 행정을 맡는 관리예요.</ns0:t>
        </ns0:is>
      </ns0:c>
      <ns0:c r="K149" s="8" t="inlineStr">
        <ns0:is>
          <ns0:t>고른 보기 ‘직책은 문서 해석에 영향을 주지 않는다’와 달라요. 이 문항의 정답은 ‘행정 관직과 시설 관리 역할을 혼동했다’입니다. 칙령 제41호는 도감을 군수로 바꾸도록 했어요. 군수는 군의 행정을 맡는 관리예요.</ns0:t>
        </ns0:is>
      </ns0:c>
      <ns0:c r="L149" s="8" t="inlineStr">
        <ns0:is>
          <ns0:t>칙령 제41호는 도감을 군수로 바꾸도록 했어요. 군수는 군의 행정을 맡는 관리예요.</ns0:t>
        </ns0:is>
      </ns0:c>
      <ns0:c r="M149" s="8" t="inlineStr">
        <ns0:is>
          <ns0:t>고른 보기 ‘독도 관련 직책이면 모두 같다’와 달라요. 이 문항의 정답은 ‘행정 관직과 시설 관리 역할을 혼동했다’입니다. 칙령 제41호는 도감을 군수로 바꾸도록 했어요. 군수는 군의 행정을 맡는 관리예요.</ns0:t>
        </ns0:is>
      </ns0:c>
      <ns0:c r="N149" s="8" t="inlineStr">
        <ns0:is>
          <ns0:t>제1조는 도감(島監)을 군수(郡守)로 개정하여 관제에 넣도록 규정합니다. 관제는 정부의 직책과 조직에 관한 체계입니다.</ns0:t>
        </ns0:is>
      </ns0:c>
      <ns0:c r="O149" s="8" t="inlineStr">
        <ns0:is>
          <ns0:t>https://dokdo.mofa.go.kr/kor/pds/part02_view02.jsp</ns0:t>
        </ns0:is>
      </ns0:c>
      <ns0:c r="P149" s="5">
        <ns0:f>LEN(E149)+MAX(LEN(F149),LEN(G149),LEN(H149))</ns0:f>
        <ns0:v>43</ns0:v>
      </ns0:c>
      <ns0:c r="Q149" s="9" t="inlineStr">
        <ns0:is>
          <ns0:t>출처 기반 자체 검토 / 독립 승인 전</ns0:t>
        </ns0:is>
      </ns0:c>
    </ns0:row>
    <ns0:row r="150" ht="98" customHeight="1">
      <ns0:c r="A150" s="2" t="n">
        <ns0:v>910149</ns0:v>
      </ns0:c>
      <ns0:c r="B150" s="2" t="n">
        <ns0:v>8</ns0:v>
      </ns0:c>
      <ns0:c r="C150" s="2" t="inlineStr">
        <ns0:is>
          <ns0:t>dk-territory</ns0:t>
        </ns0:is>
      </ns0:c>
      <ns0:c r="D150" s="2" t="n">
        <ns0:v>1</ns0:v>
      </ns0:c>
      <ns0:c r="E150" s="6" t="inlineStr">
        <ns0:is>
          <ns0:t>제2조에 나오는 세 지명은?</ns0:t>
        </ns0:is>
      </ns0:c>
      <ns0:c r="F150" s="6" t="inlineStr">
        <ns0:is>
          <ns0:t>울릉전도·죽도·석도</ns0:t>
        </ns0:is>
      </ns0:c>
      <ns0:c r="G150" s="6" t="inlineStr">
        <ns0:is>
          <ns0:t>동도·서도·제주도</ns0:t>
        </ns0:is>
      </ns0:c>
      <ns0:c r="H150" s="6" t="inlineStr">
        <ns0:is>
          <ns0:t>오키섬·울릉도·강화도</ns0:t>
        </ns0:is>
      </ns0:c>
      <ns0:c r="I150" s="6" t="n">
        <ns0:v>1</ns0:v>
      </ns0:c>
      <ns0:c r="J150" s="6" t="inlineStr">
        <ns0:is>
          <ns0:t>칙령 제41호 제2조에는 울릉전도·죽도·석도를 관할한다는 내용이 있어요. 원문의 지명과 현대의 해석을 구분하며 읽어요.</ns0:t>
        </ns0:is>
      </ns0:c>
      <ns0:c r="K150" s="6" t="inlineStr">
        <ns0:is>
          <ns0:t>칙령 제41호 제2조에는 울릉전도·죽도·석도를 관할한다는 내용이 있어요. 원문의 지명과 현대의 해석을 구분하며 읽어요.</ns0:t>
        </ns0:is>
      </ns0:c>
      <ns0:c r="L150" s="6" t="inlineStr">
        <ns0:is>
          <ns0:t>고른 보기 ‘동도·서도·제주도’와 달라요. 이 문항의 정답은 ‘울릉전도·죽도·석도’입니다. 칙령 제41호 제2조에는 울릉전도·죽도·석도를 관할한다는 내용이 있어요. 원문의 지명과 현대의 해석을 구분하며 읽어요.</ns0:t>
        </ns0:is>
      </ns0:c>
      <ns0:c r="M150" s="6" t="inlineStr">
        <ns0:is>
          <ns0:t>고른 보기 ‘오키섬·울릉도·강화도’와 달라요. 이 문항의 정답은 ‘울릉전도·죽도·석도’입니다. 칙령 제41호 제2조에는 울릉전도·죽도·석도를 관할한다는 내용이 있어요. 원문의 지명과 현대의 해석을 구분하며 읽어요.</ns0:t>
        </ns0:is>
      </ns0:c>
      <ns0:c r="N150" s="6" t="inlineStr"/>
      <ns0:c r="O150" s="6" t="inlineStr">
        <ns0:is>
          <ns0:t>https://dokdo.mofa.go.kr/kor/pds/part02_view02.jsp</ns0:t>
        </ns0:is>
      </ns0:c>
      <ns0:c r="P150" s="3">
        <ns0:f>LEN(E150)+MAX(LEN(F150),LEN(G150),LEN(H150))</ns0:f>
        <ns0:v>26</ns0:v>
      </ns0:c>
      <ns0:c r="Q150" s="7" t="inlineStr">
        <ns0:is>
          <ns0:t>출처 기반 자체 검토 / 독립 승인 전</ns0:t>
        </ns0:is>
      </ns0:c>
    </ns0:row>
    <ns0:row r="151" ht="98" customHeight="1">
      <ns0:c r="A151" s="4" t="n">
        <ns0:v>910150</ns0:v>
      </ns0:c>
      <ns0:c r="B151" s="4" t="n">
        <ns0:v>8</ns0:v>
      </ns0:c>
      <ns0:c r="C151" s="4" t="inlineStr">
        <ns0:is>
          <ns0:t>dk-territory</ns0:t>
        </ns0:is>
      </ns0:c>
      <ns0:c r="D151" s="4" t="n">
        <ns0:v>2</ns0:v>
      </ns0:c>
      <ns0:c r="E151" s="8" t="inlineStr">
        <ns0:is>
          <ns0:t>문서의 ‘관할’과 연결되는 뜻은?</ns0:t>
        </ns0:is>
      </ns0:c>
      <ns0:c r="F151" s="8" t="inlineStr">
        <ns0:is>
          <ns0:t>가장 높은 봉우리</ns0:t>
        </ns0:is>
      </ns0:c>
      <ns0:c r="G151" s="8" t="inlineStr">
        <ns0:is>
          <ns0:t>배에서 보이는 그림자</ns0:t>
        </ns0:is>
      </ns0:c>
      <ns0:c r="H151" s="8" t="inlineStr">
        <ns0:is>
          <ns0:t>맡아서 관리하는 구역</ns0:t>
        </ns0:is>
      </ns0:c>
      <ns0:c r="I151" s="8" t="n">
        <ns0:v>3</ns0:v>
      </ns0:c>
      <ns0:c r="J151" s="8" t="inlineStr">
        <ns0:is>
          <ns0:t>칙령 제41호 제2조에는 울릉전도·죽도·석도를 관할한다는 내용이 있어요. 원문의 지명과 현대의 해석을 구분하며 읽어요.</ns0:t>
        </ns0:is>
      </ns0:c>
      <ns0:c r="K151" s="8" t="inlineStr">
        <ns0:is>
          <ns0:t>고른 보기 ‘가장 높은 봉우리’와 달라요. 이 문항의 정답은 ‘맡아서 관리하는 구역’입니다. 칙령 제41호 제2조에는 울릉전도·죽도·석도를 관할한다는 내용이 있어요. 원문의 지명과 현대의 해석을 구분하며 읽어요.</ns0:t>
        </ns0:is>
      </ns0:c>
      <ns0:c r="L151" s="8" t="inlineStr">
        <ns0:is>
          <ns0:t>고른 보기 ‘배에서 보이는 그림자’와 달라요. 이 문항의 정답은 ‘맡아서 관리하는 구역’입니다. 칙령 제41호 제2조에는 울릉전도·죽도·석도를 관할한다는 내용이 있어요. 원문의 지명과 현대의 해석을 구분하며 읽어요.</ns0:t>
        </ns0:is>
      </ns0:c>
      <ns0:c r="M151" s="8" t="inlineStr">
        <ns0:is>
          <ns0:t>칙령 제41호 제2조에는 울릉전도·죽도·석도를 관할한다는 내용이 있어요. 원문의 지명과 현대의 해석을 구분하며 읽어요.</ns0:t>
        </ns0:is>
      </ns0:c>
      <ns0:c r="N151" s="8" t="inlineStr"/>
      <ns0:c r="O151" s="8" t="inlineStr">
        <ns0:is>
          <ns0:t>https://dokdo.mofa.go.kr/kor/pds/part02_view02.jsp</ns0:t>
        </ns0:is>
      </ns0:c>
      <ns0:c r="P151" s="5">
        <ns0:f>LEN(E151)+MAX(LEN(F151),LEN(G151),LEN(H151))</ns0:f>
        <ns0:v>29</ns0:v>
      </ns0:c>
      <ns0:c r="Q151" s="9" t="inlineStr">
        <ns0:is>
          <ns0:t>출처 기반 자체 검토 / 독립 승인 전</ns0:t>
        </ns0:is>
      </ns0:c>
    </ns0:row>
    <ns0:row r="152" ht="98" customHeight="1">
      <ns0:c r="A152" s="2" t="n">
        <ns0:v>910151</ns0:v>
      </ns0:c>
      <ns0:c r="B152" s="2" t="n">
        <ns0:v>8</ns0:v>
      </ns0:c>
      <ns0:c r="C152" s="2" t="inlineStr">
        <ns0:is>
          <ns0:t>dk-territory</ns0:t>
        </ns0:is>
      </ns0:c>
      <ns0:c r="D152" s="2" t="n">
        <ns0:v>3</ns0:v>
      </ns0:c>
      <ns0:c r="E152" s="6" t="inlineStr">
        <ns0:is>
          <ns0:t>제2조에서 직접 읽히는 정보는?</ns0:t>
        </ns0:is>
      </ns0:c>
      <ns0:c r="F152" s="6" t="inlineStr">
        <ns0:is>
          <ns0:t>죽도는 관할 구역에서 제외되어 있다</ns0:t>
        </ns0:is>
      </ns0:c>
      <ns0:c r="G152" s="6" t="inlineStr">
        <ns0:is>
          <ns0:t>관할 구역에 석도가 적혀 있다</ns0:t>
        </ns0:is>
      </ns0:c>
      <ns0:c r="H152" s="6" t="inlineStr">
        <ns0:is>
          <ns0:t>울릉전도만 관할하고 부속 섬은 제외한다</ns0:t>
        </ns0:is>
      </ns0:c>
      <ns0:c r="I152" s="6" t="n">
        <ns0:v>2</ns0:v>
      </ns0:c>
      <ns0:c r="J152" s="6" t="inlineStr">
        <ns0:is>
          <ns0:t>칙령 제41호 제2조에는 울릉전도·죽도·석도를 관할한다는 내용이 있어요. 원문의 지명과 현대의 해석을 구분하며 읽어요.</ns0:t>
        </ns0:is>
      </ns0:c>
      <ns0:c r="K152" s="6" t="inlineStr">
        <ns0:is>
          <ns0:t>고른 보기 ‘죽도는 관할 구역에서 제외되어 있다’와 달라요. 이 문항의 정답은 ‘관할 구역에 석도가 적혀 있다’입니다. 칙령 제41호 제2조에는 울릉전도·죽도·석도를 관할한다는 내용이 있어요. 원문의 지명과 현대의 해석을 구분하며 읽어요.</ns0:t>
        </ns0:is>
      </ns0:c>
      <ns0:c r="L152" s="6" t="inlineStr">
        <ns0:is>
          <ns0:t>칙령 제41호 제2조에는 울릉전도·죽도·석도를 관할한다는 내용이 있어요. 원문의 지명과 현대의 해석을 구분하며 읽어요.</ns0:t>
        </ns0:is>
      </ns0:c>
      <ns0:c r="M152" s="6" t="inlineStr">
        <ns0:is>
          <ns0:t>고른 보기 ‘울릉전도만 관할하고 부속 섬은 제외한다’와 달라요. 이 문항의 정답은 ‘관할 구역에 석도가 적혀 있다’입니다. 칙령 제41호 제2조에는 울릉전도·죽도·석도를 관할한다는 내용이 있어요. 원문의 지명과 현대의 해석을 구분하며 읽어요.</ns0:t>
        </ns0:is>
      </ns0:c>
      <ns0:c r="N152" s="6" t="inlineStr">
        <ns0:is>
          <ns0:t>제2조의 관할 구역 표기: 울릉전도(울릉도 전체), 죽도, 석도. 외교부는 석도를 독도로 해석합니다. 이 문항은 원문에 무엇이 적혔는지와 해설을 구분합니다.</ns0:t>
        </ns0:is>
      </ns0:c>
      <ns0:c r="O152" s="6" t="inlineStr">
        <ns0:is>
          <ns0:t>https://dokdo.mofa.go.kr/kor/pds/part02_view02.jsp</ns0:t>
        </ns0:is>
      </ns0:c>
      <ns0:c r="P152" s="3">
        <ns0:f>LEN(E152)+MAX(LEN(F152),LEN(G152),LEN(H152))</ns0:f>
        <ns0:v>38</ns0:v>
      </ns0:c>
      <ns0:c r="Q152" s="7" t="inlineStr">
        <ns0:is>
          <ns0:t>출처 기반 자체 검토 / 독립 승인 전</ns0:t>
        </ns0:is>
      </ns0:c>
    </ns0:row>
    <ns0:row r="153" ht="98" customHeight="1">
      <ns0:c r="A153" s="4" t="n">
        <ns0:v>910152</ns0:v>
      </ns0:c>
      <ns0:c r="B153" s="4" t="n">
        <ns0:v>8</ns0:v>
      </ns0:c>
      <ns0:c r="C153" s="4" t="inlineStr">
        <ns0:is>
          <ns0:t>dk-territory</ns0:t>
        </ns0:is>
      </ns0:c>
      <ns0:c r="D153" s="4" t="n">
        <ns0:v>4</ns0:v>
      </ns0:c>
      <ns0:c r="E153" s="8" t="inlineStr">
        <ns0:is>
          <ns0:t>원문과 현대 지명 해석을 정확히 소개하려면?</ns0:t>
        </ns0:is>
      </ns0:c>
      <ns0:c r="F153" s="8" t="inlineStr">
        <ns0:is>
          <ns0:t>원문은 석도, 독도 대응은 해설로 구분한다</ns0:t>
        </ns0:is>
      </ns0:c>
      <ns0:c r="G153" s="8" t="inlineStr">
        <ns0:is>
          <ns0:t>원문에 현대 표기 독도가 그대로 있다고 한다</ns0:t>
        </ns0:is>
      </ns0:c>
      <ns0:c r="H153" s="8" t="inlineStr">
        <ns0:is>
          <ns0:t>석도라는 이름이 있으니 다른 자료는 볼 필요 없다</ns0:t>
        </ns0:is>
      </ns0:c>
      <ns0:c r="I153" s="8" t="n">
        <ns0:v>1</ns0:v>
      </ns0:c>
      <ns0:c r="J153" s="8" t="inlineStr">
        <ns0:is>
          <ns0:t>칙령 제41호 제2조에는 울릉전도·죽도·석도를 관할한다는 내용이 있어요. 원문의 지명과 현대의 해석을 구분하며 읽어요.</ns0:t>
        </ns0:is>
      </ns0:c>
      <ns0:c r="K153" s="8" t="inlineStr">
        <ns0:is>
          <ns0:t>칙령 제41호 제2조에는 울릉전도·죽도·석도를 관할한다는 내용이 있어요. 원문의 지명과 현대의 해석을 구분하며 읽어요.</ns0:t>
        </ns0:is>
      </ns0:c>
      <ns0:c r="L153" s="8" t="inlineStr">
        <ns0:is>
          <ns0:t>고른 보기 ‘원문에 현대 표기 독도가 그대로 있다고 한다’와 달라요. 이 문항의 정답은 ‘원문은 석도, 독도 대응은 해설로 구분한다’입니다. 칙령 제41호 제2조에는 울릉전도·죽도·석도를 관할한다는 내용이 있어요. 원문의 지명과 현대의 해석을 구분하며 읽어요.</ns0:t>
        </ns0:is>
      </ns0:c>
      <ns0:c r="M153" s="8" t="inlineStr">
        <ns0:is>
          <ns0:t>고른 보기 ‘석도라는 이름이 있으니 다른 자료는 볼 필요 없다’와 달라요. 이 문항의 정답은 ‘원문은 석도, 독도 대응은 해설로 구분한다’입니다. 칙령 제41호 제2조에는 울릉전도·죽도·석도를 관할한다는 내용이 있어요. 원문의 지명과 현대의 해석을 구분하며 읽어요.</ns0:t>
        </ns0:is>
      </ns0:c>
      <ns0:c r="N153" s="8" t="inlineStr">
        <ns0:is>
          <ns0:t>제2조의 관할 구역 표기: 울릉전도(울릉도 전체), 죽도, 석도. 외교부는 석도를 독도로 해석합니다. 이 문항은 원문에 무엇이 적혔는지와 해설을 구분합니다.</ns0:t>
        </ns0:is>
      </ns0:c>
      <ns0:c r="O153" s="8" t="inlineStr">
        <ns0:is>
          <ns0:t>https://dokdo.mofa.go.kr/kor/pds/part02_view02.jsp</ns0:t>
        </ns0:is>
      </ns0:c>
      <ns0:c r="P153" s="5">
        <ns0:f>LEN(E153)+MAX(LEN(F153),LEN(G153),LEN(H153))</ns0:f>
        <ns0:v>51</ns0:v>
      </ns0:c>
      <ns0:c r="Q153" s="9" t="inlineStr">
        <ns0:is>
          <ns0:t>출처 기반 자체 검토 / 독립 승인 전</ns0:t>
        </ns0:is>
      </ns0:c>
    </ns0:row>
    <ns0:row r="154" ht="98" customHeight="1">
      <ns0:c r="A154" s="2" t="n">
        <ns0:v>910153</ns0:v>
      </ns0:c>
      <ns0:c r="B154" s="2" t="n">
        <ns0:v>8</ns0:v>
      </ns0:c>
      <ns0:c r="C154" s="2" t="inlineStr">
        <ns0:is>
          <ns0:t>dk-gazette-date</ns0:t>
        </ns0:is>
      </ns0:c>
      <ns0:c r="D154" s="2" t="n">
        <ns0:v>1</ns0:v>
      </ns0:c>
      <ns0:c r="E154" s="6" t="inlineStr">
        <ns0:is>
          <ns0:t>칙령을 실어 알린 공식 간행물은?</ns0:t>
        </ns0:is>
      </ns0:c>
      <ns0:c r="F154" s="6" t="inlineStr">
        <ns0:is>
          <ns0:t>여객선 광고</ns0:t>
        </ns0:is>
      </ns0:c>
      <ns0:c r="G154" s="6" t="inlineStr">
        <ns0:is>
          <ns0:t>등대 일러스트</ns0:t>
        </ns0:is>
      </ns0:c>
      <ns0:c r="H154" s="6" t="inlineStr">
        <ns0:is>
          <ns0:t>관보</ns0:t>
        </ns0:is>
      </ns0:c>
      <ns0:c r="I154" s="6" t="n">
        <ns0:v>3</ns0:v>
      </ns0:c>
      <ns0:c r="J154" s="6" t="inlineStr">
        <ns0:is>
          <ns0:t>칙령 제41호의 날짜는 1900년 10월 25일이고, 관보 게재 날짜는 10월 27일이에요. 문서의 날짜와 공표된 기록의 날짜를 구분해요.</ns0:t>
        </ns0:is>
      </ns0:c>
      <ns0:c r="K154" s="6" t="inlineStr">
        <ns0:is>
          <ns0:t>고른 보기 ‘여객선 광고’와 달라요. 이 문항의 정답은 ‘관보’입니다. 칙령 제41호의 날짜는 1900년 10월 25일이고, 관보 게재 날짜는 10월 27일이에요. 문서의 날짜와 공표된 기록의 날짜를 구분해요.</ns0:t>
        </ns0:is>
      </ns0:c>
      <ns0:c r="L154" s="6" t="inlineStr">
        <ns0:is>
          <ns0:t>고른 보기 ‘등대 일러스트’와 달라요. 이 문항의 정답은 ‘관보’입니다. 칙령 제41호의 날짜는 1900년 10월 25일이고, 관보 게재 날짜는 10월 27일이에요. 문서의 날짜와 공표된 기록의 날짜를 구분해요.</ns0:t>
        </ns0:is>
      </ns0:c>
      <ns0:c r="M154" s="6" t="inlineStr">
        <ns0:is>
          <ns0:t>칙령 제41호의 날짜는 1900년 10월 25일이고, 관보 게재 날짜는 10월 27일이에요. 문서의 날짜와 공표된 기록의 날짜를 구분해요.</ns0:t>
        </ns0:is>
      </ns0:c>
      <ns0:c r="N154" s="6" t="inlineStr"/>
      <ns0:c r="O154" s="6" t="inlineStr">
        <ns0:is>
          <ns0:t>https://dokdo.mofa.go.kr/kor/pds/part02_view02.jsp
https://dokdo.mofa.go.kr/kor/pds/part02_view03.jsp</ns0:t>
        </ns0:is>
      </ns0:c>
      <ns0:c r="P154" s="3">
        <ns0:f>LEN(E154)+MAX(LEN(F154),LEN(G154),LEN(H154))</ns0:f>
        <ns0:v>25</ns0:v>
      </ns0:c>
      <ns0:c r="Q154" s="7" t="inlineStr">
        <ns0:is>
          <ns0:t>출처 기반 자체 검토 / 독립 승인 전</ns0:t>
        </ns0:is>
      </ns0:c>
    </ns0:row>
    <ns0:row r="155" ht="98" customHeight="1">
      <ns0:c r="A155" s="4" t="n">
        <ns0:v>910154</ns0:v>
      </ns0:c>
      <ns0:c r="B155" s="4" t="n">
        <ns0:v>8</ns0:v>
      </ns0:c>
      <ns0:c r="C155" s="4" t="inlineStr">
        <ns0:is>
          <ns0:t>dk-gazette-date</ns0:t>
        </ns0:is>
      </ns0:c>
      <ns0:c r="D155" s="4" t="n">
        <ns0:v>2</ns0:v>
      </ns0:c>
      <ns0:c r="E155" s="8" t="inlineStr">
        <ns0:is>
          <ns0:t>10월 25일과 27일을 바르게 연결하면?</ns0:t>
        </ns0:is>
      </ns0:c>
      <ns0:c r="F155" s="8" t="inlineStr">
        <ns0:is>
          <ns0:t>두 날 모두 화산 분출</ns0:t>
        </ns0:is>
      </ns0:c>
      <ns0:c r="G155" s="8" t="inlineStr">
        <ns0:is>
          <ns0:t>25일=칙령·27일=관보</ns0:t>
        </ns0:is>
      </ns0:c>
      <ns0:c r="H155" s="8" t="inlineStr">
        <ns0:is>
          <ns0:t>25일=관보·27일=칙령</ns0:t>
        </ns0:is>
      </ns0:c>
      <ns0:c r="I155" s="8" t="n">
        <ns0:v>2</ns0:v>
      </ns0:c>
      <ns0:c r="J155" s="8" t="inlineStr">
        <ns0:is>
          <ns0:t>칙령 제41호의 날짜는 1900년 10월 25일이고, 관보 게재 날짜는 10월 27일이에요. 문서의 날짜와 공표된 기록의 날짜를 구분해요.</ns0:t>
        </ns0:is>
      </ns0:c>
      <ns0:c r="K155" s="8" t="inlineStr">
        <ns0:is>
          <ns0:t>고른 보기 ‘두 날 모두 화산 분출’와 달라요. 이 문항의 정답은 ‘25일=칙령·27일=관보’입니다. 칙령 제41호의 날짜는 1900년 10월 25일이고, 관보 게재 날짜는 10월 27일이에요. 문서의 날짜와 공표된 기록의 날짜를 구분해요.</ns0:t>
        </ns0:is>
      </ns0:c>
      <ns0:c r="L155" s="8" t="inlineStr">
        <ns0:is>
          <ns0:t>칙령 제41호의 날짜는 1900년 10월 25일이고, 관보 게재 날짜는 10월 27일이에요. 문서의 날짜와 공표된 기록의 날짜를 구분해요.</ns0:t>
        </ns0:is>
      </ns0:c>
      <ns0:c r="M155" s="8" t="inlineStr">
        <ns0:is>
          <ns0:t>고른 보기 ‘25일=관보·27일=칙령’와 달라요. 이 문항의 정답은 ‘25일=칙령·27일=관보’입니다. 칙령 제41호의 날짜는 1900년 10월 25일이고, 관보 게재 날짜는 10월 27일이에요. 문서의 날짜와 공표된 기록의 날짜를 구분해요.</ns0:t>
        </ns0:is>
      </ns0:c>
      <ns0:c r="N155" s="8" t="inlineStr"/>
      <ns0:c r="O155" s="8" t="inlineStr">
        <ns0:is>
          <ns0:t>https://dokdo.mofa.go.kr/kor/pds/part02_view02.jsp
https://dokdo.mofa.go.kr/kor/pds/part02_view03.jsp</ns0:t>
        </ns0:is>
      </ns0:c>
      <ns0:c r="P155" s="5">
        <ns0:f>LEN(E155)+MAX(LEN(F155),LEN(G155),LEN(H155))</ns0:f>
        <ns0:v>36</ns0:v>
      </ns0:c>
      <ns0:c r="Q155" s="9" t="inlineStr">
        <ns0:is>
          <ns0:t>출처 기반 자체 검토 / 독립 승인 전</ns0:t>
        </ns0:is>
      </ns0:c>
    </ns0:row>
    <ns0:row r="156" ht="98" customHeight="1">
      <ns0:c r="A156" s="2" t="n">
        <ns0:v>910155</ns0:v>
      </ns0:c>
      <ns0:c r="B156" s="2" t="n">
        <ns0:v>8</ns0:v>
      </ns0:c>
      <ns0:c r="C156" s="2" t="inlineStr">
        <ns0:is>
          <ns0:t>dk-gazette-date</ns0:t>
        </ns0:is>
      </ns0:c>
      <ns0:c r="D156" s="2" t="n">
        <ns0:v>3</ns0:v>
      </ns0:c>
      <ns0:c r="E156" s="6" t="inlineStr">
        <ns0:is>
          <ns0:t>두 날짜가 각각 가리키는 것은?</ns0:t>
        </ns0:is>
      </ns0:c>
      <ns0:c r="F156" s="6" t="inlineStr">
        <ns0:is>
          <ns0:t>칙령 날짜와 관보 게재 날짜</ns0:t>
        </ns0:is>
      </ns0:c>
      <ns0:c r="G156" s="6" t="inlineStr">
        <ns0:is>
          <ns0:t>울릉도와 독도의 별도 개편 날짜</ns0:t>
        </ns0:is>
      </ns0:c>
      <ns0:c r="H156" s="6" t="inlineStr">
        <ns0:is>
          <ns0:t>서로 다른 두 칙령의 발행 날짜</ns0:t>
        </ns0:is>
      </ns0:c>
      <ns0:c r="I156" s="6" t="n">
        <ns0:v>1</ns0:v>
      </ns0:c>
      <ns0:c r="J156" s="6" t="inlineStr">
        <ns0:is>
          <ns0:t>칙령 제41호의 날짜는 1900년 10월 25일이고, 관보 게재 날짜는 10월 27일이에요. 문서의 날짜와 공표된 기록의 날짜를 구분해요. 같은 칙령의 제정과 게재라는 서로 다른 기록을 구분합니다.</ns0:t>
        </ns0:is>
      </ns0:c>
      <ns0:c r="K156" s="6" t="inlineStr">
        <ns0:is>
          <ns0:t>칙령 제41호의 날짜는 1900년 10월 25일이고, 관보 게재 날짜는 10월 27일이에요. 문서의 날짜와 공표된 기록의 날짜를 구분해요. 같은 칙령의 제정과 게재라는 서로 다른 기록을 구분합니다.</ns0:t>
        </ns0:is>
      </ns0:c>
      <ns0:c r="L156" s="6" t="inlineStr">
        <ns0:is>
          <ns0:t>고른 보기 ‘울릉도와 독도의 별도 개편 날짜’와 달라요. 이 문항의 정답은 ‘칙령 날짜와 관보 게재 날짜’입니다. 칙령 제41호의 날짜는 1900년 10월 25일이고, 관보 게재 날짜는 10월 27일이에요. 문서의 날짜와 공표된 기록의 날짜를 구분해요. 같은 칙령의 제정과 게재라는 서로 다른 기록을 구분합니다.</ns0:t>
        </ns0:is>
      </ns0:c>
      <ns0:c r="M156" s="6" t="inlineStr">
        <ns0:is>
          <ns0:t>고른 보기 ‘서로 다른 두 칙령의 발행 날짜’와 달라요. 이 문항의 정답은 ‘칙령 날짜와 관보 게재 날짜’입니다. 칙령 제41호의 날짜는 1900년 10월 25일이고, 관보 게재 날짜는 10월 27일이에요. 문서의 날짜와 공표된 기록의 날짜를 구분해요. 같은 칙령의 제정과 게재라는 서로 다른 기록을 구분합니다.</ns0:t>
        </ns0:is>
      </ns0:c>
      <ns0:c r="N156" s="6" t="inlineStr">
        <ns0:is>
          <ns0:t>자료 A: 칙령 제41호, 1900.10.25. 자료 B: 관보, 1900.10.27, 칙령 제41호를 수록. 관보는 정부가 알릴 내용을 싣는 공식 간행물입니다.</ns0:t>
        </ns0:is>
      </ns0:c>
      <ns0:c r="O156" s="6" t="inlineStr">
        <ns0:is>
          <ns0:t>https://dokdo.mofa.go.kr/kor/pds/part02_view02.jsp
https://dokdo.mofa.go.kr/kor/pds/part02_view03.jsp</ns0:t>
        </ns0:is>
      </ns0:c>
      <ns0:c r="P156" s="3">
        <ns0:f>LEN(E156)+MAX(LEN(F156),LEN(G156),LEN(H156))</ns0:f>
        <ns0:v>34</ns0:v>
      </ns0:c>
      <ns0:c r="Q156" s="7" t="inlineStr">
        <ns0:is>
          <ns0:t>출처 기반 자체 검토 / 독립 승인 전</ns0:t>
        </ns0:is>
      </ns0:c>
    </ns0:row>
    <ns0:row r="157" ht="98" customHeight="1">
      <ns0:c r="A157" s="4" t="n">
        <ns0:v>910156</ns0:v>
      </ns0:c>
      <ns0:c r="B157" s="4" t="n">
        <ns0:v>8</ns0:v>
      </ns0:c>
      <ns0:c r="C157" s="4" t="inlineStr">
        <ns0:is>
          <ns0:t>dk-gazette-date</ns0:t>
        </ns0:is>
      </ns0:c>
      <ns0:c r="D157" s="4" t="n">
        <ns0:v>4</ns0:v>
      </ns0:c>
      <ns0:c r="E157" s="8" t="inlineStr">
        <ns0:is>
          <ns0:t>날짜가 다르니 둘 중 하나가 틀렸다는 주장은?</ns0:t>
        </ns0:is>
      </ns0:c>
      <ns0:c r="F157" s="8" t="inlineStr">
        <ns0:is>
          <ns0:t>같은 문서를 다루면 모든 날짜가 같아야 한다</ns0:t>
        </ns0:is>
      </ns0:c>
      <ns0:c r="G157" s="8" t="inlineStr">
        <ns0:is>
          <ns0:t>관보가 있으므로 칙령 원문은 쓸모없다</ns0:t>
        </ns0:is>
      </ns0:c>
      <ns0:c r="H157" s="8" t="inlineStr">
        <ns0:is>
          <ns0:t>칙령 날짜와 게재 날짜의 역할을 먼저 구분한다</ns0:t>
        </ns0:is>
      </ns0:c>
      <ns0:c r="I157" s="8" t="n">
        <ns0:v>3</ns0:v>
      </ns0:c>
      <ns0:c r="J157" s="8" t="inlineStr">
        <ns0:is>
          <ns0:t>칙령 제41호의 날짜는 1900년 10월 25일이고, 관보 게재 날짜는 10월 27일이에요. 문서의 날짜와 공표된 기록의 날짜를 구분해요.</ns0:t>
        </ns0:is>
      </ns0:c>
      <ns0:c r="K157" s="8" t="inlineStr">
        <ns0:is>
          <ns0:t>고른 보기 ‘같은 문서를 다루면 모든 날짜가 같아야 한다’와 달라요. 이 문항의 정답은 ‘칙령 날짜와 게재 날짜의 역할을 먼저 구분한다’입니다. 칙령 제41호의 날짜는 1900년 10월 25일이고, 관보 게재 날짜는 10월 27일이에요. 문서의 날짜와 공표된 기록의 날짜를 구분해요.</ns0:t>
        </ns0:is>
      </ns0:c>
      <ns0:c r="L157" s="8" t="inlineStr">
        <ns0:is>
          <ns0:t>고른 보기 ‘관보가 있으므로 칙령 원문은 쓸모없다’와 달라요. 이 문항의 정답은 ‘칙령 날짜와 게재 날짜의 역할을 먼저 구분한다’입니다. 칙령 제41호의 날짜는 1900년 10월 25일이고, 관보 게재 날짜는 10월 27일이에요. 문서의 날짜와 공표된 기록의 날짜를 구분해요.</ns0:t>
        </ns0:is>
      </ns0:c>
      <ns0:c r="M157" s="8" t="inlineStr">
        <ns0:is>
          <ns0:t>칙령 제41호의 날짜는 1900년 10월 25일이고, 관보 게재 날짜는 10월 27일이에요. 문서의 날짜와 공표된 기록의 날짜를 구분해요.</ns0:t>
        </ns0:is>
      </ns0:c>
      <ns0:c r="N157" s="8" t="inlineStr">
        <ns0:is>
          <ns0:t>자료 A: 칙령 제41호, 1900.10.25. 자료 B: 관보, 1900.10.27, 칙령 제41호를 수록. 관보는 정부가 알릴 내용을 싣는 공식 간행물입니다.</ns0:t>
        </ns0:is>
      </ns0:c>
      <ns0:c r="O157" s="8" t="inlineStr">
        <ns0:is>
          <ns0:t>https://dokdo.mofa.go.kr/kor/pds/part02_view02.jsp
https://dokdo.mofa.go.kr/kor/pds/part02_view03.jsp</ns0:t>
        </ns0:is>
      </ns0:c>
      <ns0:c r="P157" s="5">
        <ns0:f>LEN(E157)+MAX(LEN(F157),LEN(G157),LEN(H157))</ns0:f>
        <ns0:v>50</ns0:v>
      </ns0:c>
      <ns0:c r="Q157" s="9" t="inlineStr">
        <ns0:is>
          <ns0:t>출처 기반 자체 검토 / 독립 승인 전</ns0:t>
        </ns0:is>
      </ns0:c>
    </ns0:row>
    <ns0:row r="158" ht="98" customHeight="1">
      <ns0:c r="A158" s="2" t="n">
        <ns0:v>910157</ns0:v>
      </ns0:c>
      <ns0:c r="B158" s="2" t="n">
        <ns0:v>8</ns0:v>
      </ns0:c>
      <ns0:c r="C158" s="2" t="inlineStr">
        <ns0:is>
          <ns0:t>dk-proposal-order</ns0:t>
        </ns0:is>
      </ns0:c>
      <ns0:c r="D158" s="2" t="n">
        <ns0:v>1</ns0:v>
      </ns0:c>
      <ns0:c r="E158" s="6" t="inlineStr">
        <ns0:is>
          <ns0:t>안건을 올리는 문서는?</ns0:t>
        </ns0:is>
      </ns0:c>
      <ns0:c r="F158" s="6" t="inlineStr">
        <ns0:is>
          <ns0:t>해안 사진</ns0:t>
        </ns0:is>
      </ns0:c>
      <ns0:c r="G158" s="6" t="inlineStr">
        <ns0:is>
          <ns0:t>청의서</ns0:t>
        </ns0:is>
      </ns0:c>
      <ns0:c r="H158" s="6" t="inlineStr">
        <ns0:is>
          <ns0:t>선박 표</ns0:t>
        </ns0:is>
      </ns0:c>
      <ns0:c r="I158" s="6" t="n">
        <ns0:v>2</ns0:v>
      </ns0:c>
      <ns0:c r="J158" s="6" t="inlineStr">
        <ns0:is>
          <ns0:t>행정 개편은 제안·칙령·관보 게재의 과정으로 살펴볼 수 있어요. 청의서는 안건을 올린 문서예요.</ns0:t>
        </ns0:is>
      </ns0:c>
      <ns0:c r="K158" s="6" t="inlineStr">
        <ns0:is>
          <ns0:t>고른 보기 ‘해안 사진’와 달라요. 이 문항의 정답은 ‘청의서’입니다. 행정 개편은 제안·칙령·관보 게재의 과정으로 살펴볼 수 있어요. 청의서는 안건을 올린 문서예요.</ns0:t>
        </ns0:is>
      </ns0:c>
      <ns0:c r="L158" s="6" t="inlineStr">
        <ns0:is>
          <ns0:t>행정 개편은 제안·칙령·관보 게재의 과정으로 살펴볼 수 있어요. 청의서는 안건을 올린 문서예요.</ns0:t>
        </ns0:is>
      </ns0:c>
      <ns0:c r="M158" s="6" t="inlineStr">
        <ns0:is>
          <ns0:t>고른 보기 ‘선박 표’와 달라요. 이 문항의 정답은 ‘청의서’입니다. 행정 개편은 제안·칙령·관보 게재의 과정으로 살펴볼 수 있어요. 청의서는 안건을 올린 문서예요.</ns0:t>
        </ns0:is>
      </ns0:c>
      <ns0:c r="N158" s="6" t="inlineStr"/>
      <ns0:c r="O158" s="6" t="inlineStr">
        <ns0:is>
          <ns0:t>https://dokdo.mofa.go.kr/kor/pds/part02_view01.jsp
https://dokdo.mofa.go.kr/kor/pds/part02_view02.jsp
https://dokdo.mofa.go.kr/kor/pds/part02_view03.jsp</ns0:t>
        </ns0:is>
      </ns0:c>
      <ns0:c r="P158" s="3">
        <ns0:f>LEN(E158)+MAX(LEN(F158),LEN(G158),LEN(H158))</ns0:f>
        <ns0:v>17</ns0:v>
      </ns0:c>
      <ns0:c r="Q158" s="7" t="inlineStr">
        <ns0:is>
          <ns0:t>출처 기반 자체 검토 / 독립 승인 전</ns0:t>
        </ns0:is>
      </ns0:c>
    </ns0:row>
    <ns0:row r="159" ht="98" customHeight="1">
      <ns0:c r="A159" s="4" t="n">
        <ns0:v>910158</ns0:v>
      </ns0:c>
      <ns0:c r="B159" s="4" t="n">
        <ns0:v>8</ns0:v>
      </ns0:c>
      <ns0:c r="C159" s="4" t="inlineStr">
        <ns0:is>
          <ns0:t>dk-proposal-order</ns0:t>
        </ns0:is>
      </ns0:c>
      <ns0:c r="D159" s="4" t="n">
        <ns0:v>2</ns0:v>
      </ns0:c>
      <ns0:c r="E159" s="8" t="inlineStr">
        <ns0:is>
          <ns0:t>행정 개편 과정의 순서로 맞는 것은?</ns0:t>
        </ns0:is>
      </ns0:c>
      <ns0:c r="F159" s="8" t="inlineStr">
        <ns0:is>
          <ns0:t>제안→칙령→관보 게재</ns0:t>
        </ns0:is>
      </ns0:c>
      <ns0:c r="G159" s="8" t="inlineStr">
        <ns0:is>
          <ns0:t>관보→제안→칙령</ns0:t>
        </ns0:is>
      </ns0:c>
      <ns0:c r="H159" s="8" t="inlineStr">
        <ns0:is>
          <ns0:t>등대→관보→화산</ns0:t>
        </ns0:is>
      </ns0:c>
      <ns0:c r="I159" s="8" t="n">
        <ns0:v>1</ns0:v>
      </ns0:c>
      <ns0:c r="J159" s="8" t="inlineStr">
        <ns0:is>
          <ns0:t>행정 개편은 제안·칙령·관보 게재의 과정으로 살펴볼 수 있어요. 청의서는 안건을 올린 문서예요.</ns0:t>
        </ns0:is>
      </ns0:c>
      <ns0:c r="K159" s="8" t="inlineStr">
        <ns0:is>
          <ns0:t>행정 개편은 제안·칙령·관보 게재의 과정으로 살펴볼 수 있어요. 청의서는 안건을 올린 문서예요.</ns0:t>
        </ns0:is>
      </ns0:c>
      <ns0:c r="L159" s="8" t="inlineStr">
        <ns0:is>
          <ns0:t>고른 보기 ‘관보→제안→칙령’와 달라요. 이 문항의 정답은 ‘제안→칙령→관보 게재’입니다. 행정 개편은 제안·칙령·관보 게재의 과정으로 살펴볼 수 있어요. 청의서는 안건을 올린 문서예요.</ns0:t>
        </ns0:is>
      </ns0:c>
      <ns0:c r="M159" s="8" t="inlineStr">
        <ns0:is>
          <ns0:t>고른 보기 ‘등대→관보→화산’와 달라요. 이 문항의 정답은 ‘제안→칙령→관보 게재’입니다. 행정 개편은 제안·칙령·관보 게재의 과정으로 살펴볼 수 있어요. 청의서는 안건을 올린 문서예요.</ns0:t>
        </ns0:is>
      </ns0:c>
      <ns0:c r="N159" s="8" t="inlineStr"/>
      <ns0:c r="O159" s="8" t="inlineStr">
        <ns0:is>
          <ns0:t>https://dokdo.mofa.go.kr/kor/pds/part02_view01.jsp
https://dokdo.mofa.go.kr/kor/pds/part02_view02.jsp
https://dokdo.mofa.go.kr/kor/pds/part02_view03.jsp</ns0:t>
        </ns0:is>
      </ns0:c>
      <ns0:c r="P159" s="5">
        <ns0:f>LEN(E159)+MAX(LEN(F159),LEN(G159),LEN(H159))</ns0:f>
        <ns0:v>31</ns0:v>
      </ns0:c>
      <ns0:c r="Q159" s="9" t="inlineStr">
        <ns0:is>
          <ns0:t>출처 기반 자체 검토 / 독립 승인 전</ns0:t>
        </ns0:is>
      </ns0:c>
    </ns0:row>
    <ns0:row r="160" ht="98" customHeight="1">
      <ns0:c r="A160" s="2" t="n">
        <ns0:v>910159</ns0:v>
      </ns0:c>
      <ns0:c r="B160" s="2" t="n">
        <ns0:v>8</ns0:v>
      </ns0:c>
      <ns0:c r="C160" s="2" t="inlineStr">
        <ns0:is>
          <ns0:t>dk-proposal-order</ns0:t>
        </ns0:is>
      </ns0:c>
      <ns0:c r="D160" s="2" t="n">
        <ns0:v>3</ns0:v>
      </ns0:c>
      <ns0:c r="E160" s="6" t="inlineStr">
        <ns0:is>
          <ns0:t>제안이 칙령보다 앞섰음을 보이는 자료 쌍은?</ns0:t>
        </ns0:is>
      </ns0:c>
      <ns0:c r="F160" s="6" t="inlineStr">
        <ns0:is>
          <ns0:t>25일 칙령과 27일 관보</ns0:t>
        </ns0:is>
      </ns0:c>
      <ns0:c r="G160" s="6" t="inlineStr">
        <ns0:is>
          <ns0:t>27일 관보의 표지와 본문</ns0:t>
        </ns0:is>
      </ns0:c>
      <ns0:c r="H160" s="6" t="inlineStr">
        <ns0:is>
          <ns0:t>22일 청의서와 25일 칙령</ns0:t>
        </ns0:is>
      </ns0:c>
      <ns0:c r="I160" s="6" t="n">
        <ns0:v>3</ns0:v>
      </ns0:c>
      <ns0:c r="J160" s="6" t="inlineStr">
        <ns0:is>
          <ns0:t>행정 개편은 제안·칙령·관보 게재의 과정으로 살펴볼 수 있어요. 청의서는 안건을 올린 문서예요. 제안과 명령의 두 날짜를 직접 비교해야 그 순서를 확인할 수 있습니다.</ns0:t>
        </ns0:is>
      </ns0:c>
      <ns0:c r="K160" s="6" t="inlineStr">
        <ns0:is>
          <ns0:t>고른 보기 ‘25일 칙령과 27일 관보’와 달라요. 이 문항의 정답은 ‘22일 청의서와 25일 칙령’입니다. 행정 개편은 제안·칙령·관보 게재의 과정으로 살펴볼 수 있어요. 청의서는 안건을 올린 문서예요. 제안과 명령의 두 날짜를 직접 비교해야 그 순서를 확인할 수 있습니다.</ns0:t>
        </ns0:is>
      </ns0:c>
      <ns0:c r="L160" s="6" t="inlineStr">
        <ns0:is>
          <ns0:t>고른 보기 ‘27일 관보의 표지와 본문’와 달라요. 이 문항의 정답은 ‘22일 청의서와 25일 칙령’입니다. 행정 개편은 제안·칙령·관보 게재의 과정으로 살펴볼 수 있어요. 청의서는 안건을 올린 문서예요. 제안과 명령의 두 날짜를 직접 비교해야 그 순서를 확인할 수 있습니다.</ns0:t>
        </ns0:is>
      </ns0:c>
      <ns0:c r="M160" s="6" t="inlineStr">
        <ns0:is>
          <ns0:t>행정 개편은 제안·칙령·관보 게재의 과정으로 살펴볼 수 있어요. 청의서는 안건을 올린 문서예요. 제안과 명령의 두 날짜를 직접 비교해야 그 순서를 확인할 수 있습니다.</ns0:t>
        </ns0:is>
      </ns0:c>
      <ns0:c r="N160" s="6" t="inlineStr">
        <ns0:is>
          <ns0:t>1900년 문서 순서: 10월 22일 의정부 청의서→10월 25일 칙령 제41호→10월 27일 관보 게재. 각 문서는 같은 과정에서 서로 다른 역할을 합니다.</ns0:t>
        </ns0:is>
      </ns0:c>
      <ns0:c r="O160" s="6" t="inlineStr">
        <ns0:is>
          <ns0:t>https://dokdo.mofa.go.kr/kor/pds/part02_view01.jsp
https://dokdo.mofa.go.kr/kor/pds/part02_view02.jsp
https://dokdo.mofa.go.kr/kor/pds/part02_view03.jsp</ns0:t>
        </ns0:is>
      </ns0:c>
      <ns0:c r="P160" s="3">
        <ns0:f>LEN(E160)+MAX(LEN(F160),LEN(G160),LEN(H160))</ns0:f>
        <ns0:v>39</ns0:v>
      </ns0:c>
      <ns0:c r="Q160" s="7" t="inlineStr">
        <ns0:is>
          <ns0:t>출처 기반 자체 검토 / 독립 승인 전</ns0:t>
        </ns0:is>
      </ns0:c>
    </ns0:row>
    <ns0:row r="161" ht="98" customHeight="1">
      <ns0:c r="A161" s="4" t="n">
        <ns0:v>910160</ns0:v>
      </ns0:c>
      <ns0:c r="B161" s="4" t="n">
        <ns0:v>8</ns0:v>
      </ns0:c>
      <ns0:c r="C161" s="4" t="inlineStr">
        <ns0:is>
          <ns0:t>dk-proposal-order</ns0:t>
        </ns0:is>
      </ns0:c>
      <ns0:c r="D161" s="4" t="n">
        <ns0:v>4</ns0:v>
      </ns0:c>
      <ns0:c r="E161" s="8" t="inlineStr">
        <ns0:is>
          <ns0:t>청의서와 칙령을 같은 단계라고 설명하면?</ns0:t>
        </ns0:is>
      </ns0:c>
      <ns0:c r="F161" s="8" t="inlineStr">
        <ns0:is>
          <ns0:t>같은 안건의 문서는 비교하면 안 된다</ns0:t>
        </ns0:is>
      </ns0:c>
      <ns0:c r="G161" s="8" t="inlineStr">
        <ns0:is>
          <ns0:t>제안과 명령의 기능 차이를 놓친다</ns0:t>
        </ns0:is>
      </ns0:c>
      <ns0:c r="H161" s="8" t="inlineStr">
        <ns0:is>
          <ns0:t>날짜만 가까우면 기능도 동일하다</ns0:t>
        </ns0:is>
      </ns0:c>
      <ns0:c r="I161" s="8" t="n">
        <ns0:v>2</ns0:v>
      </ns0:c>
      <ns0:c r="J161" s="8" t="inlineStr">
        <ns0:is>
          <ns0:t>행정 개편은 제안·칙령·관보 게재의 과정으로 살펴볼 수 있어요. 청의서는 안건을 올린 문서예요.</ns0:t>
        </ns0:is>
      </ns0:c>
      <ns0:c r="K161" s="8" t="inlineStr">
        <ns0:is>
          <ns0:t>고른 보기 ‘같은 안건의 문서는 비교하면 안 된다’와 달라요. 이 문항의 정답은 ‘제안과 명령의 기능 차이를 놓친다’입니다. 행정 개편은 제안·칙령·관보 게재의 과정으로 살펴볼 수 있어요. 청의서는 안건을 올린 문서예요.</ns0:t>
        </ns0:is>
      </ns0:c>
      <ns0:c r="L161" s="8" t="inlineStr">
        <ns0:is>
          <ns0:t>행정 개편은 제안·칙령·관보 게재의 과정으로 살펴볼 수 있어요. 청의서는 안건을 올린 문서예요.</ns0:t>
        </ns0:is>
      </ns0:c>
      <ns0:c r="M161" s="8" t="inlineStr">
        <ns0:is>
          <ns0:t>고른 보기 ‘날짜만 가까우면 기능도 동일하다’와 달라요. 이 문항의 정답은 ‘제안과 명령의 기능 차이를 놓친다’입니다. 행정 개편은 제안·칙령·관보 게재의 과정으로 살펴볼 수 있어요. 청의서는 안건을 올린 문서예요.</ns0:t>
        </ns0:is>
      </ns0:c>
      <ns0:c r="N161" s="8" t="inlineStr">
        <ns0:is>
          <ns0:t>1900년 문서 순서: 10월 22일 의정부 청의서→10월 25일 칙령 제41호→10월 27일 관보 게재. 각 문서는 같은 과정에서 서로 다른 역할을 합니다.</ns0:t>
        </ns0:is>
      </ns0:c>
      <ns0:c r="O161" s="8" t="inlineStr">
        <ns0:is>
          <ns0:t>https://dokdo.mofa.go.kr/kor/pds/part02_view01.jsp
https://dokdo.mofa.go.kr/kor/pds/part02_view02.jsp
https://dokdo.mofa.go.kr/kor/pds/part02_view03.jsp</ns0:t>
        </ns0:is>
      </ns0:c>
      <ns0:c r="P161" s="5">
        <ns0:f>LEN(E161)+MAX(LEN(F161),LEN(G161),LEN(H161))</ns0:f>
        <ns0:v>42</ns0:v>
      </ns0:c>
      <ns0:c r="Q161" s="9" t="inlineStr">
        <ns0:is>
          <ns0:t>출처 기반 자체 검토 / 독립 승인 전</ns0:t>
        </ns0:is>
      </ns0:c>
    </ns0:row>
    <ns0:row r="162" ht="98" customHeight="1">
      <ns0:c r="A162" s="2" t="n">
        <ns0:v>910161</ns0:v>
      </ns0:c>
      <ns0:c r="B162" s="2" t="n">
        <ns0:v>9</ns0:v>
      </ns0:c>
      <ns0:c r="C162" s="2" t="inlineStr">
        <ns0:is>
          <ns0:t>dk-shim-role</ns0:t>
        </ns0:is>
      </ns0:c>
      <ns0:c r="D162" s="2" t="n">
        <ns0:v>1</ns0:v>
      </ns0:c>
      <ns0:c r="E162" s="6" t="inlineStr">
        <ns0:is>
          <ns0:t>1906년 독도 관련 보고를 한 울도군수는?</ns0:t>
        </ns0:is>
      </ns0:c>
      <ns0:c r="F162" s="6" t="inlineStr">
        <ns0:is>
          <ns0:t>심흥택</ns0:t>
        </ns0:is>
      </ns0:c>
      <ns0:c r="G162" s="6" t="inlineStr">
        <ns0:is>
          <ns0:t>안용복</ns0:t>
        </ns0:is>
      </ns0:c>
      <ns0:c r="H162" s="6" t="inlineStr">
        <ns0:is>
          <ns0:t>박어둔</ns0:t>
        </ns0:is>
      </ns0:c>
      <ns0:c r="I162" s="6" t="n">
        <ns0:v>1</ns0:v>
      </ns0:c>
      <ns0:c r="J162" s="6" t="inlineStr">
        <ns0:is>
          <ns0:t>심흥택은 울도군수였어요. 1906년 독도와 관련해 들은 상황을 상부에 보고했어요.</ns0:t>
        </ns0:is>
      </ns0:c>
      <ns0:c r="K162" s="6" t="inlineStr">
        <ns0:is>
          <ns0:t>심흥택은 울도군수였어요. 1906년 독도와 관련해 들은 상황을 상부에 보고했어요.</ns0:t>
        </ns0:is>
      </ns0:c>
      <ns0:c r="L162" s="6" t="inlineStr">
        <ns0:is>
          <ns0:t>고른 보기 ‘안용복’와 달라요. 이 문항의 정답은 ‘심흥택’입니다. 심흥택은 울도군수였어요. 1906년 독도와 관련해 들은 상황을 상부에 보고했어요.</ns0:t>
        </ns0:is>
      </ns0:c>
      <ns0:c r="M162" s="6" t="inlineStr">
        <ns0:is>
          <ns0:t>고른 보기 ‘박어둔’와 달라요. 이 문항의 정답은 ‘심흥택’입니다. 심흥택은 울도군수였어요. 1906년 독도와 관련해 들은 상황을 상부에 보고했어요.</ns0:t>
        </ns0:is>
      </ns0:c>
      <ns0:c r="N162" s="6" t="inlineStr"/>
      <ns0:c r="O162" s="6" t="inlineStr">
        <ns0:is>
          <ns0:t>https://dokdo.mofa.go.kr/kor/pds/part02_view04.jsp</ns0:t>
        </ns0:is>
      </ns0:c>
      <ns0:c r="P162" s="3">
        <ns0:f>LEN(E162)+MAX(LEN(F162),LEN(G162),LEN(H162))</ns0:f>
        <ns0:v>27</ns0:v>
      </ns0:c>
      <ns0:c r="Q162" s="7" t="inlineStr">
        <ns0:is>
          <ns0:t>출처 기반 자체 검토 / 독립 승인 전</ns0:t>
        </ns0:is>
      </ns0:c>
    </ns0:row>
    <ns0:row r="163" ht="98" customHeight="1">
      <ns0:c r="A163" s="4" t="n">
        <ns0:v>910162</ns0:v>
      </ns0:c>
      <ns0:c r="B163" s="4" t="n">
        <ns0:v>9</ns0:v>
      </ns0:c>
      <ns0:c r="C163" s="4" t="inlineStr">
        <ns0:is>
          <ns0:t>dk-shim-role</ns0:t>
        </ns0:is>
      </ns0:c>
      <ns0:c r="D163" s="4" t="n">
        <ns0:v>2</ns0:v>
      </ns0:c>
      <ns0:c r="E163" s="8" t="inlineStr">
        <ns0:is>
          <ns0:t>심흥택과 연결되는 직책은?</ns0:t>
        </ns0:is>
      </ns0:c>
      <ns0:c r="F163" s="8" t="inlineStr">
        <ns0:is>
          <ns0:t>독도등대 관리원</ns0:t>
        </ns0:is>
      </ns0:c>
      <ns0:c r="G163" s="8" t="inlineStr">
        <ns0:is>
          <ns0:t>여객선 선장</ns0:t>
        </ns0:is>
      </ns0:c>
      <ns0:c r="H163" s="8" t="inlineStr">
        <ns0:is>
          <ns0:t>울도군수</ns0:t>
        </ns0:is>
      </ns0:c>
      <ns0:c r="I163" s="8" t="n">
        <ns0:v>3</ns0:v>
      </ns0:c>
      <ns0:c r="J163" s="8" t="inlineStr">
        <ns0:is>
          <ns0:t>심흥택은 울도군수였어요. 1906년 독도와 관련해 들은 상황을 상부에 보고했어요.</ns0:t>
        </ns0:is>
      </ns0:c>
      <ns0:c r="K163" s="8" t="inlineStr">
        <ns0:is>
          <ns0:t>고른 보기 ‘독도등대 관리원’와 달라요. 이 문항의 정답은 ‘울도군수’입니다. 심흥택은 울도군수였어요. 1906년 독도와 관련해 들은 상황을 상부에 보고했어요.</ns0:t>
        </ns0:is>
      </ns0:c>
      <ns0:c r="L163" s="8" t="inlineStr">
        <ns0:is>
          <ns0:t>고른 보기 ‘여객선 선장’와 달라요. 이 문항의 정답은 ‘울도군수’입니다. 심흥택은 울도군수였어요. 1906년 독도와 관련해 들은 상황을 상부에 보고했어요.</ns0:t>
        </ns0:is>
      </ns0:c>
      <ns0:c r="M163" s="8" t="inlineStr">
        <ns0:is>
          <ns0:t>심흥택은 울도군수였어요. 1906년 독도와 관련해 들은 상황을 상부에 보고했어요.</ns0:t>
        </ns0:is>
      </ns0:c>
      <ns0:c r="N163" s="8" t="inlineStr"/>
      <ns0:c r="O163" s="8" t="inlineStr">
        <ns0:is>
          <ns0:t>https://dokdo.mofa.go.kr/kor/pds/part02_view04.jsp</ns0:t>
        </ns0:is>
      </ns0:c>
      <ns0:c r="P163" s="5">
        <ns0:f>LEN(E163)+MAX(LEN(F163),LEN(G163),LEN(H163))</ns0:f>
        <ns0:v>22</ns0:v>
      </ns0:c>
      <ns0:c r="Q163" s="9" t="inlineStr">
        <ns0:is>
          <ns0:t>출처 기반 자체 검토 / 독립 승인 전</ns0:t>
        </ns0:is>
      </ns0:c>
    </ns0:row>
    <ns0:row r="164" ht="98" customHeight="1">
      <ns0:c r="A164" s="2" t="n">
        <ns0:v>910163</ns0:v>
      </ns0:c>
      <ns0:c r="B164" s="2" t="n">
        <ns0:v>9</ns0:v>
      </ns0:c>
      <ns0:c r="C164" s="2" t="inlineStr">
        <ns0:is>
          <ns0:t>dk-shim-role</ns0:t>
        </ns0:is>
      </ns0:c>
      <ns0:c r="D164" s="2" t="n">
        <ns0:v>3</ns0:v>
      </ns0:c>
      <ns0:c r="E164" s="6" t="inlineStr">
        <ns0:is>
          <ns0:t>자료의 심흥택 보고가 담는 정보의 성격은?</ns0:t>
        </ns0:is>
      </ns0:c>
      <ns0:c r="F164" s="6" t="inlineStr">
        <ns0:is>
          <ns0:t>독도의 정확한 해저 측량값</ns0:t>
        </ns0:is>
      </ns0:c>
      <ns0:c r="G164" s="6" t="inlineStr">
        <ns0:is>
          <ns0:t>당시 관리가 파악한 상황</ns0:t>
        </ns0:is>
      </ns0:c>
      <ns0:c r="H164" s="6" t="inlineStr">
        <ns0:is>
          <ns0:t>현재 모든 주민 수의 실시간 통계</ns0:t>
        </ns0:is>
      </ns0:c>
      <ns0:c r="I164" s="6" t="n">
        <ns0:v>2</ns0:v>
      </ns0:c>
      <ns0:c r="J164" s="6" t="inlineStr">
        <ns0:is>
          <ns0:t>심흥택은 울도군수였어요. 1906년 독도와 관련해 들은 상황을 상부에 보고했어요.</ns0:t>
        </ns0:is>
      </ns0:c>
      <ns0:c r="K164" s="6" t="inlineStr">
        <ns0:is>
          <ns0:t>고른 보기 ‘독도의 정확한 해저 측량값’와 달라요. 이 문항의 정답은 ‘당시 관리가 파악한 상황’입니다. 심흥택은 울도군수였어요. 1906년 독도와 관련해 들은 상황을 상부에 보고했어요.</ns0:t>
        </ns0:is>
      </ns0:c>
      <ns0:c r="L164" s="6" t="inlineStr">
        <ns0:is>
          <ns0:t>심흥택은 울도군수였어요. 1906년 독도와 관련해 들은 상황을 상부에 보고했어요.</ns0:t>
        </ns0:is>
      </ns0:c>
      <ns0:c r="M164" s="6" t="inlineStr">
        <ns0:is>
          <ns0:t>고른 보기 ‘현재 모든 주민 수의 실시간 통계’와 달라요. 이 문항의 정답은 ‘당시 관리가 파악한 상황’입니다. 심흥택은 울도군수였어요. 1906년 독도와 관련해 들은 상황을 상부에 보고했어요.</ns0:t>
        </ns0:is>
      </ns0:c>
      <ns0:c r="N164" s="6" t="inlineStr">
        <ns0:is>
          <ns0:t>외교부 자료실의 1906년 보고에는 울도군수 심흥택의 보고 내용이 실려 있습니다. 관리의 보고는 당시 상황을 전달한 문서입니다.</ns0:t>
        </ns0:is>
      </ns0:c>
      <ns0:c r="O164" s="6" t="inlineStr">
        <ns0:is>
          <ns0:t>https://dokdo.mofa.go.kr/kor/pds/part02_view04.jsp</ns0:t>
        </ns0:is>
      </ns0:c>
      <ns0:c r="P164" s="3">
        <ns0:f>LEN(E164)+MAX(LEN(F164),LEN(G164),LEN(H164))</ns0:f>
        <ns0:v>41</ns0:v>
      </ns0:c>
      <ns0:c r="Q164" s="7" t="inlineStr">
        <ns0:is>
          <ns0:t>출처 기반 자체 검토 / 독립 승인 전</ns0:t>
        </ns0:is>
      </ns0:c>
    </ns0:row>
    <ns0:row r="165" ht="98" customHeight="1">
      <ns0:c r="A165" s="4" t="n">
        <ns0:v>910164</ns0:v>
      </ns0:c>
      <ns0:c r="B165" s="4" t="n">
        <ns0:v>9</ns0:v>
      </ns0:c>
      <ns0:c r="C165" s="4" t="inlineStr">
        <ns0:is>
          <ns0:t>dk-shim-role</ns0:t>
        </ns0:is>
      </ns0:c>
      <ns0:c r="D165" s="4" t="n">
        <ns0:v>4</ns0:v>
      </ns0:c>
      <ns0:c r="E165" s="8" t="inlineStr">
        <ns0:is>
          <ns0:t>1906년 보고를 오늘의 현장 관측처럼 소개하면?</ns0:t>
        </ns0:is>
      </ns0:c>
      <ns0:c r="F165" s="8" t="inlineStr">
        <ns0:is>
          <ns0:t>작성 시점과 자료의 성격을 혼동한다</ns0:t>
        </ns0:is>
      </ns0:c>
      <ns0:c r="G165" s="8" t="inlineStr">
        <ns0:is>
          <ns0:t>공식 문서이면 모든 시대를 직접 관측한다</ns0:t>
        </ns0:is>
      </ns0:c>
      <ns0:c r="H165" s="8" t="inlineStr">
        <ns0:is>
          <ns0:t>오래된 보고는 역사 연구에 쓸 수 없다</ns0:t>
        </ns0:is>
      </ns0:c>
      <ns0:c r="I165" s="8" t="n">
        <ns0:v>1</ns0:v>
      </ns0:c>
      <ns0:c r="J165" s="8" t="inlineStr">
        <ns0:is>
          <ns0:t>심흥택은 울도군수였어요. 1906년 독도와 관련해 들은 상황을 상부에 보고했어요.</ns0:t>
        </ns0:is>
      </ns0:c>
      <ns0:c r="K165" s="8" t="inlineStr">
        <ns0:is>
          <ns0:t>심흥택은 울도군수였어요. 1906년 독도와 관련해 들은 상황을 상부에 보고했어요.</ns0:t>
        </ns0:is>
      </ns0:c>
      <ns0:c r="L165" s="8" t="inlineStr">
        <ns0:is>
          <ns0:t>고른 보기 ‘공식 문서이면 모든 시대를 직접 관측한다’와 달라요. 이 문항의 정답은 ‘작성 시점과 자료의 성격을 혼동한다’입니다. 심흥택은 울도군수였어요. 1906년 독도와 관련해 들은 상황을 상부에 보고했어요.</ns0:t>
        </ns0:is>
      </ns0:c>
      <ns0:c r="M165" s="8" t="inlineStr">
        <ns0:is>
          <ns0:t>고른 보기 ‘오래된 보고는 역사 연구에 쓸 수 없다’와 달라요. 이 문항의 정답은 ‘작성 시점과 자료의 성격을 혼동한다’입니다. 심흥택은 울도군수였어요. 1906년 독도와 관련해 들은 상황을 상부에 보고했어요.</ns0:t>
        </ns0:is>
      </ns0:c>
      <ns0:c r="N165" s="8" t="inlineStr">
        <ns0:is>
          <ns0:t>외교부 자료실의 1906년 보고에는 울도군수 심흥택의 보고 내용이 실려 있습니다. 관리의 보고는 당시 상황을 전달한 문서입니다.</ns0:t>
        </ns0:is>
      </ns0:c>
      <ns0:c r="O165" s="8" t="inlineStr">
        <ns0:is>
          <ns0:t>https://dokdo.mofa.go.kr/kor/pds/part02_view04.jsp</ns0:t>
        </ns0:is>
      </ns0:c>
      <ns0:c r="P165" s="5">
        <ns0:f>LEN(E165)+MAX(LEN(F165),LEN(G165),LEN(H165))</ns0:f>
        <ns0:v>49</ns0:v>
      </ns0:c>
      <ns0:c r="Q165" s="9" t="inlineStr">
        <ns0:is>
          <ns0:t>출처 기반 자체 검토 / 독립 승인 전</ns0:t>
        </ns0:is>
      </ns0:c>
    </ns0:row>
    <ns0:row r="166" ht="98" customHeight="1">
      <ns0:c r="A166" s="2" t="n">
        <ns0:v>910165</ns0:v>
      </ns0:c>
      <ns0:c r="B166" s="2" t="n">
        <ns0:v>9</ns0:v>
      </ns0:c>
      <ns0:c r="C166" s="2" t="inlineStr">
        <ns0:is>
          <ns0:t>dk-county-affiliation</ns0:t>
        </ns0:is>
      </ns0:c>
      <ns0:c r="D166" s="2" t="n">
        <ns0:v>1</ns0:v>
      </ns0:c>
      <ns0:c r="E166" s="6" t="inlineStr">
        <ns0:is>
          <ns0:t>‘본군’은 무슨 뜻일까요?</ns0:t>
        </ns0:is>
      </ns0:c>
      <ns0:c r="F166" s="6" t="inlineStr">
        <ns0:is>
          <ns0:t>모든 나라의 군대</ns0:t>
        </ns0:is>
      </ns0:c>
      <ns0:c r="G166" s="6" t="inlineStr">
        <ns0:is>
          <ns0:t>배가 정박한 항구만</ns0:t>
        </ns0:is>
      </ns0:c>
      <ns0:c r="H166" s="6" t="inlineStr">
        <ns0:is>
          <ns0:t>보고자가 맡은 군</ns0:t>
        </ns0:is>
      </ns0:c>
      <ns0:c r="I166" s="6" t="n">
        <ns0:v>3</ns0:v>
      </ns0:c>
      <ns0:c r="J166" s="6" t="inlineStr">
        <ns0:is>
          <ns0:t>심흥택의 보고에는 독도를 자기 군에 속한 섬으로 표현한 내용이 있어요. 이 표현은 당시 관리의 인식을 보여줘요.</ns0:t>
        </ns0:is>
      </ns0:c>
      <ns0:c r="K166" s="6" t="inlineStr">
        <ns0:is>
          <ns0:t>고른 보기 ‘모든 나라의 군대’와 달라요. 이 문항의 정답은 ‘보고자가 맡은 군’입니다. 심흥택의 보고에는 독도를 자기 군에 속한 섬으로 표현한 내용이 있어요. 이 표현은 당시 관리의 인식을 보여줘요.</ns0:t>
        </ns0:is>
      </ns0:c>
      <ns0:c r="L166" s="6" t="inlineStr">
        <ns0:is>
          <ns0:t>고른 보기 ‘배가 정박한 항구만’와 달라요. 이 문항의 정답은 ‘보고자가 맡은 군’입니다. 심흥택의 보고에는 독도를 자기 군에 속한 섬으로 표현한 내용이 있어요. 이 표현은 당시 관리의 인식을 보여줘요.</ns0:t>
        </ns0:is>
      </ns0:c>
      <ns0:c r="M166" s="6" t="inlineStr">
        <ns0:is>
          <ns0:t>심흥택의 보고에는 독도를 자기 군에 속한 섬으로 표현한 내용이 있어요. 이 표현은 당시 관리의 인식을 보여줘요.</ns0:t>
        </ns0:is>
      </ns0:c>
      <ns0:c r="N166" s="6" t="inlineStr"/>
      <ns0:c r="O166" s="6" t="inlineStr">
        <ns0:is>
          <ns0:t>https://dokdo.mofa.go.kr/kor/pds/part02_view04.jsp</ns0:t>
        </ns0:is>
      </ns0:c>
      <ns0:c r="P166" s="3">
        <ns0:f>LEN(E166)+MAX(LEN(F166),LEN(G166),LEN(H166))</ns0:f>
        <ns0:v>24</ns0:v>
      </ns0:c>
      <ns0:c r="Q166" s="7" t="inlineStr">
        <ns0:is>
          <ns0:t>출처 기반 자체 검토 / 독립 승인 전</ns0:t>
        </ns0:is>
      </ns0:c>
    </ns0:row>
    <ns0:row r="167" ht="98" customHeight="1">
      <ns0:c r="A167" s="4" t="n">
        <ns0:v>910166</ns0:v>
      </ns0:c>
      <ns0:c r="B167" s="4" t="n">
        <ns0:v>9</ns0:v>
      </ns0:c>
      <ns0:c r="C167" s="4" t="inlineStr">
        <ns0:is>
          <ns0:t>dk-county-affiliation</ns0:t>
        </ns0:is>
      </ns0:c>
      <ns0:c r="D167" s="4" t="n">
        <ns0:v>2</ns0:v>
      </ns0:c>
      <ns0:c r="E167" s="8" t="inlineStr">
        <ns0:is>
          <ns0:t>‘본군 소속 독도’가 보여주는 것은?</ns0:t>
        </ns0:is>
      </ns0:c>
      <ns0:c r="F167" s="8" t="inlineStr">
        <ns0:is>
          <ns0:t>새의 이동 속도</ns0:t>
        </ns0:is>
      </ns0:c>
      <ns0:c r="G167" s="8" t="inlineStr">
        <ns0:is>
          <ns0:t>독도를 자기 군으로 본 인식</ns0:t>
        </ns0:is>
      </ns0:c>
      <ns0:c r="H167" s="8" t="inlineStr">
        <ns0:is>
          <ns0:t>독도의 바위 색</ns0:t>
        </ns0:is>
      </ns0:c>
      <ns0:c r="I167" s="8" t="n">
        <ns0:v>2</ns0:v>
      </ns0:c>
      <ns0:c r="J167" s="8" t="inlineStr">
        <ns0:is>
          <ns0:t>심흥택의 보고에는 독도를 자기 군에 속한 섬으로 표현한 내용이 있어요. 이 표현은 당시 관리의 인식을 보여줘요.</ns0:t>
        </ns0:is>
      </ns0:c>
      <ns0:c r="K167" s="8" t="inlineStr">
        <ns0:is>
          <ns0:t>고른 보기 ‘새의 이동 속도’와 달라요. 이 문항의 정답은 ‘독도를 자기 군으로 본 인식’입니다. 심흥택의 보고에는 독도를 자기 군에 속한 섬으로 표현한 내용이 있어요. 이 표현은 당시 관리의 인식을 보여줘요.</ns0:t>
        </ns0:is>
      </ns0:c>
      <ns0:c r="L167" s="8" t="inlineStr">
        <ns0:is>
          <ns0:t>심흥택의 보고에는 독도를 자기 군에 속한 섬으로 표현한 내용이 있어요. 이 표현은 당시 관리의 인식을 보여줘요.</ns0:t>
        </ns0:is>
      </ns0:c>
      <ns0:c r="M167" s="8" t="inlineStr">
        <ns0:is>
          <ns0:t>고른 보기 ‘독도의 바위 색’와 달라요. 이 문항의 정답은 ‘독도를 자기 군으로 본 인식’입니다. 심흥택의 보고에는 독도를 자기 군에 속한 섬으로 표현한 내용이 있어요. 이 표현은 당시 관리의 인식을 보여줘요.</ns0:t>
        </ns0:is>
      </ns0:c>
      <ns0:c r="N167" s="8" t="inlineStr"/>
      <ns0:c r="O167" s="8" t="inlineStr">
        <ns0:is>
          <ns0:t>https://dokdo.mofa.go.kr/kor/pds/part02_view04.jsp</ns0:t>
        </ns0:is>
      </ns0:c>
      <ns0:c r="P167" s="5">
        <ns0:f>LEN(E167)+MAX(LEN(F167),LEN(G167),LEN(H167))</ns0:f>
        <ns0:v>35</ns0:v>
      </ns0:c>
      <ns0:c r="Q167" s="9" t="inlineStr">
        <ns0:is>
          <ns0:t>출처 기반 자체 검토 / 독립 승인 전</ns0:t>
        </ns0:is>
      </ns0:c>
    </ns0:row>
    <ns0:row r="168" ht="98" customHeight="1">
      <ns0:c r="A168" s="2" t="n">
        <ns0:v>910167</ns0:v>
      </ns0:c>
      <ns0:c r="B168" s="2" t="n">
        <ns0:v>9</ns0:v>
      </ns0:c>
      <ns0:c r="C168" s="2" t="inlineStr">
        <ns0:is>
          <ns0:t>dk-county-affiliation</ns0:t>
        </ns0:is>
      </ns0:c>
      <ns0:c r="D168" s="2" t="n">
        <ns0:v>3</ns0:v>
      </ns0:c>
      <ns0:c r="E168" s="6" t="inlineStr">
        <ns0:is>
          <ns0:t>자료에서 보고자 자신의 표현은?</ns0:t>
        </ns0:is>
      </ns0:c>
      <ns0:c r="F168" s="6" t="inlineStr">
        <ns0:is>
          <ns0:t>본군 소속 독도</ns0:t>
        </ns0:is>
      </ns0:c>
      <ns0:c r="G168" s="6" t="inlineStr">
        <ns0:is>
          <ns0:t>오늘 등대의 전력량</ns0:t>
        </ns0:is>
      </ns0:c>
      <ns0:c r="H168" s="6" t="inlineStr">
        <ns0:is>
          <ns0:t>현재 여객선 출항 시각</ns0:t>
        </ns0:is>
      </ns0:c>
      <ns0:c r="I168" s="6" t="n">
        <ns0:v>1</ns0:v>
      </ns0:c>
      <ns0:c r="J168" s="6" t="inlineStr">
        <ns0:is>
          <ns0:t>심흥택의 보고에는 독도를 자기 군에 속한 섬으로 표현한 내용이 있어요. 이 표현은 당시 관리의 인식을 보여줘요.</ns0:t>
        </ns0:is>
      </ns0:c>
      <ns0:c r="K168" s="6" t="inlineStr">
        <ns0:is>
          <ns0:t>심흥택의 보고에는 독도를 자기 군에 속한 섬으로 표현한 내용이 있어요. 이 표현은 당시 관리의 인식을 보여줘요.</ns0:t>
        </ns0:is>
      </ns0:c>
      <ns0:c r="L168" s="6" t="inlineStr">
        <ns0:is>
          <ns0:t>고른 보기 ‘오늘 등대의 전력량’와 달라요. 이 문항의 정답은 ‘본군 소속 독도’입니다. 심흥택의 보고에는 독도를 자기 군에 속한 섬으로 표현한 내용이 있어요. 이 표현은 당시 관리의 인식을 보여줘요.</ns0:t>
        </ns0:is>
      </ns0:c>
      <ns0:c r="M168" s="6" t="inlineStr">
        <ns0:is>
          <ns0:t>고른 보기 ‘현재 여객선 출항 시각’와 달라요. 이 문항의 정답은 ‘본군 소속 독도’입니다. 심흥택의 보고에는 독도를 자기 군에 속한 섬으로 표현한 내용이 있어요. 이 표현은 당시 관리의 인식을 보여줘요.</ns0:t>
        </ns0:is>
      </ns0:c>
      <ns0:c r="N168" s="6" t="inlineStr">
        <ns0:is>
          <ns0:t>보고서의 표현 ‘본군 소속 독도’는 ‘우리 군에 속한 독도’라는 뜻입니다. 이것은 보고자의 표현이며, 아래에 인용되는 일본 관리의 발언과 구분해야 합니다.</ns0:t>
        </ns0:is>
      </ns0:c>
      <ns0:c r="O168" s="6" t="inlineStr">
        <ns0:is>
          <ns0:t>https://dokdo.mofa.go.kr/kor/pds/part02_view04.jsp</ns0:t>
        </ns0:is>
      </ns0:c>
      <ns0:c r="P168" s="3">
        <ns0:f>LEN(E168)+MAX(LEN(F168),LEN(G168),LEN(H168))</ns0:f>
        <ns0:v>29</ns0:v>
      </ns0:c>
      <ns0:c r="Q168" s="7" t="inlineStr">
        <ns0:is>
          <ns0:t>출처 기반 자체 검토 / 독립 승인 전</ns0:t>
        </ns0:is>
      </ns0:c>
    </ns0:row>
    <ns0:row r="169" ht="98" customHeight="1">
      <ns0:c r="A169" s="4" t="n">
        <ns0:v>910168</ns0:v>
      </ns0:c>
      <ns0:c r="B169" s="4" t="n">
        <ns0:v>9</ns0:v>
      </ns0:c>
      <ns0:c r="C169" s="4" t="inlineStr">
        <ns0:is>
          <ns0:t>dk-county-affiliation</ns0:t>
        </ns0:is>
      </ns0:c>
      <ns0:c r="D169" s="4" t="n">
        <ns0:v>4</ns0:v>
      </ns0:c>
      <ns0:c r="E169" s="8" t="inlineStr">
        <ns0:is>
          <ns0:t>보고자의 표현과 인용 발언을 섞어 읽으면?</ns0:t>
        </ns0:is>
      </ns0:c>
      <ns0:c r="F169" s="8" t="inlineStr">
        <ns0:is>
          <ns0:t>같은 종이에 있으면 발언자는 모두 같다</ns0:t>
        </ns0:is>
      </ns0:c>
      <ns0:c r="G169" s="8" t="inlineStr">
        <ns0:is>
          <ns0:t>보고서는 인용을 포함할 수 없다</ns0:t>
        </ns0:is>
      </ns0:c>
      <ns0:c r="H169" s="8" t="inlineStr">
        <ns0:is>
          <ns0:t>누가 어떤 입장을 말했는지 달라질 수 있다</ns0:t>
        </ns0:is>
      </ns0:c>
      <ns0:c r="I169" s="8" t="n">
        <ns0:v>3</ns0:v>
      </ns0:c>
      <ns0:c r="J169" s="8" t="inlineStr">
        <ns0:is>
          <ns0:t>심흥택의 보고에는 독도를 자기 군에 속한 섬으로 표현한 내용이 있어요. 이 표현은 당시 관리의 인식을 보여줘요.</ns0:t>
        </ns0:is>
      </ns0:c>
      <ns0:c r="K169" s="8" t="inlineStr">
        <ns0:is>
          <ns0:t>고른 보기 ‘같은 종이에 있으면 발언자는 모두 같다’와 달라요. 이 문항의 정답은 ‘누가 어떤 입장을 말했는지 달라질 수 있다’입니다. 심흥택의 보고에는 독도를 자기 군에 속한 섬으로 표현한 내용이 있어요. 이 표현은 당시 관리의 인식을 보여줘요.</ns0:t>
        </ns0:is>
      </ns0:c>
      <ns0:c r="L169" s="8" t="inlineStr">
        <ns0:is>
          <ns0:t>고른 보기 ‘보고서는 인용을 포함할 수 없다’와 달라요. 이 문항의 정답은 ‘누가 어떤 입장을 말했는지 달라질 수 있다’입니다. 심흥택의 보고에는 독도를 자기 군에 속한 섬으로 표현한 내용이 있어요. 이 표현은 당시 관리의 인식을 보여줘요.</ns0:t>
        </ns0:is>
      </ns0:c>
      <ns0:c r="M169" s="8" t="inlineStr">
        <ns0:is>
          <ns0:t>심흥택의 보고에는 독도를 자기 군에 속한 섬으로 표현한 내용이 있어요. 이 표현은 당시 관리의 인식을 보여줘요.</ns0:t>
        </ns0:is>
      </ns0:c>
      <ns0:c r="N169" s="8" t="inlineStr">
        <ns0:is>
          <ns0:t>보고서의 표현 ‘본군 소속 독도’는 ‘우리 군에 속한 독도’라는 뜻입니다. 이것은 보고자의 표현이며, 아래에 인용되는 일본 관리의 발언과 구분해야 합니다.</ns0:t>
        </ns0:is>
      </ns0:c>
      <ns0:c r="O169" s="8" t="inlineStr">
        <ns0:is>
          <ns0:t>https://dokdo.mofa.go.kr/kor/pds/part02_view04.jsp</ns0:t>
        </ns0:is>
      </ns0:c>
      <ns0:c r="P169" s="5">
        <ns0:f>LEN(E169)+MAX(LEN(F169),LEN(G169),LEN(H169))</ns0:f>
        <ns0:v>46</ns0:v>
      </ns0:c>
      <ns0:c r="Q169" s="9" t="inlineStr">
        <ns0:is>
          <ns0:t>출처 기반 자체 검토 / 독립 승인 전</ns0:t>
        </ns0:is>
      </ns0:c>
    </ns0:row>
    <ns0:row r="170" ht="98" customHeight="1">
      <ns0:c r="A170" s="2" t="n">
        <ns0:v>910169</ns0:v>
      </ns0:c>
      <ns0:c r="B170" s="2" t="n">
        <ns0:v>9</ns0:v>
      </ns0:c>
      <ns0:c r="C170" s="2" t="inlineStr">
        <ns0:is>
          <ns0:t>dk-reported-speech</ns0:t>
        </ns0:is>
      </ns0:c>
      <ns0:c r="D170" s="2" t="n">
        <ns0:v>1</ns0:v>
      </ns0:c>
      <ns0:c r="E170" s="6" t="inlineStr">
        <ns0:is>
          <ns0:t>보고에 옮겨 적은 영지 주장의 발언자는?</ns0:t>
        </ns0:is>
      </ns0:c>
      <ns0:c r="F170" s="6" t="inlineStr">
        <ns0:is>
          <ns0:t>독도등대 관리원</ns0:t>
        </ns0:is>
      </ns0:c>
      <ns0:c r="G170" s="6" t="inlineStr">
        <ns0:is>
          <ns0:t>방문한 일본 관리들</ns0:t>
        </ns0:is>
      </ns0:c>
      <ns0:c r="H170" s="6" t="inlineStr">
        <ns0:is>
          <ns0:t>오늘의 관광객</ns0:t>
        </ns0:is>
      </ns0:c>
      <ns0:c r="I170" s="6" t="n">
        <ns0:v>2</ns0:v>
      </ns0:c>
      <ns0:c r="J170" s="6" t="inlineStr">
        <ns0:is>
          <ns0:t>심흥택 보고에는 일본 관리에게 들은 주장도 들어 있어요. 남의 말을 보고한 것과 그 주장에 동의한 것은 달라요.</ns0:t>
        </ns0:is>
      </ns0:c>
      <ns0:c r="K170" s="6" t="inlineStr">
        <ns0:is>
          <ns0:t>고른 보기 ‘독도등대 관리원’와 달라요. 이 문항의 정답은 ‘방문한 일본 관리들’입니다. 심흥택 보고에는 일본 관리에게 들은 주장도 들어 있어요. 남의 말을 보고한 것과 그 주장에 동의한 것은 달라요.</ns0:t>
        </ns0:is>
      </ns0:c>
      <ns0:c r="L170" s="6" t="inlineStr">
        <ns0:is>
          <ns0:t>심흥택 보고에는 일본 관리에게 들은 주장도 들어 있어요. 남의 말을 보고한 것과 그 주장에 동의한 것은 달라요.</ns0:t>
        </ns0:is>
      </ns0:c>
      <ns0:c r="M170" s="6" t="inlineStr">
        <ns0:is>
          <ns0:t>고른 보기 ‘오늘의 관광객’와 달라요. 이 문항의 정답은 ‘방문한 일본 관리들’입니다. 심흥택 보고에는 일본 관리에게 들은 주장도 들어 있어요. 남의 말을 보고한 것과 그 주장에 동의한 것은 달라요.</ns0:t>
        </ns0:is>
      </ns0:c>
      <ns0:c r="N170" s="6" t="inlineStr"/>
      <ns0:c r="O170" s="6" t="inlineStr">
        <ns0:is>
          <ns0:t>https://dokdo.mofa.go.kr/kor/pds/part02_view04.jsp</ns0:t>
        </ns0:is>
      </ns0:c>
      <ns0:c r="P170" s="3">
        <ns0:f>LEN(E170)+MAX(LEN(F170),LEN(G170),LEN(H170))</ns0:f>
        <ns0:v>32</ns0:v>
      </ns0:c>
      <ns0:c r="Q170" s="7" t="inlineStr">
        <ns0:is>
          <ns0:t>출처 기반 자체 검토 / 독립 승인 전</ns0:t>
        </ns0:is>
      </ns0:c>
    </ns0:row>
    <ns0:row r="171" ht="98" customHeight="1">
      <ns0:c r="A171" s="4" t="n">
        <ns0:v>910170</ns0:v>
      </ns0:c>
      <ns0:c r="B171" s="4" t="n">
        <ns0:v>9</ns0:v>
      </ns0:c>
      <ns0:c r="C171" s="4" t="inlineStr">
        <ns0:is>
          <ns0:t>dk-reported-speech</ns0:t>
        </ns0:is>
      </ns0:c>
      <ns0:c r="D171" s="4" t="n">
        <ns0:v>2</ns0:v>
      </ns0:c>
      <ns0:c r="E171" s="8" t="inlineStr">
        <ns0:is>
          <ns0:t>남의 주장을 보고했다는 뜻은?</ns0:t>
        </ns0:is>
      </ns0:c>
      <ns0:c r="F171" s="8" t="inlineStr">
        <ns0:is>
          <ns0:t>그 말을 들었다고 전달함</ns0:t>
        </ns0:is>
      </ns0:c>
      <ns0:c r="G171" s="8" t="inlineStr">
        <ns0:is>
          <ns0:t>그 주장에 반드시 동의함</ns0:t>
        </ns0:is>
      </ns0:c>
      <ns0:c r="H171" s="8" t="inlineStr">
        <ns0:is>
          <ns0:t>보고자의 이름을 바꿈</ns0:t>
        </ns0:is>
      </ns0:c>
      <ns0:c r="I171" s="8" t="n">
        <ns0:v>1</ns0:v>
      </ns0:c>
      <ns0:c r="J171" s="8" t="inlineStr">
        <ns0:is>
          <ns0:t>심흥택 보고에는 일본 관리에게 들은 주장도 들어 있어요. 남의 말을 보고한 것과 그 주장에 동의한 것은 달라요.</ns0:t>
        </ns0:is>
      </ns0:c>
      <ns0:c r="K171" s="8" t="inlineStr">
        <ns0:is>
          <ns0:t>심흥택 보고에는 일본 관리에게 들은 주장도 들어 있어요. 남의 말을 보고한 것과 그 주장에 동의한 것은 달라요.</ns0:t>
        </ns0:is>
      </ns0:c>
      <ns0:c r="L171" s="8" t="inlineStr">
        <ns0:is>
          <ns0:t>고른 보기 ‘그 주장에 반드시 동의함’와 달라요. 이 문항의 정답은 ‘그 말을 들었다고 전달함’입니다. 심흥택 보고에는 일본 관리에게 들은 주장도 들어 있어요. 남의 말을 보고한 것과 그 주장에 동의한 것은 달라요.</ns0:t>
        </ns0:is>
      </ns0:c>
      <ns0:c r="M171" s="8" t="inlineStr">
        <ns0:is>
          <ns0:t>고른 보기 ‘보고자의 이름을 바꿈’와 달라요. 이 문항의 정답은 ‘그 말을 들었다고 전달함’입니다. 심흥택 보고에는 일본 관리에게 들은 주장도 들어 있어요. 남의 말을 보고한 것과 그 주장에 동의한 것은 달라요.</ns0:t>
        </ns0:is>
      </ns0:c>
      <ns0:c r="N171" s="8" t="inlineStr"/>
      <ns0:c r="O171" s="8" t="inlineStr">
        <ns0:is>
          <ns0:t>https://dokdo.mofa.go.kr/kor/pds/part02_view04.jsp</ns0:t>
        </ns0:is>
      </ns0:c>
      <ns0:c r="P171" s="5">
        <ns0:f>LEN(E171)+MAX(LEN(F171),LEN(G171),LEN(H171))</ns0:f>
        <ns0:v>29</ns0:v>
      </ns0:c>
      <ns0:c r="Q171" s="9" t="inlineStr">
        <ns0:is>
          <ns0:t>출처 기반 자체 검토 / 독립 승인 전</ns0:t>
        </ns0:is>
      </ns0:c>
    </ns0:row>
    <ns0:row r="172" ht="98" customHeight="1">
      <ns0:c r="A172" s="2" t="n">
        <ns0:v>910171</ns0:v>
      </ns0:c>
      <ns0:c r="B172" s="2" t="n">
        <ns0:v>9</ns0:v>
      </ns0:c>
      <ns0:c r="C172" s="2" t="inlineStr">
        <ns0:is>
          <ns0:t>dk-reported-speech</ns0:t>
        </ns0:is>
      </ns0:c>
      <ns0:c r="D172" s="2" t="n">
        <ns0:v>3</ns0:v>
      </ns0:c>
      <ns0:c r="E172" s="6" t="inlineStr">
        <ns0:is>
          <ns0:t>두 표현을 함께 읽은 바른 해석은?</ns0:t>
        </ns0:is>
      </ns0:c>
      <ns0:c r="F172" s="6" t="inlineStr">
        <ns0:is>
          <ns0:t>모든 문장은 심흥택의 동의 표현이다</ns0:t>
        </ns0:is>
      </ns0:c>
      <ns0:c r="G172" s="6" t="inlineStr">
        <ns0:is>
          <ns0:t>일본 관리 발언은 문서에 전혀 없다</ns0:t>
        </ns0:is>
      </ns0:c>
      <ns0:c r="H172" s="6" t="inlineStr">
        <ns0:is>
          <ns0:t>보고자의 소속 인식과 일본 관리 주장이 다르다</ns0:t>
        </ns0:is>
      </ns0:c>
      <ns0:c r="I172" s="6" t="n">
        <ns0:v>3</ns0:v>
      </ns0:c>
      <ns0:c r="J172" s="6" t="inlineStr">
        <ns0:is>
          <ns0:t>심흥택 보고에는 일본 관리에게 들은 주장도 들어 있어요. 남의 말을 보고한 것과 그 주장에 동의한 것은 달라요.</ns0:t>
        </ns0:is>
      </ns0:c>
      <ns0:c r="K172" s="6" t="inlineStr">
        <ns0:is>
          <ns0:t>고른 보기 ‘모든 문장은 심흥택의 동의 표현이다’와 달라요. 이 문항의 정답은 ‘보고자의 소속 인식과 일본 관리 주장이 다르다’입니다. 심흥택 보고에는 일본 관리에게 들은 주장도 들어 있어요. 남의 말을 보고한 것과 그 주장에 동의한 것은 달라요.</ns0:t>
        </ns0:is>
      </ns0:c>
      <ns0:c r="L172" s="6" t="inlineStr">
        <ns0:is>
          <ns0:t>고른 보기 ‘일본 관리 발언은 문서에 전혀 없다’와 달라요. 이 문항의 정답은 ‘보고자의 소속 인식과 일본 관리 주장이 다르다’입니다. 심흥택 보고에는 일본 관리에게 들은 주장도 들어 있어요. 남의 말을 보고한 것과 그 주장에 동의한 것은 달라요.</ns0:t>
        </ns0:is>
      </ns0:c>
      <ns0:c r="M172" s="6" t="inlineStr">
        <ns0:is>
          <ns0:t>심흥택 보고에는 일본 관리에게 들은 주장도 들어 있어요. 남의 말을 보고한 것과 그 주장에 동의한 것은 달라요.</ns0:t>
        </ns0:is>
      </ns0:c>
      <ns0:c r="N172" s="6" t="inlineStr">
        <ns0:is>
          <ns0:t>보고는 일본 관리들이 독도를 자기 영지라고 주장했다고 전달합니다. 앞부분에서 보고자는 독도를 ‘본군 소속’으로 설명합니다. 발언의 주체를 나누어 읽어야 합니다.</ns0:t>
        </ns0:is>
      </ns0:c>
      <ns0:c r="O172" s="6" t="inlineStr">
        <ns0:is>
          <ns0:t>https://dokdo.mofa.go.kr/kor/pds/part02_view04.jsp</ns0:t>
        </ns0:is>
      </ns0:c>
      <ns0:c r="P172" s="3">
        <ns0:f>LEN(E172)+MAX(LEN(F172),LEN(G172),LEN(H172))</ns0:f>
        <ns0:v>44</ns0:v>
      </ns0:c>
      <ns0:c r="Q172" s="7" t="inlineStr">
        <ns0:is>
          <ns0:t>출처 기반 자체 검토 / 독립 승인 전</ns0:t>
        </ns0:is>
      </ns0:c>
    </ns0:row>
    <ns0:row r="173" ht="98" customHeight="1">
      <ns0:c r="A173" s="4" t="n">
        <ns0:v>910172</ns0:v>
      </ns0:c>
      <ns0:c r="B173" s="4" t="n">
        <ns0:v>9</ns0:v>
      </ns0:c>
      <ns0:c r="C173" s="4" t="inlineStr">
        <ns0:is>
          <ns0:t>dk-reported-speech</ns0:t>
        </ns0:is>
      </ns0:c>
      <ns0:c r="D173" s="4" t="n">
        <ns0:v>4</ns0:v>
      </ns0:c>
      <ns0:c r="E173" s="8" t="inlineStr">
        <ns0:is>
          <ns0:t>인용 문장만 떼어 ‘심흥택도 인정’이라 하면?</ns0:t>
        </ns0:is>
      </ns0:c>
      <ns0:c r="F173" s="8" t="inlineStr">
        <ns0:is>
          <ns0:t>앞부분과 뒷부분은 함께 볼 수 없다</ns0:t>
        </ns0:is>
      </ns0:c>
      <ns0:c r="G173" s="8" t="inlineStr">
        <ns0:is>
          <ns0:t>발언 주체와 앞뒤 문맥을 바꿔 읽었다</ns0:t>
        </ns0:is>
      </ns0:c>
      <ns0:c r="H173" s="8" t="inlineStr">
        <ns0:is>
          <ns0:t>인용은 늘 보고자의 동의를 뜻한다</ns0:t>
        </ns0:is>
      </ns0:c>
      <ns0:c r="I173" s="8" t="n">
        <ns0:v>2</ns0:v>
      </ns0:c>
      <ns0:c r="J173" s="8" t="inlineStr">
        <ns0:is>
          <ns0:t>심흥택 보고에는 일본 관리에게 들은 주장도 들어 있어요. 남의 말을 보고한 것과 그 주장에 동의한 것은 달라요.</ns0:t>
        </ns0:is>
      </ns0:c>
      <ns0:c r="K173" s="8" t="inlineStr">
        <ns0:is>
          <ns0:t>고른 보기 ‘앞부분과 뒷부분은 함께 볼 수 없다’와 달라요. 이 문항의 정답은 ‘발언 주체와 앞뒤 문맥을 바꿔 읽었다’입니다. 심흥택 보고에는 일본 관리에게 들은 주장도 들어 있어요. 남의 말을 보고한 것과 그 주장에 동의한 것은 달라요.</ns0:t>
        </ns0:is>
      </ns0:c>
      <ns0:c r="L173" s="8" t="inlineStr">
        <ns0:is>
          <ns0:t>심흥택 보고에는 일본 관리에게 들은 주장도 들어 있어요. 남의 말을 보고한 것과 그 주장에 동의한 것은 달라요.</ns0:t>
        </ns0:is>
      </ns0:c>
      <ns0:c r="M173" s="8" t="inlineStr">
        <ns0:is>
          <ns0:t>고른 보기 ‘인용은 늘 보고자의 동의를 뜻한다’와 달라요. 이 문항의 정답은 ‘발언 주체와 앞뒤 문맥을 바꿔 읽었다’입니다. 심흥택 보고에는 일본 관리에게 들은 주장도 들어 있어요. 남의 말을 보고한 것과 그 주장에 동의한 것은 달라요.</ns0:t>
        </ns0:is>
      </ns0:c>
      <ns0:c r="N173" s="8" t="inlineStr">
        <ns0:is>
          <ns0:t>보고는 일본 관리들이 독도를 자기 영지라고 주장했다고 전달합니다. 앞부분에서 보고자는 독도를 ‘본군 소속’으로 설명합니다. 발언의 주체를 나누어 읽어야 합니다.</ns0:t>
        </ns0:is>
      </ns0:c>
      <ns0:c r="O173" s="8" t="inlineStr">
        <ns0:is>
          <ns0:t>https://dokdo.mofa.go.kr/kor/pds/part02_view04.jsp</ns0:t>
        </ns0:is>
      </ns0:c>
      <ns0:c r="P173" s="5">
        <ns0:f>LEN(E173)+MAX(LEN(F173),LEN(G173),LEN(H173))</ns0:f>
        <ns0:v>45</ns0:v>
      </ns0:c>
      <ns0:c r="Q173" s="9" t="inlineStr">
        <ns0:is>
          <ns0:t>출처 기반 자체 검토 / 독립 승인 전</ns0:t>
        </ns0:is>
      </ns0:c>
    </ns0:row>
    <ns0:row r="174" ht="98" customHeight="1">
      <ns0:c r="A174" s="2" t="n">
        <ns0:v>910173</ns0:v>
      </ns0:c>
      <ns0:c r="B174" s="2" t="n">
        <ns0:v>9</ns0:v>
      </ns0:c>
      <ns0:c r="C174" s="2" t="inlineStr">
        <ns0:is>
          <ns0:t>dk-order-response</ns0:t>
        </ns0:is>
      </ns0:c>
      <ns0:c r="D174" s="2" t="n">
        <ns0:v>1</ns0:v>
      </ns0:c>
      <ns0:c r="E174" s="6" t="inlineStr">
        <ns0:is>
          <ns0:t>1906년 정부의 대응을 담은 문서는?</ns0:t>
        </ns0:is>
      </ns0:c>
      <ns0:c r="F174" s="6" t="inlineStr">
        <ns0:is>
          <ns0:t>지령 제3호</ns0:t>
        </ns0:is>
      </ns0:c>
      <ns0:c r="G174" s="6" t="inlineStr">
        <ns0:is>
          <ns0:t>오늘의 배 시간표</ns0:t>
        </ns0:is>
      </ns0:c>
      <ns0:c r="H174" s="6" t="inlineStr">
        <ns0:is>
          <ns0:t>현재 기상 지도</ns0:t>
        </ns0:is>
      </ns0:c>
      <ns0:c r="I174" s="6" t="n">
        <ns0:v>1</ns0:v>
      </ns0:c>
      <ns0:c r="J174" s="6" t="inlineStr">
        <ns0:is>
          <ns0:t>1906년 지령 제3호는 일본의 주장을 받아들이지 않고 상황을 더 조사해 보고하도록 했어요.</ns0:t>
        </ns0:is>
      </ns0:c>
      <ns0:c r="K174" s="6" t="inlineStr">
        <ns0:is>
          <ns0:t>1906년 지령 제3호는 일본의 주장을 받아들이지 않고 상황을 더 조사해 보고하도록 했어요.</ns0:t>
        </ns0:is>
      </ns0:c>
      <ns0:c r="L174" s="6" t="inlineStr">
        <ns0:is>
          <ns0:t>고른 보기 ‘오늘의 배 시간표’와 달라요. 이 문항의 정답은 ‘지령 제3호’입니다. 1906년 지령 제3호는 일본의 주장을 받아들이지 않고 상황을 더 조사해 보고하도록 했어요.</ns0:t>
        </ns0:is>
      </ns0:c>
      <ns0:c r="M174" s="6" t="inlineStr">
        <ns0:is>
          <ns0:t>고른 보기 ‘현재 기상 지도’와 달라요. 이 문항의 정답은 ‘지령 제3호’입니다. 1906년 지령 제3호는 일본의 주장을 받아들이지 않고 상황을 더 조사해 보고하도록 했어요.</ns0:t>
        </ns0:is>
      </ns0:c>
      <ns0:c r="N174" s="6" t="inlineStr"/>
      <ns0:c r="O174" s="6" t="inlineStr">
        <ns0:is>
          <ns0:t>https://dokdo.mofa.go.kr/kor/pds/part02_view05.jsp</ns0:t>
        </ns0:is>
      </ns0:c>
      <ns0:c r="P174" s="3">
        <ns0:f>LEN(E174)+MAX(LEN(F174),LEN(G174),LEN(H174))</ns0:f>
        <ns0:v>30</ns0:v>
      </ns0:c>
      <ns0:c r="Q174" s="7" t="inlineStr">
        <ns0:is>
          <ns0:t>출처 기반 자체 검토 / 독립 승인 전</ns0:t>
        </ns0:is>
      </ns0:c>
    </ns0:row>
    <ns0:row r="175" ht="98" customHeight="1">
      <ns0:c r="A175" s="4" t="n">
        <ns0:v>910174</ns0:v>
      </ns0:c>
      <ns0:c r="B175" s="4" t="n">
        <ns0:v>9</ns0:v>
      </ns0:c>
      <ns0:c r="C175" s="4" t="inlineStr">
        <ns0:is>
          <ns0:t>dk-order-response</ns0:t>
        </ns0:is>
      </ns0:c>
      <ns0:c r="D175" s="4" t="n">
        <ns0:v>2</ns0:v>
      </ns0:c>
      <ns0:c r="E175" s="8" t="inlineStr">
        <ns0:is>
          <ns0:t>지령 제3호가 추가로 시킨 일은?</ns0:t>
        </ns0:is>
      </ns0:c>
      <ns0:c r="F175" s="8" t="inlineStr">
        <ns0:is>
          <ns0:t>등대의 색만 바꾸기</ns0:t>
        </ns0:is>
      </ns0:c>
      <ns0:c r="G175" s="8" t="inlineStr">
        <ns0:is>
          <ns0:t>기존 보고를 모두 태우기</ns0:t>
        </ns0:is>
      </ns0:c>
      <ns0:c r="H175" s="8" t="inlineStr">
        <ns0:is>
          <ns0:t>상황을 조사해 다시 보고하기</ns0:t>
        </ns0:is>
      </ns0:c>
      <ns0:c r="I175" s="8" t="n">
        <ns0:v>3</ns0:v>
      </ns0:c>
      <ns0:c r="J175" s="8" t="inlineStr">
        <ns0:is>
          <ns0:t>1906년 지령 제3호는 일본의 주장을 받아들이지 않고 상황을 더 조사해 보고하도록 했어요.</ns0:t>
        </ns0:is>
      </ns0:c>
      <ns0:c r="K175" s="8" t="inlineStr">
        <ns0:is>
          <ns0:t>고른 보기 ‘등대의 색만 바꾸기’와 달라요. 이 문항의 정답은 ‘상황을 조사해 다시 보고하기’입니다. 1906년 지령 제3호는 일본의 주장을 받아들이지 않고 상황을 더 조사해 보고하도록 했어요.</ns0:t>
        </ns0:is>
      </ns0:c>
      <ns0:c r="L175" s="8" t="inlineStr">
        <ns0:is>
          <ns0:t>고른 보기 ‘기존 보고를 모두 태우기’와 달라요. 이 문항의 정답은 ‘상황을 조사해 다시 보고하기’입니다. 1906년 지령 제3호는 일본의 주장을 받아들이지 않고 상황을 더 조사해 보고하도록 했어요.</ns0:t>
        </ns0:is>
      </ns0:c>
      <ns0:c r="M175" s="8" t="inlineStr">
        <ns0:is>
          <ns0:t>1906년 지령 제3호는 일본의 주장을 받아들이지 않고 상황을 더 조사해 보고하도록 했어요.</ns0:t>
        </ns0:is>
      </ns0:c>
      <ns0:c r="N175" s="8" t="inlineStr"/>
      <ns0:c r="O175" s="8" t="inlineStr">
        <ns0:is>
          <ns0:t>https://dokdo.mofa.go.kr/kor/pds/part02_view05.jsp</ns0:t>
        </ns0:is>
      </ns0:c>
      <ns0:c r="P175" s="5">
        <ns0:f>LEN(E175)+MAX(LEN(F175),LEN(G175),LEN(H175))</ns0:f>
        <ns0:v>33</ns0:v>
      </ns0:c>
      <ns0:c r="Q175" s="9" t="inlineStr">
        <ns0:is>
          <ns0:t>출처 기반 자체 검토 / 독립 승인 전</ns0:t>
        </ns0:is>
      </ns0:c>
    </ns0:row>
    <ns0:row r="176" ht="98" customHeight="1">
      <ns0:c r="A176" s="2" t="n">
        <ns0:v>910175</ns0:v>
      </ns0:c>
      <ns0:c r="B176" s="2" t="n">
        <ns0:v>9</ns0:v>
      </ns0:c>
      <ns0:c r="C176" s="2" t="inlineStr">
        <ns0:is>
          <ns0:t>dk-order-response</ns0:t>
        </ns0:is>
      </ns0:c>
      <ns0:c r="D176" s="2" t="n">
        <ns0:v>3</ns0:v>
      </ns0:c>
      <ns0:c r="E176" s="6" t="inlineStr">
        <ns0:is>
          <ns0:t>자료에서 확인되는 두 가지 대응은?</ns0:t>
        </ns0:is>
      </ns0:c>
      <ns0:c r="F176" s="6" t="inlineStr">
        <ns0:is>
          <ns0:t>주민 수 집계와 배 요금 인상</ns0:t>
        </ns0:is>
      </ns0:c>
      <ns0:c r="G176" s="6" t="inlineStr">
        <ns0:is>
          <ns0:t>주장 부인과 추가 조사 지시</ns0:t>
        </ns0:is>
      </ns0:c>
      <ns0:c r="H176" s="6" t="inlineStr">
        <ns0:is>
          <ns0:t>영지 승인과 조사 중단</ns0:t>
        </ns0:is>
      </ns0:c>
      <ns0:c r="I176" s="6" t="n">
        <ns0:v>2</ns0:v>
      </ns0:c>
      <ns0:c r="J176" s="6" t="inlineStr">
        <ns0:is>
          <ns0:t>1906년 지령 제3호는 일본의 주장을 받아들이지 않고 상황을 더 조사해 보고하도록 했어요.</ns0:t>
        </ns0:is>
      </ns0:c>
      <ns0:c r="K176" s="6" t="inlineStr">
        <ns0:is>
          <ns0:t>고른 보기 ‘주민 수 집계와 배 요금 인상’와 달라요. 이 문항의 정답은 ‘주장 부인과 추가 조사 지시’입니다. 1906년 지령 제3호는 일본의 주장을 받아들이지 않고 상황을 더 조사해 보고하도록 했어요.</ns0:t>
        </ns0:is>
      </ns0:c>
      <ns0:c r="L176" s="6" t="inlineStr">
        <ns0:is>
          <ns0:t>1906년 지령 제3호는 일본의 주장을 받아들이지 않고 상황을 더 조사해 보고하도록 했어요.</ns0:t>
        </ns0:is>
      </ns0:c>
      <ns0:c r="M176" s="6" t="inlineStr">
        <ns0:is>
          <ns0:t>고른 보기 ‘영지 승인과 조사 중단’와 달라요. 이 문항의 정답은 ‘주장 부인과 추가 조사 지시’입니다. 1906년 지령 제3호는 일본의 주장을 받아들이지 않고 상황을 더 조사해 보고하도록 했어요.</ns0:t>
        </ns0:is>
      </ns0:c>
      <ns0:c r="N176" s="6" t="inlineStr">
        <ns0:is>
          <ns0:t>외교부 자료실의 1906년 5월 10일 지령은 독도에 대한 일본의 영지 주장을 부인하고, 섬의 형편과 일본인의 행동을 다시 조사해 보고하라고 지시합니다.</ns0:t>
        </ns0:is>
      </ns0:c>
      <ns0:c r="O176" s="6" t="inlineStr">
        <ns0:is>
          <ns0:t>https://dokdo.mofa.go.kr/kor/pds/part02_view05.jsp</ns0:t>
        </ns0:is>
      </ns0:c>
      <ns0:c r="P176" s="3">
        <ns0:f>LEN(E176)+MAX(LEN(F176),LEN(G176),LEN(H176))</ns0:f>
        <ns0:v>35</ns0:v>
      </ns0:c>
      <ns0:c r="Q176" s="7" t="inlineStr">
        <ns0:is>
          <ns0:t>출처 기반 자체 검토 / 독립 승인 전</ns0:t>
        </ns0:is>
      </ns0:c>
    </ns0:row>
    <ns0:row r="177" ht="98" customHeight="1">
      <ns0:c r="A177" s="4" t="n">
        <ns0:v>910176</ns0:v>
      </ns0:c>
      <ns0:c r="B177" s="4" t="n">
        <ns0:v>9</ns0:v>
      </ns0:c>
      <ns0:c r="C177" s="4" t="inlineStr">
        <ns0:is>
          <ns0:t>dk-order-response</ns0:t>
        </ns0:is>
      </ns0:c>
      <ns0:c r="D177" s="4" t="n">
        <ns0:v>4</ns0:v>
      </ns0:c>
      <ns0:c r="E177" s="8" t="inlineStr">
        <ns0:is>
          <ns0:t>‘추가 조사’가 일본 주장에 대한 승인일까요?</ns0:t>
        </ns0:is>
      </ns0:c>
      <ns0:c r="F177" s="8" t="inlineStr">
        <ns0:is>
          <ns0:t>명시적 부인과 조사 지시를 함께 읽어야 한다</ns0:t>
        </ns0:is>
      </ns0:c>
      <ns0:c r="G177" s="8" t="inlineStr">
        <ns0:is>
          <ns0:t>조사라는 단어가 있으면 언제나 승인이다</ns0:t>
        </ns0:is>
      </ns0:c>
      <ns0:c r="H177" s="8" t="inlineStr">
        <ns0:is>
          <ns0:t>부인과 조사는 한 문서에 들어갈 수 없다</ns0:t>
        </ns0:is>
      </ns0:c>
      <ns0:c r="I177" s="8" t="n">
        <ns0:v>1</ns0:v>
      </ns0:c>
      <ns0:c r="J177" s="8" t="inlineStr">
        <ns0:is>
          <ns0:t>1906년 지령 제3호는 일본의 주장을 받아들이지 않고 상황을 더 조사해 보고하도록 했어요.</ns0:t>
        </ns0:is>
      </ns0:c>
      <ns0:c r="K177" s="8" t="inlineStr">
        <ns0:is>
          <ns0:t>1906년 지령 제3호는 일본의 주장을 받아들이지 않고 상황을 더 조사해 보고하도록 했어요.</ns0:t>
        </ns0:is>
      </ns0:c>
      <ns0:c r="L177" s="8" t="inlineStr">
        <ns0:is>
          <ns0:t>고른 보기 ‘조사라는 단어가 있으면 언제나 승인이다’와 달라요. 이 문항의 정답은 ‘명시적 부인과 조사 지시를 함께 읽어야 한다’입니다. 1906년 지령 제3호는 일본의 주장을 받아들이지 않고 상황을 더 조사해 보고하도록 했어요.</ns0:t>
        </ns0:is>
      </ns0:c>
      <ns0:c r="M177" s="8" t="inlineStr">
        <ns0:is>
          <ns0:t>고른 보기 ‘부인과 조사는 한 문서에 들어갈 수 없다’와 달라요. 이 문항의 정답은 ‘명시적 부인과 조사 지시를 함께 읽어야 한다’입니다. 1906년 지령 제3호는 일본의 주장을 받아들이지 않고 상황을 더 조사해 보고하도록 했어요.</ns0:t>
        </ns0:is>
      </ns0:c>
      <ns0:c r="N177" s="8" t="inlineStr">
        <ns0:is>
          <ns0:t>외교부 자료실의 1906년 5월 10일 지령은 독도에 대한 일본의 영지 주장을 부인하고, 섬의 형편과 일본인의 행동을 다시 조사해 보고하라고 지시합니다.</ns0:t>
        </ns0:is>
      </ns0:c>
      <ns0:c r="O177" s="8" t="inlineStr">
        <ns0:is>
          <ns0:t>https://dokdo.mofa.go.kr/kor/pds/part02_view05.jsp</ns0:t>
        </ns0:is>
      </ns0:c>
      <ns0:c r="P177" s="5">
        <ns0:f>LEN(E177)+MAX(LEN(F177),LEN(G177),LEN(H177))</ns0:f>
        <ns0:v>49</ns0:v>
      </ns0:c>
      <ns0:c r="Q177" s="9" t="inlineStr">
        <ns0:is>
          <ns0:t>출처 기반 자체 검토 / 독립 승인 전</ns0:t>
        </ns0:is>
      </ns0:c>
    </ns0:row>
    <ns0:row r="178" ht="98" customHeight="1">
      <ns0:c r="A178" s="2" t="n">
        <ns0:v>910177</ns0:v>
      </ns0:c>
      <ns0:c r="B178" s="2" t="n">
        <ns0:v>9</ns0:v>
      </ns0:c>
      <ns0:c r="C178" s="2" t="inlineStr">
        <ns0:is>
          <ns0:t>dk-1900-1906</ns0:t>
        </ns0:is>
      </ns0:c>
      <ns0:c r="D178" s="2" t="n">
        <ns0:v>1</ns0:v>
      </ns0:c>
      <ns0:c r="E178" s="6" t="inlineStr">
        <ns0:is>
          <ns0:t>1900년과 1906년 중 먼저인 해는?</ns0:t>
        </ns0:is>
      </ns0:c>
      <ns0:c r="F178" s="6" t="inlineStr">
        <ns0:is>
          <ns0:t>보고의 1906년</ns0:t>
        </ns0:is>
      </ns0:c>
      <ns0:c r="G178" s="6" t="inlineStr">
        <ns0:is>
          <ns0:t>두 문서는 같은 해</ns0:t>
        </ns0:is>
      </ns0:c>
      <ns0:c r="H178" s="6" t="inlineStr">
        <ns0:is>
          <ns0:t>칙령의 1900년</ns0:t>
        </ns0:is>
      </ns0:c>
      <ns0:c r="I178" s="6" t="n">
        <ns0:v>3</ns0:v>
      </ns0:c>
      <ns0:c r="J178" s="6" t="inlineStr">
        <ns0:is>
          <ns0:t>1900년의 칙령과 1906년의 보고·지령은 서로 다른 때의 행정 기록이에요. 연표에 놓으면 관리와 대응의 흐름을 살펴볼 수 있어요.</ns0:t>
        </ns0:is>
      </ns0:c>
      <ns0:c r="K178" s="6" t="inlineStr">
        <ns0:is>
          <ns0:t>고른 보기 ‘보고의 1906년’와 달라요. 이 문항의 정답은 ‘칙령의 1900년’입니다. 1900년의 칙령과 1906년의 보고·지령은 서로 다른 때의 행정 기록이에요. 연표에 놓으면 관리와 대응의 흐름을 살펴볼 수 있어요.</ns0:t>
        </ns0:is>
      </ns0:c>
      <ns0:c r="L178" s="6" t="inlineStr">
        <ns0:is>
          <ns0:t>고른 보기 ‘두 문서는 같은 해’와 달라요. 이 문항의 정답은 ‘칙령의 1900년’입니다. 1900년의 칙령과 1906년의 보고·지령은 서로 다른 때의 행정 기록이에요. 연표에 놓으면 관리와 대응의 흐름을 살펴볼 수 있어요.</ns0:t>
        </ns0:is>
      </ns0:c>
      <ns0:c r="M178" s="6" t="inlineStr">
        <ns0:is>
          <ns0:t>1900년의 칙령과 1906년의 보고·지령은 서로 다른 때의 행정 기록이에요. 연표에 놓으면 관리와 대응의 흐름을 살펴볼 수 있어요.</ns0:t>
        </ns0:is>
      </ns0:c>
      <ns0:c r="N178" s="6" t="inlineStr"/>
      <ns0:c r="O178" s="6" t="inlineStr">
        <ns0:is>
          <ns0:t>https://dokdo.mofa.go.kr/m/kor/dokdo/reason_list.jsp
https://dokdo.mofa.go.kr/kor/pds/part02_view02.jsp
https://dokdo.mofa.go.kr/kor/pds/part02_view04.jsp
https://dokdo.mofa.go.kr/kor/pds/part02_view05.jsp</ns0:t>
        </ns0:is>
      </ns0:c>
      <ns0:c r="P178" s="3">
        <ns0:f>LEN(E178)+MAX(LEN(F178),LEN(G178),LEN(H178))</ns0:f>
        <ns0:v>32</ns0:v>
      </ns0:c>
      <ns0:c r="Q178" s="7" t="inlineStr">
        <ns0:is>
          <ns0:t>출처 기반 자체 검토 / 독립 승인 전</ns0:t>
        </ns0:is>
      </ns0:c>
    </ns0:row>
    <ns0:row r="179" ht="98" customHeight="1">
      <ns0:c r="A179" s="4" t="n">
        <ns0:v>910178</ns0:v>
      </ns0:c>
      <ns0:c r="B179" s="4" t="n">
        <ns0:v>9</ns0:v>
      </ns0:c>
      <ns0:c r="C179" s="4" t="inlineStr">
        <ns0:is>
          <ns0:t>dk-1900-1906</ns0:t>
        </ns0:is>
      </ns0:c>
      <ns0:c r="D179" s="4" t="n">
        <ns0:v>2</ns0:v>
      </ns0:c>
      <ns0:c r="E179" s="8" t="inlineStr">
        <ns0:is>
          <ns0:t>문서와 해를 바르게 연결하면?</ns0:t>
        </ns0:is>
      </ns0:c>
      <ns0:c r="F179" s="8" t="inlineStr">
        <ns0:is>
          <ns0:t>지령 제3호=1693년</ns0:t>
        </ns0:is>
      </ns0:c>
      <ns0:c r="G179" s="8" t="inlineStr">
        <ns0:is>
          <ns0:t>칙령 제41호=1900년</ns0:t>
        </ns0:is>
      </ns0:c>
      <ns0:c r="H179" s="8" t="inlineStr">
        <ns0:is>
          <ns0:t>심흥택 보고=1454년</ns0:t>
        </ns0:is>
      </ns0:c>
      <ns0:c r="I179" s="8" t="n">
        <ns0:v>2</ns0:v>
      </ns0:c>
      <ns0:c r="J179" s="8" t="inlineStr">
        <ns0:is>
          <ns0:t>1900년의 칙령과 1906년의 보고·지령은 서로 다른 때의 행정 기록이에요. 연표에 놓으면 관리와 대응의 흐름을 살펴볼 수 있어요.</ns0:t>
        </ns0:is>
      </ns0:c>
      <ns0:c r="K179" s="8" t="inlineStr">
        <ns0:is>
          <ns0:t>고른 보기 ‘지령 제3호=1693년’와 달라요. 이 문항의 정답은 ‘칙령 제41호=1900년’입니다. 1900년의 칙령과 1906년의 보고·지령은 서로 다른 때의 행정 기록이에요. 연표에 놓으면 관리와 대응의 흐름을 살펴볼 수 있어요.</ns0:t>
        </ns0:is>
      </ns0:c>
      <ns0:c r="L179" s="8" t="inlineStr">
        <ns0:is>
          <ns0:t>1900년의 칙령과 1906년의 보고·지령은 서로 다른 때의 행정 기록이에요. 연표에 놓으면 관리와 대응의 흐름을 살펴볼 수 있어요.</ns0:t>
        </ns0:is>
      </ns0:c>
      <ns0:c r="M179" s="8" t="inlineStr">
        <ns0:is>
          <ns0:t>고른 보기 ‘심흥택 보고=1454년’와 달라요. 이 문항의 정답은 ‘칙령 제41호=1900년’입니다. 1900년의 칙령과 1906년의 보고·지령은 서로 다른 때의 행정 기록이에요. 연표에 놓으면 관리와 대응의 흐름을 살펴볼 수 있어요.</ns0:t>
        </ns0:is>
      </ns0:c>
      <ns0:c r="N179" s="8" t="inlineStr"/>
      <ns0:c r="O179" s="8" t="inlineStr">
        <ns0:is>
          <ns0:t>https://dokdo.mofa.go.kr/m/kor/dokdo/reason_list.jsp
https://dokdo.mofa.go.kr/kor/pds/part02_view02.jsp
https://dokdo.mofa.go.kr/kor/pds/part02_view04.jsp
https://dokdo.mofa.go.kr/kor/pds/part02_view05.jsp</ns0:t>
        </ns0:is>
      </ns0:c>
      <ns0:c r="P179" s="5">
        <ns0:f>LEN(E179)+MAX(LEN(F179),LEN(G179),LEN(H179))</ns0:f>
        <ns0:v>29</ns0:v>
      </ns0:c>
      <ns0:c r="Q179" s="9" t="inlineStr">
        <ns0:is>
          <ns0:t>출처 기반 자체 검토 / 독립 승인 전</ns0:t>
        </ns0:is>
      </ns0:c>
    </ns0:row>
    <ns0:row r="180" ht="98" customHeight="1">
      <ns0:c r="A180" s="2" t="n">
        <ns0:v>910179</ns0:v>
      </ns0:c>
      <ns0:c r="B180" s="2" t="n">
        <ns0:v>9</ns0:v>
      </ns0:c>
      <ns0:c r="C180" s="2" t="inlineStr">
        <ns0:is>
          <ns0:t>dk-1900-1906</ns0:t>
        </ns0:is>
      </ns0:c>
      <ns0:c r="D180" s="2" t="n">
        <ns0:v>3</ns0:v>
      </ns0:c>
      <ns0:c r="E180" s="6" t="inlineStr">
        <ns0:is>
          <ns0:t>제시된 세 연도의 순서는?</ns0:t>
        </ns0:is>
      </ns0:c>
      <ns0:c r="F180" s="6" t="inlineStr">
        <ns0:is>
          <ns0:t>칙령→시마네현 고시→보고·지령</ns0:t>
        </ns0:is>
      </ns0:c>
      <ns0:c r="G180" s="6" t="inlineStr">
        <ns0:is>
          <ns0:t>보고→칙령→고시</ns0:t>
        </ns0:is>
      </ns0:c>
      <ns0:c r="H180" s="6" t="inlineStr">
        <ns0:is>
          <ns0:t>고시→보고→칙령</ns0:t>
        </ns0:is>
      </ns0:c>
      <ns0:c r="I180" s="6" t="n">
        <ns0:v>1</ns0:v>
      </ns0:c>
      <ns0:c r="J180" s="6" t="inlineStr">
        <ns0:is>
          <ns0:t>1900년의 칙령과 1906년의 보고·지령은 서로 다른 때의 행정 기록이에요. 연표에 놓으면 관리와 대응의 흐름을 살펴볼 수 있어요.</ns0:t>
        </ns0:is>
      </ns0:c>
      <ns0:c r="K180" s="6" t="inlineStr">
        <ns0:is>
          <ns0:t>1900년의 칙령과 1906년의 보고·지령은 서로 다른 때의 행정 기록이에요. 연표에 놓으면 관리와 대응의 흐름을 살펴볼 수 있어요.</ns0:t>
        </ns0:is>
      </ns0:c>
      <ns0:c r="L180" s="6" t="inlineStr">
        <ns0:is>
          <ns0:t>고른 보기 ‘보고→칙령→고시’와 달라요. 이 문항의 정답은 ‘칙령→시마네현 고시→보고·지령’입니다. 1900년의 칙령과 1906년의 보고·지령은 서로 다른 때의 행정 기록이에요. 연표에 놓으면 관리와 대응의 흐름을 살펴볼 수 있어요.</ns0:t>
        </ns0:is>
      </ns0:c>
      <ns0:c r="M180" s="6" t="inlineStr">
        <ns0:is>
          <ns0:t>고른 보기 ‘고시→보고→칙령’와 달라요. 이 문항의 정답은 ‘칙령→시마네현 고시→보고·지령’입니다. 1900년의 칙령과 1906년의 보고·지령은 서로 다른 때의 행정 기록이에요. 연표에 놓으면 관리와 대응의 흐름을 살펴볼 수 있어요.</ns0:t>
        </ns0:is>
      </ns0:c>
      <ns0:c r="N180" s="6" t="inlineStr">
        <ns0:is>
          <ns0:t>연표: 1900년 칙령 제41호 / 1905년 일본 시마네현 고시 / 1906년 심흥택 보고와 정부 지령 제3호. 연도와 문서의 작성 주체를 함께 확인하세요.</ns0:t>
        </ns0:is>
      </ns0:c>
      <ns0:c r="O180" s="6" t="inlineStr">
        <ns0:is>
          <ns0:t>https://dokdo.mofa.go.kr/m/kor/dokdo/reason_list.jsp
https://dokdo.mofa.go.kr/kor/pds/part02_view02.jsp
https://dokdo.mofa.go.kr/kor/pds/part02_view04.jsp
https://dokdo.mofa.go.kr/kor/pds/part02_view05.jsp</ns0:t>
        </ns0:is>
      </ns0:c>
      <ns0:c r="P180" s="3">
        <ns0:f>LEN(E180)+MAX(LEN(F180),LEN(G180),LEN(H180))</ns0:f>
        <ns0:v>30</ns0:v>
      </ns0:c>
      <ns0:c r="Q180" s="7" t="inlineStr">
        <ns0:is>
          <ns0:t>출처 기반 자체 검토 / 독립 승인 전</ns0:t>
        </ns0:is>
      </ns0:c>
    </ns0:row>
    <ns0:row r="181" ht="98" customHeight="1">
      <ns0:c r="A181" s="4" t="n">
        <ns0:v>910180</ns0:v>
      </ns0:c>
      <ns0:c r="B181" s="4" t="n">
        <ns0:v>9</ns0:v>
      </ns0:c>
      <ns0:c r="C181" s="4" t="inlineStr">
        <ns0:is>
          <ns0:t>dk-1900-1906</ns0:t>
        </ns0:is>
      </ns0:c>
      <ns0:c r="D181" s="4" t="n">
        <ns0:v>4</ns0:v>
      </ns0:c>
      <ns0:c r="E181" s="8" t="inlineStr">
        <ns0:is>
          <ns0:t>연표를 한 나라가 만든 문서 목록이라고 하면?</ns0:t>
        </ns0:is>
      </ns0:c>
      <ns0:c r="F181" s="8" t="inlineStr">
        <ns0:is>
          <ns0:t>연도가 다르면 주체는 확인할 필요 없다</ns0:t>
        </ns0:is>
      </ns0:c>
      <ns0:c r="G181" s="8" t="inlineStr">
        <ns0:is>
          <ns0:t>연표는 날짜를 비교하는 데 쓸 수 없다</ns0:t>
        </ns0:is>
      </ns0:c>
      <ns0:c r="H181" s="8" t="inlineStr">
        <ns0:is>
          <ns0:t>작성 주체가 다른 문서들이 함께 있다</ns0:t>
        </ns0:is>
      </ns0:c>
      <ns0:c r="I181" s="8" t="n">
        <ns0:v>3</ns0:v>
      </ns0:c>
      <ns0:c r="J181" s="8" t="inlineStr">
        <ns0:is>
          <ns0:t>1900년의 칙령과 1906년의 보고·지령은 서로 다른 때의 행정 기록이에요. 연표에 놓으면 관리와 대응의 흐름을 살펴볼 수 있어요.</ns0:t>
        </ns0:is>
      </ns0:c>
      <ns0:c r="K181" s="8" t="inlineStr">
        <ns0:is>
          <ns0:t>고른 보기 ‘연도가 다르면 주체는 확인할 필요 없다’와 달라요. 이 문항의 정답은 ‘작성 주체가 다른 문서들이 함께 있다’입니다. 1900년의 칙령과 1906년의 보고·지령은 서로 다른 때의 행정 기록이에요. 연표에 놓으면 관리와 대응의 흐름을 살펴볼 수 있어요.</ns0:t>
        </ns0:is>
      </ns0:c>
      <ns0:c r="L181" s="8" t="inlineStr">
        <ns0:is>
          <ns0:t>고른 보기 ‘연표는 날짜를 비교하는 데 쓸 수 없다’와 달라요. 이 문항의 정답은 ‘작성 주체가 다른 문서들이 함께 있다’입니다. 1900년의 칙령과 1906년의 보고·지령은 서로 다른 때의 행정 기록이에요. 연표에 놓으면 관리와 대응의 흐름을 살펴볼 수 있어요.</ns0:t>
        </ns0:is>
      </ns0:c>
      <ns0:c r="M181" s="8" t="inlineStr">
        <ns0:is>
          <ns0:t>1900년의 칙령과 1906년의 보고·지령은 서로 다른 때의 행정 기록이에요. 연표에 놓으면 관리와 대응의 흐름을 살펴볼 수 있어요.</ns0:t>
        </ns0:is>
      </ns0:c>
      <ns0:c r="N181" s="8" t="inlineStr">
        <ns0:is>
          <ns0:t>연표: 1900년 칙령 제41호 / 1905년 일본 시마네현 고시 / 1906년 심흥택 보고와 정부 지령 제3호. 연도와 문서의 작성 주체를 함께 확인하세요.</ns0:t>
        </ns0:is>
      </ns0:c>
      <ns0:c r="O181" s="8" t="inlineStr">
        <ns0:is>
          <ns0:t>https://dokdo.mofa.go.kr/m/kor/dokdo/reason_list.jsp
https://dokdo.mofa.go.kr/kor/pds/part02_view02.jsp
https://dokdo.mofa.go.kr/kor/pds/part02_view04.jsp
https://dokdo.mofa.go.kr/kor/pds/part02_view05.jsp</ns0:t>
        </ns0:is>
      </ns0:c>
      <ns0:c r="P181" s="5">
        <ns0:f>LEN(E181)+MAX(LEN(F181),LEN(G181),LEN(H181))</ns0:f>
        <ns0:v>46</ns0:v>
      </ns0:c>
      <ns0:c r="Q181" s="9" t="inlineStr">
        <ns0:is>
          <ns0:t>출처 기반 자체 검토 / 독립 승인 전</ns0:t>
        </ns0:is>
      </ns0:c>
    </ns0:row>
    <ns0:row r="182" ht="98" customHeight="1">
      <ns0:c r="A182" s="2" t="n">
        <ns0:v>910181</ns0:v>
      </ns0:c>
      <ns0:c r="B182" s="2" t="n">
        <ns0:v>10</ns0:v>
      </ns0:c>
      <ns0:c r="C182" s="2" t="inlineStr">
        <ns0:is>
          <ns0:t>dk-cheonjang</ns0:t>
        </ns0:is>
      </ns0:c>
      <ns0:c r="D182" s="2" t="n">
        <ns0:v>1</ns0:v>
      </ns0:c>
      <ns0:c r="E182" s="6" t="inlineStr">
        <ns0:is>
          <ns0:t>천장굴이 있는 큰 섬은?</ns0:t>
        </ns0:is>
      </ns0:c>
      <ns0:c r="F182" s="6" t="inlineStr">
        <ns0:is>
          <ns0:t>울릉도</ns0:t>
        </ns0:is>
      </ns0:c>
      <ns0:c r="G182" s="6" t="inlineStr">
        <ns0:is>
          <ns0:t>동도</ns0:t>
        </ns0:is>
      </ns0:c>
      <ns0:c r="H182" s="6" t="inlineStr">
        <ns0:is>
          <ns0:t>서도</ns0:t>
        </ns0:is>
      </ns0:c>
      <ns0:c r="I182" s="6" t="n">
        <ns0:v>2</ns0:v>
      </ns0:c>
      <ns0:c r="J182" s="6" t="inlineStr">
        <ns0:is>
          <ns0:t>동도의 천장굴은 섬 안쪽으로 움푹 들어간 통 모양 지형이에요. 바다 쪽 벽에 있는 작은 구멍과는 다르게 보아야 해요.</ns0:t>
        </ns0:is>
      </ns0:c>
      <ns0:c r="K182" s="6" t="inlineStr">
        <ns0:is>
          <ns0:t>고른 보기 ‘울릉도’와 달라요. 이 문항의 정답은 ‘동도’입니다. 동도의 천장굴은 섬 안쪽으로 움푹 들어간 통 모양 지형이에요. 바다 쪽 벽에 있는 작은 구멍과는 다르게 보아야 해요.</ns0:t>
        </ns0:is>
      </ns0:c>
      <ns0:c r="L182" s="6" t="inlineStr">
        <ns0:is>
          <ns0:t>동도의 천장굴은 섬 안쪽으로 움푹 들어간 통 모양 지형이에요. 바다 쪽 벽에 있는 작은 구멍과는 다르게 보아야 해요.</ns0:t>
        </ns0:is>
      </ns0:c>
      <ns0:c r="M182" s="6" t="inlineStr">
        <ns0:is>
          <ns0:t>고른 보기 ‘서도’와 달라요. 이 문항의 정답은 ‘동도’입니다. 동도의 천장굴은 섬 안쪽으로 움푹 들어간 통 모양 지형이에요. 바다 쪽 벽에 있는 작은 구멍과는 다르게 보아야 해요.</ns0:t>
        </ns0:is>
      </ns0:c>
      <ns0:c r="N182" s="6" t="inlineStr"/>
      <ns0:c r="O182" s="6" t="inlineStr">
        <ns0:is>
          <ns0:t>https://www.dokdo.re.kr/home/cms/cmsCont.do?cntnts_sn=65
https://www.heritage.go.kr/heri/cul/culSelectDetail.do?VdkVgwKey=16%2C03360000%2C37&amp;pageNo=1_1_2_0</ns0:t>
        </ns0:is>
      </ns0:c>
      <ns0:c r="P182" s="3">
        <ns0:f>LEN(E182)+MAX(LEN(F182),LEN(G182),LEN(H182))</ns0:f>
        <ns0:v>16</ns0:v>
      </ns0:c>
      <ns0:c r="Q182" s="7" t="inlineStr">
        <ns0:is>
          <ns0:t>출처 기반 자체 검토 / 독립 승인 전</ns0:t>
        </ns0:is>
      </ns0:c>
    </ns0:row>
    <ns0:row r="183" ht="98" customHeight="1">
      <ns0:c r="A183" s="4" t="n">
        <ns0:v>910182</ns0:v>
      </ns0:c>
      <ns0:c r="B183" s="4" t="n">
        <ns0:v>10</ns0:v>
      </ns0:c>
      <ns0:c r="C183" s="4" t="inlineStr">
        <ns0:is>
          <ns0:t>dk-cheonjang</ns0:t>
        </ns0:is>
      </ns0:c>
      <ns0:c r="D183" s="4" t="n">
        <ns0:v>2</ns0:v>
      </ns0:c>
      <ns0:c r="E183" s="8" t="inlineStr">
        <ns0:is>
          <ns0:t>천장굴의 모습과 맞는 것은?</ns0:t>
        </ns0:is>
      </ns0:c>
      <ns0:c r="F183" s="8" t="inlineStr">
        <ns0:is>
          <ns0:t>섬 안으로 깊게 팬 통 모양</ns0:t>
        </ns0:is>
      </ns0:c>
      <ns0:c r="G183" s="8" t="inlineStr">
        <ns0:is>
          <ns0:t>바다 위의 평평한 선착장</ns0:t>
        </ns0:is>
      </ns0:c>
      <ns0:c r="H183" s="8" t="inlineStr">
        <ns0:is>
          <ns0:t>주민숙소의 지붕</ns0:t>
        </ns0:is>
      </ns0:c>
      <ns0:c r="I183" s="8" t="n">
        <ns0:v>1</ns0:v>
      </ns0:c>
      <ns0:c r="J183" s="8" t="inlineStr">
        <ns0:is>
          <ns0:t>동도의 천장굴은 섬 안쪽으로 움푹 들어간 통 모양 지형이에요. 바다 쪽 벽에 있는 작은 구멍과는 다르게 보아야 해요.</ns0:t>
        </ns0:is>
      </ns0:c>
      <ns0:c r="K183" s="8" t="inlineStr">
        <ns0:is>
          <ns0:t>동도의 천장굴은 섬 안쪽으로 움푹 들어간 통 모양 지형이에요. 바다 쪽 벽에 있는 작은 구멍과는 다르게 보아야 해요.</ns0:t>
        </ns0:is>
      </ns0:c>
      <ns0:c r="L183" s="8" t="inlineStr">
        <ns0:is>
          <ns0:t>고른 보기 ‘바다 위의 평평한 선착장’와 달라요. 이 문항의 정답은 ‘섬 안으로 깊게 팬 통 모양’입니다. 동도의 천장굴은 섬 안쪽으로 움푹 들어간 통 모양 지형이에요. 바다 쪽 벽에 있는 작은 구멍과는 다르게 보아야 해요.</ns0:t>
        </ns0:is>
      </ns0:c>
      <ns0:c r="M183" s="8" t="inlineStr">
        <ns0:is>
          <ns0:t>고른 보기 ‘주민숙소의 지붕’와 달라요. 이 문항의 정답은 ‘섬 안으로 깊게 팬 통 모양’입니다. 동도의 천장굴은 섬 안쪽으로 움푹 들어간 통 모양 지형이에요. 바다 쪽 벽에 있는 작은 구멍과는 다르게 보아야 해요.</ns0:t>
        </ns0:is>
      </ns0:c>
      <ns0:c r="N183" s="8" t="inlineStr"/>
      <ns0:c r="O183" s="8" t="inlineStr">
        <ns0:is>
          <ns0:t>https://www.dokdo.re.kr/home/cms/cmsCont.do?cntnts_sn=65
https://www.heritage.go.kr/heri/cul/culSelectDetail.do?VdkVgwKey=16%2C03360000%2C37&amp;pageNo=1_1_2_0</ns0:t>
        </ns0:is>
      </ns0:c>
      <ns0:c r="P183" s="5">
        <ns0:f>LEN(E183)+MAX(LEN(F183),LEN(G183),LEN(H183))</ns0:f>
        <ns0:v>30</ns0:v>
      </ns0:c>
      <ns0:c r="Q183" s="9" t="inlineStr">
        <ns0:is>
          <ns0:t>출처 기반 자체 검토 / 독립 승인 전</ns0:t>
        </ns0:is>
      </ns0:c>
    </ns0:row>
    <ns0:row r="184" ht="98" customHeight="1">
      <ns0:c r="A184" s="2" t="n">
        <ns0:v>910183</ns0:v>
      </ns0:c>
      <ns0:c r="B184" s="2" t="n">
        <ns0:v>10</ns0:v>
      </ns0:c>
      <ns0:c r="C184" s="2" t="inlineStr">
        <ns0:is>
          <ns0:t>dk-cheonjang</ns0:t>
        </ns0:is>
      </ns0:c>
      <ns0:c r="D184" s="2" t="n">
        <ns0:v>3</ns0:v>
      </ns0:c>
      <ns0:c r="E184" s="6" t="inlineStr">
        <ns0:is>
          <ns0:t>자료가 설명하는 천장굴의 특징은?</ns0:t>
        </ns0:is>
      </ns0:c>
      <ns0:c r="F184" s="6" t="inlineStr">
        <ns0:is>
          <ns0:t>주민이 지은 네모난 저장고</ns0:t>
        </ns0:is>
      </ns0:c>
      <ns0:c r="G184" s="6" t="inlineStr">
        <ns0:is>
          <ns0:t>두 섬을 잇는 터널 도로</ns0:t>
        </ns0:is>
      </ns0:c>
      <ns0:c r="H184" s="6" t="inlineStr">
        <ns0:is>
          <ns0:t>섬 안쪽 낭떠러지와 바닥의 바닷물</ns0:t>
        </ns0:is>
      </ns0:c>
      <ns0:c r="I184" s="6" t="n">
        <ns0:v>3</ns0:v>
      </ns0:c>
      <ns0:c r="J184" s="6" t="inlineStr">
        <ns0:is>
          <ns0:t>동도의 천장굴은 섬 안쪽으로 움푹 들어간 통 모양 지형이에요. 바다 쪽 벽에 있는 작은 구멍과는 다르게 보아야 해요.</ns0:t>
        </ns0:is>
      </ns0:c>
      <ns0:c r="K184" s="6" t="inlineStr">
        <ns0:is>
          <ns0:t>고른 보기 ‘주민이 지은 네모난 저장고’와 달라요. 이 문항의 정답은 ‘섬 안쪽 낭떠러지와 바닥의 바닷물’입니다. 동도의 천장굴은 섬 안쪽으로 움푹 들어간 통 모양 지형이에요. 바다 쪽 벽에 있는 작은 구멍과는 다르게 보아야 해요.</ns0:t>
        </ns0:is>
      </ns0:c>
      <ns0:c r="L184" s="6" t="inlineStr">
        <ns0:is>
          <ns0:t>고른 보기 ‘두 섬을 잇는 터널 도로’와 달라요. 이 문항의 정답은 ‘섬 안쪽 낭떠러지와 바닥의 바닷물’입니다. 동도의 천장굴은 섬 안쪽으로 움푹 들어간 통 모양 지형이에요. 바다 쪽 벽에 있는 작은 구멍과는 다르게 보아야 해요.</ns0:t>
        </ns0:is>
      </ns0:c>
      <ns0:c r="M184" s="6" t="inlineStr">
        <ns0:is>
          <ns0:t>동도의 천장굴은 섬 안쪽으로 움푹 들어간 통 모양 지형이에요. 바다 쪽 벽에 있는 작은 구멍과는 다르게 보아야 해요.</ns0:t>
        </ns0:is>
      </ns0:c>
      <ns0:c r="N184" s="6" t="inlineStr">
        <ns0:is>
          <ns0:t>한국해양과학기술원은 천장굴을 동도 정상·헬기장 부근에서 섬 안쪽으로 형성된 둥근 통 형태의 낭떠러지로 설명하며 바닥에 바닷물이 드나든다고 소개합니다.</ns0:t>
        </ns0:is>
      </ns0:c>
      <ns0:c r="O184" s="6" t="inlineStr">
        <ns0:is>
          <ns0:t>https://www.dokdo.re.kr/home/cms/cmsCont.do?cntnts_sn=65
https://www.heritage.go.kr/heri/cul/culSelectDetail.do?VdkVgwKey=16%2C03360000%2C37&amp;pageNo=1_1_2_0</ns0:t>
        </ns0:is>
      </ns0:c>
      <ns0:c r="P184" s="3">
        <ns0:f>LEN(E184)+MAX(LEN(F184),LEN(G184),LEN(H184))</ns0:f>
        <ns0:v>36</ns0:v>
      </ns0:c>
      <ns0:c r="Q184" s="7" t="inlineStr">
        <ns0:is>
          <ns0:t>출처 기반 자체 검토 / 독립 승인 전</ns0:t>
        </ns0:is>
      </ns0:c>
    </ns0:row>
    <ns0:row r="185" ht="98" customHeight="1">
      <ns0:c r="A185" s="4" t="n">
        <ns0:v>910184</ns0:v>
      </ns0:c>
      <ns0:c r="B185" s="4" t="n">
        <ns0:v>10</ns0:v>
      </ns0:c>
      <ns0:c r="C185" s="4" t="inlineStr">
        <ns0:is>
          <ns0:t>dk-cheonjang</ns0:t>
        </ns0:is>
      </ns0:c>
      <ns0:c r="D185" s="4" t="n">
        <ns0:v>4</ns0:v>
      </ns0:c>
      <ns0:c r="E185" s="8" t="inlineStr">
        <ns0:is>
          <ns0:t>해안의 검은 구멍을 모두 천장굴이라 표시하면?</ns0:t>
        </ns0:is>
      </ns0:c>
      <ns0:c r="F185" s="8" t="inlineStr">
        <ns0:is>
          <ns0:t>천장굴은 어떤 섬에 놓아도 된다</ns0:t>
        </ns0:is>
      </ns0:c>
      <ns0:c r="G185" s="8" t="inlineStr">
        <ns0:is>
          <ns0:t>위치와 통 모양 지형을 대조해야 한다</ns0:t>
        </ns0:is>
      </ns0:c>
      <ns0:c r="H185" s="8" t="inlineStr">
        <ns0:is>
          <ns0:t>검은색이면 지형 이름이 모두 같다</ns0:t>
        </ns0:is>
      </ns0:c>
      <ns0:c r="I185" s="8" t="n">
        <ns0:v>2</ns0:v>
      </ns0:c>
      <ns0:c r="J185" s="8" t="inlineStr">
        <ns0:is>
          <ns0:t>동도의 천장굴은 섬 안쪽으로 움푹 들어간 통 모양 지형이에요. 바다 쪽 벽에 있는 작은 구멍과는 다르게 보아야 해요.</ns0:t>
        </ns0:is>
      </ns0:c>
      <ns0:c r="K185" s="8" t="inlineStr">
        <ns0:is>
          <ns0:t>고른 보기 ‘천장굴은 어떤 섬에 놓아도 된다’와 달라요. 이 문항의 정답은 ‘위치와 통 모양 지형을 대조해야 한다’입니다. 동도의 천장굴은 섬 안쪽으로 움푹 들어간 통 모양 지형이에요. 바다 쪽 벽에 있는 작은 구멍과는 다르게 보아야 해요.</ns0:t>
        </ns0:is>
      </ns0:c>
      <ns0:c r="L185" s="8" t="inlineStr">
        <ns0:is>
          <ns0:t>동도의 천장굴은 섬 안쪽으로 움푹 들어간 통 모양 지형이에요. 바다 쪽 벽에 있는 작은 구멍과는 다르게 보아야 해요.</ns0:t>
        </ns0:is>
      </ns0:c>
      <ns0:c r="M185" s="8" t="inlineStr">
        <ns0:is>
          <ns0:t>고른 보기 ‘검은색이면 지형 이름이 모두 같다’와 달라요. 이 문항의 정답은 ‘위치와 통 모양 지형을 대조해야 한다’입니다. 동도의 천장굴은 섬 안쪽으로 움푹 들어간 통 모양 지형이에요. 바다 쪽 벽에 있는 작은 구멍과는 다르게 보아야 해요.</ns0:t>
        </ns0:is>
      </ns0:c>
      <ns0:c r="N185" s="8" t="inlineStr">
        <ns0:is>
          <ns0:t>한국해양과학기술원은 천장굴을 동도 정상·헬기장 부근에서 섬 안쪽으로 형성된 둥근 통 형태의 낭떠러지로 설명하며 바닥에 바닷물이 드나든다고 소개합니다.</ns0:t>
        </ns0:is>
      </ns0:c>
      <ns0:c r="O185" s="8" t="inlineStr">
        <ns0:is>
          <ns0:t>https://www.dokdo.re.kr/home/cms/cmsCont.do?cntnts_sn=65
https://www.heritage.go.kr/heri/cul/culSelectDetail.do?VdkVgwKey=16%2C03360000%2C37&amp;pageNo=1_1_2_0</ns0:t>
        </ns0:is>
      </ns0:c>
      <ns0:c r="P185" s="5">
        <ns0:f>LEN(E185)+MAX(LEN(F185),LEN(G185),LEN(H185))</ns0:f>
        <ns0:v>45</ns0:v>
      </ns0:c>
      <ns0:c r="Q185" s="9" t="inlineStr">
        <ns0:is>
          <ns0:t>출처 기반 자체 검토 / 독립 승인 전</ns0:t>
        </ns0:is>
      </ns0:c>
    </ns0:row>
    <ns0:row r="186" ht="98" customHeight="1">
      <ns0:c r="A186" s="2" t="n">
        <ns0:v>910185</ns0:v>
      </ns0:c>
      <ns0:c r="B186" s="2" t="n">
        <ns0:v>10</ns0:v>
      </ns0:c>
      <ns0:c r="C186" s="2" t="inlineStr">
        <ns0:is>
          <ns0:t>dk-dongnim-arch</ns0:t>
        </ns0:is>
      </ns0:c>
      <ns0:c r="D186" s="2" t="n">
        <ns0:v>1</ns0:v>
      </ns0:c>
      <ns0:c r="E186" s="6" t="inlineStr">
        <ns0:is>
          <ns0:t>독립문바위 이름과 연결되는 모양은?</ns0:t>
        </ns0:is>
      </ns0:c>
      <ns0:c r="F186" s="6" t="inlineStr">
        <ns0:is>
          <ns0:t>문처럼 열린 아치</ns0:t>
        </ns0:is>
      </ns0:c>
      <ns0:c r="G186" s="6" t="inlineStr">
        <ns0:is>
          <ns0:t>완전히 둥근 공</ns0:t>
        </ns0:is>
      </ns0:c>
      <ns0:c r="H186" s="6" t="inlineStr">
        <ns0:is>
          <ns0:t>길게 뻗은 선착장</ns0:t>
        </ns0:is>
      </ns0:c>
      <ns0:c r="I186" s="6" t="n">
        <ns0:v>1</ns0:v>
      </ns0:c>
      <ns0:c r="J186" s="6" t="inlineStr">
        <ns0:is>
          <ns0:t>독립문바위는 바위에 문처럼 열린 아치 모양이 있어서 붙은 이름이에요. 사람이 지은 문은 아니에요.</ns0:t>
        </ns0:is>
      </ns0:c>
      <ns0:c r="K186" s="6" t="inlineStr">
        <ns0:is>
          <ns0:t>독립문바위는 바위에 문처럼 열린 아치 모양이 있어서 붙은 이름이에요. 사람이 지은 문은 아니에요.</ns0:t>
        </ns0:is>
      </ns0:c>
      <ns0:c r="L186" s="6" t="inlineStr">
        <ns0:is>
          <ns0:t>고른 보기 ‘완전히 둥근 공’와 달라요. 이 문항의 정답은 ‘문처럼 열린 아치’입니다. 독립문바위는 바위에 문처럼 열린 아치 모양이 있어서 붙은 이름이에요. 사람이 지은 문은 아니에요.</ns0:t>
        </ns0:is>
      </ns0:c>
      <ns0:c r="M186" s="6" t="inlineStr">
        <ns0:is>
          <ns0:t>고른 보기 ‘길게 뻗은 선착장’와 달라요. 이 문항의 정답은 ‘문처럼 열린 아치’입니다. 독립문바위는 바위에 문처럼 열린 아치 모양이 있어서 붙은 이름이에요. 사람이 지은 문은 아니에요.</ns0:t>
        </ns0:is>
      </ns0:c>
      <ns0:c r="N186" s="6" t="inlineStr"/>
      <ns0:c r="O186" s="6" t="inlineStr">
        <ns0:is>
          <ns0:t>https://www.dokdo.re.kr/home/cms/cmsCont.do?cntnts_sn=65</ns0:t>
        </ns0:is>
      </ns0:c>
      <ns0:c r="P186" s="3">
        <ns0:f>LEN(E186)+MAX(LEN(F186),LEN(G186),LEN(H186))</ns0:f>
        <ns0:v>28</ns0:v>
      </ns0:c>
      <ns0:c r="Q186" s="7" t="inlineStr">
        <ns0:is>
          <ns0:t>출처 기반 자체 검토 / 독립 승인 전</ns0:t>
        </ns0:is>
      </ns0:c>
    </ns0:row>
    <ns0:row r="187" ht="98" customHeight="1">
      <ns0:c r="A187" s="4" t="n">
        <ns0:v>910186</ns0:v>
      </ns0:c>
      <ns0:c r="B187" s="4" t="n">
        <ns0:v>10</ns0:v>
      </ns0:c>
      <ns0:c r="C187" s="4" t="inlineStr">
        <ns0:is>
          <ns0:t>dk-dongnim-arch</ns0:t>
        </ns0:is>
      </ns0:c>
      <ns0:c r="D187" s="4" t="n">
        <ns0:v>2</ns0:v>
      </ns0:c>
      <ns0:c r="E187" s="8" t="inlineStr">
        <ns0:is>
          <ns0:t>독립문바위와 연결되는 형성 작용은?</ns0:t>
        </ns0:is>
      </ns0:c>
      <ns0:c r="F187" s="8" t="inlineStr">
        <ns0:is>
          <ns0:t>벽돌을 쌓는 공사</ns0:t>
        </ns0:is>
      </ns0:c>
      <ns0:c r="G187" s="8" t="inlineStr">
        <ns0:is>
          <ns0:t>얼음을 쌓는 작업</ns0:t>
        </ns0:is>
      </ns0:c>
      <ns0:c r="H187" s="8" t="inlineStr">
        <ns0:is>
          <ns0:t>파도에 의한 침식</ns0:t>
        </ns0:is>
      </ns0:c>
      <ns0:c r="I187" s="8" t="n">
        <ns0:v>3</ns0:v>
      </ns0:c>
      <ns0:c r="J187" s="8" t="inlineStr">
        <ns0:is>
          <ns0:t>독립문바위는 바위에 문처럼 열린 아치 모양이 있어서 붙은 이름이에요. 사람이 지은 문은 아니에요.</ns0:t>
        </ns0:is>
      </ns0:c>
      <ns0:c r="K187" s="8" t="inlineStr">
        <ns0:is>
          <ns0:t>고른 보기 ‘벽돌을 쌓는 공사’와 달라요. 이 문항의 정답은 ‘파도에 의한 침식’입니다. 독립문바위는 바위에 문처럼 열린 아치 모양이 있어서 붙은 이름이에요. 사람이 지은 문은 아니에요.</ns0:t>
        </ns0:is>
      </ns0:c>
      <ns0:c r="L187" s="8" t="inlineStr">
        <ns0:is>
          <ns0:t>고른 보기 ‘얼음을 쌓는 작업’와 달라요. 이 문항의 정답은 ‘파도에 의한 침식’입니다. 독립문바위는 바위에 문처럼 열린 아치 모양이 있어서 붙은 이름이에요. 사람이 지은 문은 아니에요.</ns0:t>
        </ns0:is>
      </ns0:c>
      <ns0:c r="M187" s="8" t="inlineStr">
        <ns0:is>
          <ns0:t>독립문바위는 바위에 문처럼 열린 아치 모양이 있어서 붙은 이름이에요. 사람이 지은 문은 아니에요.</ns0:t>
        </ns0:is>
      </ns0:c>
      <ns0:c r="N187" s="8" t="inlineStr"/>
      <ns0:c r="O187" s="8" t="inlineStr">
        <ns0:is>
          <ns0:t>https://www.dokdo.re.kr/home/cms/cmsCont.do?cntnts_sn=65</ns0:t>
        </ns0:is>
      </ns0:c>
      <ns0:c r="P187" s="5">
        <ns0:f>LEN(E187)+MAX(LEN(F187),LEN(G187),LEN(H187))</ns0:f>
        <ns0:v>28</ns0:v>
      </ns0:c>
      <ns0:c r="Q187" s="9" t="inlineStr">
        <ns0:is>
          <ns0:t>출처 기반 자체 검토 / 독립 승인 전</ns0:t>
        </ns0:is>
      </ns0:c>
    </ns0:row>
    <ns0:row r="188" ht="98" customHeight="1">
      <ns0:c r="A188" s="2" t="n">
        <ns0:v>910187</ns0:v>
      </ns0:c>
      <ns0:c r="B188" s="2" t="n">
        <ns0:v>10</ns0:v>
      </ns0:c>
      <ns0:c r="C188" s="2" t="inlineStr">
        <ns0:is>
          <ns0:t>dk-dongnim-arch</ns0:t>
        </ns0:is>
      </ns0:c>
      <ns0:c r="D188" s="2" t="n">
        <ns0:v>3</ns0:v>
      </ns0:c>
      <ns0:c r="E188" s="6" t="inlineStr">
        <ns0:is>
          <ns0:t>자료의 이름 유래와 형성을 바르게 묶으면?</ns0:t>
        </ns0:is>
      </ns0:c>
      <ns0:c r="F188" s="6" t="inlineStr">
        <ns0:is>
          <ns0:t>등대의 별명·전기 공급</ns0:t>
        </ns0:is>
      </ns0:c>
      <ns0:c r="G188" s="6" t="inlineStr">
        <ns0:is>
          <ns0:t>독립문을 닮은 모양·해안 침식</ns0:t>
        </ns0:is>
      </ns0:c>
      <ns0:c r="H188" s="6" t="inlineStr">
        <ns0:is>
          <ns0:t>군수의 이름·관보 인쇄</ns0:t>
        </ns0:is>
      </ns0:c>
      <ns0:c r="I188" s="6" t="n">
        <ns0:v>2</ns0:v>
      </ns0:c>
      <ns0:c r="J188" s="6" t="inlineStr">
        <ns0:is>
          <ns0:t>독립문바위는 바위에 문처럼 열린 아치 모양이 있어서 붙은 이름이에요. 사람이 지은 문은 아니에요.</ns0:t>
        </ns0:is>
      </ns0:c>
      <ns0:c r="K188" s="6" t="inlineStr">
        <ns0:is>
          <ns0:t>고른 보기 ‘등대의 별명·전기 공급’와 달라요. 이 문항의 정답은 ‘독립문을 닮은 모양·해안 침식’입니다. 독립문바위는 바위에 문처럼 열린 아치 모양이 있어서 붙은 이름이에요. 사람이 지은 문은 아니에요.</ns0:t>
        </ns0:is>
      </ns0:c>
      <ns0:c r="L188" s="6" t="inlineStr">
        <ns0:is>
          <ns0:t>독립문바위는 바위에 문처럼 열린 아치 모양이 있어서 붙은 이름이에요. 사람이 지은 문은 아니에요.</ns0:t>
        </ns0:is>
      </ns0:c>
      <ns0:c r="M188" s="6" t="inlineStr">
        <ns0:is>
          <ns0:t>고른 보기 ‘군수의 이름·관보 인쇄’와 달라요. 이 문항의 정답은 ‘독립문을 닮은 모양·해안 침식’입니다. 독립문바위는 바위에 문처럼 열린 아치 모양이 있어서 붙은 이름이에요. 사람이 지은 문은 아니에요.</ns0:t>
        </ns0:is>
      </ns0:c>
      <ns0:c r="N188" s="6" t="inlineStr">
        <ns0:is>
          <ns0:t>한국해양과학기술원 지명 설명: 독립문바위는 해식아치이며 그 모양이 독립문을 닮아 이름이 붙었습니다. 해식은 파도가 바위를 깎는 작용입니다.</ns0:t>
        </ns0:is>
      </ns0:c>
      <ns0:c r="O188" s="6" t="inlineStr">
        <ns0:is>
          <ns0:t>https://www.dokdo.re.kr/home/cms/cmsCont.do?cntnts_sn=65</ns0:t>
        </ns0:is>
      </ns0:c>
      <ns0:c r="P188" s="3">
        <ns0:f>LEN(E188)+MAX(LEN(F188),LEN(G188),LEN(H188))</ns0:f>
        <ns0:v>39</ns0:v>
      </ns0:c>
      <ns0:c r="Q188" s="7" t="inlineStr">
        <ns0:is>
          <ns0:t>출처 기반 자체 검토 / 독립 승인 전</ns0:t>
        </ns0:is>
      </ns0:c>
    </ns0:row>
    <ns0:row r="189" ht="98" customHeight="1">
      <ns0:c r="A189" s="4" t="n">
        <ns0:v>910188</ns0:v>
      </ns0:c>
      <ns0:c r="B189" s="4" t="n">
        <ns0:v>10</ns0:v>
      </ns0:c>
      <ns0:c r="C189" s="4" t="inlineStr">
        <ns0:is>
          <ns0:t>dk-dongnim-arch</ns0:t>
        </ns0:is>
      </ns0:c>
      <ns0:c r="D189" s="4" t="n">
        <ns0:v>4</ns0:v>
      </ns0:c>
      <ns0:c r="E189" s="8" t="inlineStr">
        <ns0:is>
          <ns0:t>‘독립문’이라는 이름이 인공 건축을 증명할까요?</ns0:t>
        </ns0:is>
      </ns0:c>
      <ns0:c r="F189" s="8" t="inlineStr">
        <ns0:is>
          <ns0:t>닮은 모습에서 붙은 이름이지 건축 증거는 아니다</ns0:t>
        </ns0:is>
      </ns0:c>
      <ns0:c r="G189" s="8" t="inlineStr">
        <ns0:is>
          <ns0:t>문이라는 글자가 있으면 모두 사람이 지었다</ns0:t>
        </ns0:is>
      </ns0:c>
      <ns0:c r="H189" s="8" t="inlineStr">
        <ns0:is>
          <ns0:t>자연 지형에는 이름을 붙일 수 없다</ns0:t>
        </ns0:is>
      </ns0:c>
      <ns0:c r="I189" s="8" t="n">
        <ns0:v>1</ns0:v>
      </ns0:c>
      <ns0:c r="J189" s="8" t="inlineStr">
        <ns0:is>
          <ns0:t>독립문바위는 바위에 문처럼 열린 아치 모양이 있어서 붙은 이름이에요. 사람이 지은 문은 아니에요.</ns0:t>
        </ns0:is>
      </ns0:c>
      <ns0:c r="K189" s="8" t="inlineStr">
        <ns0:is>
          <ns0:t>독립문바위는 바위에 문처럼 열린 아치 모양이 있어서 붙은 이름이에요. 사람이 지은 문은 아니에요.</ns0:t>
        </ns0:is>
      </ns0:c>
      <ns0:c r="L189" s="8" t="inlineStr">
        <ns0:is>
          <ns0:t>고른 보기 ‘문이라는 글자가 있으면 모두 사람이 지었다’와 달라요. 이 문항의 정답은 ‘닮은 모습에서 붙은 이름이지 건축 증거는 아니다’입니다. 독립문바위는 바위에 문처럼 열린 아치 모양이 있어서 붙은 이름이에요. 사람이 지은 문은 아니에요.</ns0:t>
        </ns0:is>
      </ns0:c>
      <ns0:c r="M189" s="8" t="inlineStr">
        <ns0:is>
          <ns0:t>고른 보기 ‘자연 지형에는 이름을 붙일 수 없다’와 달라요. 이 문항의 정답은 ‘닮은 모습에서 붙은 이름이지 건축 증거는 아니다’입니다. 독립문바위는 바위에 문처럼 열린 아치 모양이 있어서 붙은 이름이에요. 사람이 지은 문은 아니에요.</ns0:t>
        </ns0:is>
      </ns0:c>
      <ns0:c r="N189" s="8" t="inlineStr">
        <ns0:is>
          <ns0:t>한국해양과학기술원 지명 설명: 독립문바위는 해식아치이며 그 모양이 독립문을 닮아 이름이 붙었습니다. 해식은 파도가 바위를 깎는 작용입니다.</ns0:t>
        </ns0:is>
      </ns0:c>
      <ns0:c r="O189" s="8" t="inlineStr">
        <ns0:is>
          <ns0:t>https://www.dokdo.re.kr/home/cms/cmsCont.do?cntnts_sn=65</ns0:t>
        </ns0:is>
      </ns0:c>
      <ns0:c r="P189" s="5">
        <ns0:f>LEN(E189)+MAX(LEN(F189),LEN(G189),LEN(H189))</ns0:f>
        <ns0:v>52</ns0:v>
      </ns0:c>
      <ns0:c r="Q189" s="9" t="inlineStr">
        <ns0:is>
          <ns0:t>출처 기반 자체 검토 / 독립 승인 전</ns0:t>
        </ns0:is>
      </ns0:c>
    </ns0:row>
    <ns0:row r="190" ht="98" customHeight="1">
      <ns0:c r="A190" s="2" t="n">
        <ns0:v>910189</ns0:v>
      </ns0:c>
      <ns0:c r="B190" s="2" t="n">
        <ns0:v>10</ns0:v>
      </ns0:c>
      <ns0:c r="C190" s="2" t="inlineStr">
        <ns0:is>
          <ns0:t>dk-sutdol</ns0:t>
        </ns0:is>
      </ns0:c>
      <ns0:c r="D190" s="2" t="n">
        <ns0:v>1</ns0:v>
      </ns0:c>
      <ns0:c r="E190" s="6" t="inlineStr">
        <ns0:is>
          <ns0:t>숫돌바위 가까이에 있는 시설은?</ns0:t>
        </ns0:is>
      </ns0:c>
      <ns0:c r="F190" s="6" t="inlineStr">
        <ns0:is>
          <ns0:t>서도 주민숙소</ns0:t>
        </ns0:is>
      </ns0:c>
      <ns0:c r="G190" s="6" t="inlineStr">
        <ns0:is>
          <ns0:t>울릉도 공항</ns0:t>
        </ns0:is>
      </ns0:c>
      <ns0:c r="H190" s="6" t="inlineStr">
        <ns0:is>
          <ns0:t>동도 선착장</ns0:t>
        </ns0:is>
      </ns0:c>
      <ns0:c r="I190" s="6" t="n">
        <ns0:v>3</ns0:v>
      </ns0:c>
      <ns0:c r="J190" s="6" t="inlineStr">
        <ns0:is>
          <ns0:t>숫돌바위는 동도 선착장 가까이에서 볼 수 있어요. 칼을 가는 숫돌과 비슷한 바위 성질에서 이름이 왔어요.</ns0:t>
        </ns0:is>
      </ns0:c>
      <ns0:c r="K190" s="6" t="inlineStr">
        <ns0:is>
          <ns0:t>고른 보기 ‘서도 주민숙소’와 달라요. 이 문항의 정답은 ‘동도 선착장’입니다. 숫돌바위는 동도 선착장 가까이에서 볼 수 있어요. 칼을 가는 숫돌과 비슷한 바위 성질에서 이름이 왔어요.</ns0:t>
        </ns0:is>
      </ns0:c>
      <ns0:c r="L190" s="6" t="inlineStr">
        <ns0:is>
          <ns0:t>고른 보기 ‘울릉도 공항’와 달라요. 이 문항의 정답은 ‘동도 선착장’입니다. 숫돌바위는 동도 선착장 가까이에서 볼 수 있어요. 칼을 가는 숫돌과 비슷한 바위 성질에서 이름이 왔어요.</ns0:t>
        </ns0:is>
      </ns0:c>
      <ns0:c r="M190" s="6" t="inlineStr">
        <ns0:is>
          <ns0:t>숫돌바위는 동도 선착장 가까이에서 볼 수 있어요. 칼을 가는 숫돌과 비슷한 바위 성질에서 이름이 왔어요.</ns0:t>
        </ns0:is>
      </ns0:c>
      <ns0:c r="N190" s="6" t="inlineStr"/>
      <ns0:c r="O190" s="6" t="inlineStr">
        <ns0:is>
          <ns0:t>https://korean.visitkorea.or.kr/detail/ms_detail.do?cotid=603167d6-1056-43c1-8a3d-c8640dd25938
https://www.dokdo.re.kr/home/cms/cmsCont.do?cntnts_sn=65</ns0:t>
        </ns0:is>
      </ns0:c>
      <ns0:c r="P190" s="3">
        <ns0:f>LEN(E190)+MAX(LEN(F190),LEN(G190),LEN(H190))</ns0:f>
        <ns0:v>24</ns0:v>
      </ns0:c>
      <ns0:c r="Q190" s="7" t="inlineStr">
        <ns0:is>
          <ns0:t>출처 기반 자체 검토 / 독립 승인 전</ns0:t>
        </ns0:is>
      </ns0:c>
    </ns0:row>
    <ns0:row r="191" ht="98" customHeight="1">
      <ns0:c r="A191" s="4" t="n">
        <ns0:v>910190</ns0:v>
      </ns0:c>
      <ns0:c r="B191" s="4" t="n">
        <ns0:v>10</ns0:v>
      </ns0:c>
      <ns0:c r="C191" s="4" t="inlineStr">
        <ns0:is>
          <ns0:t>dk-sutdol</ns0:t>
        </ns0:is>
      </ns0:c>
      <ns0:c r="D191" s="4" t="n">
        <ns0:v>2</ns0:v>
      </ns0:c>
      <ns0:c r="E191" s="8" t="inlineStr">
        <ns0:is>
          <ns0:t>숫돌바위의 이름과 관계있는 것은?</ns0:t>
        </ns0:is>
      </ns0:c>
      <ns0:c r="F191" s="8" t="inlineStr">
        <ns0:is>
          <ns0:t>등대가 켜지는 시각</ns0:t>
        </ns0:is>
      </ns0:c>
      <ns0:c r="G191" s="8" t="inlineStr">
        <ns0:is>
          <ns0:t>칼을 가는 숫돌 같은 암질</ns0:t>
        </ns0:is>
      </ns0:c>
      <ns0:c r="H191" s="8" t="inlineStr">
        <ns0:is>
          <ns0:t>섬의 공식 주소 번호</ns0:t>
        </ns0:is>
      </ns0:c>
      <ns0:c r="I191" s="8" t="n">
        <ns0:v>2</ns0:v>
      </ns0:c>
      <ns0:c r="J191" s="8" t="inlineStr">
        <ns0:is>
          <ns0:t>숫돌바위는 동도 선착장 가까이에서 볼 수 있어요. 칼을 가는 숫돌과 비슷한 바위 성질에서 이름이 왔어요.</ns0:t>
        </ns0:is>
      </ns0:c>
      <ns0:c r="K191" s="8" t="inlineStr">
        <ns0:is>
          <ns0:t>고른 보기 ‘등대가 켜지는 시각’와 달라요. 이 문항의 정답은 ‘칼을 가는 숫돌 같은 암질’입니다. 숫돌바위는 동도 선착장 가까이에서 볼 수 있어요. 칼을 가는 숫돌과 비슷한 바위 성질에서 이름이 왔어요.</ns0:t>
        </ns0:is>
      </ns0:c>
      <ns0:c r="L191" s="8" t="inlineStr">
        <ns0:is>
          <ns0:t>숫돌바위는 동도 선착장 가까이에서 볼 수 있어요. 칼을 가는 숫돌과 비슷한 바위 성질에서 이름이 왔어요.</ns0:t>
        </ns0:is>
      </ns0:c>
      <ns0:c r="M191" s="8" t="inlineStr">
        <ns0:is>
          <ns0:t>고른 보기 ‘섬의 공식 주소 번호’와 달라요. 이 문항의 정답은 ‘칼을 가는 숫돌 같은 암질’입니다. 숫돌바위는 동도 선착장 가까이에서 볼 수 있어요. 칼을 가는 숫돌과 비슷한 바위 성질에서 이름이 왔어요.</ns0:t>
        </ns0:is>
      </ns0:c>
      <ns0:c r="N191" s="8" t="inlineStr"/>
      <ns0:c r="O191" s="8" t="inlineStr">
        <ns0:is>
          <ns0:t>https://korean.visitkorea.or.kr/detail/ms_detail.do?cotid=603167d6-1056-43c1-8a3d-c8640dd25938
https://www.dokdo.re.kr/home/cms/cmsCont.do?cntnts_sn=65</ns0:t>
        </ns0:is>
      </ns0:c>
      <ns0:c r="P191" s="5">
        <ns0:f>LEN(E191)+MAX(LEN(F191),LEN(G191),LEN(H191))</ns0:f>
        <ns0:v>32</ns0:v>
      </ns0:c>
      <ns0:c r="Q191" s="9" t="inlineStr">
        <ns0:is>
          <ns0:t>출처 기반 자체 검토 / 독립 승인 전</ns0:t>
        </ns0:is>
      </ns0:c>
    </ns0:row>
    <ns0:row r="192" ht="98" customHeight="1">
      <ns0:c r="A192" s="2" t="n">
        <ns0:v>910191</ns0:v>
      </ns0:c>
      <ns0:c r="B192" s="2" t="n">
        <ns0:v>10</ns0:v>
      </ns0:c>
      <ns0:c r="C192" s="2" t="inlineStr">
        <ns0:is>
          <ns0:t>dk-sutdol</ns0:t>
        </ns0:is>
      </ns0:c>
      <ns0:c r="D192" s="2" t="n">
        <ns0:v>3</ns0:v>
      </ns0:c>
      <ns0:c r="E192" s="6" t="inlineStr">
        <ns0:is>
          <ns0:t>자료가 숫돌바위에서 소개하는 지질 모습은?</ns0:t>
        </ns0:is>
      </ns0:c>
      <ns0:c r="F192" s="6" t="inlineStr">
        <ns0:is>
          <ns0:t>수평 주상절리</ns0:t>
        </ns0:is>
      </ns0:c>
      <ns0:c r="G192" s="6" t="inlineStr">
        <ns0:is>
          <ns0:t>주민이 쌓은 벽돌담</ns0:t>
        </ns0:is>
      </ns0:c>
      <ns0:c r="H192" s="6" t="inlineStr">
        <ns0:is>
          <ns0:t>빙하로 덮인 계곡</ns0:t>
        </ns0:is>
      </ns0:c>
      <ns0:c r="I192" s="6" t="n">
        <ns0:v>1</ns0:v>
      </ns0:c>
      <ns0:c r="J192" s="6" t="inlineStr">
        <ns0:is>
          <ns0:t>숫돌바위는 동도 선착장 가까이에서 볼 수 있어요. 칼을 가는 숫돌과 비슷한 바위 성질에서 이름이 왔어요.</ns0:t>
        </ns0:is>
      </ns0:c>
      <ns0:c r="K192" s="6" t="inlineStr">
        <ns0:is>
          <ns0:t>숫돌바위는 동도 선착장 가까이에서 볼 수 있어요. 칼을 가는 숫돌과 비슷한 바위 성질에서 이름이 왔어요.</ns0:t>
        </ns0:is>
      </ns0:c>
      <ns0:c r="L192" s="6" t="inlineStr">
        <ns0:is>
          <ns0:t>고른 보기 ‘주민이 쌓은 벽돌담’와 달라요. 이 문항의 정답은 ‘수평 주상절리’입니다. 숫돌바위는 동도 선착장 가까이에서 볼 수 있어요. 칼을 가는 숫돌과 비슷한 바위 성질에서 이름이 왔어요.</ns0:t>
        </ns0:is>
      </ns0:c>
      <ns0:c r="M192" s="6" t="inlineStr">
        <ns0:is>
          <ns0:t>고른 보기 ‘빙하로 덮인 계곡’와 달라요. 이 문항의 정답은 ‘수평 주상절리’입니다. 숫돌바위는 동도 선착장 가까이에서 볼 수 있어요. 칼을 가는 숫돌과 비슷한 바위 성질에서 이름이 왔어요.</ns0:t>
        </ns0:is>
      </ns0:c>
      <ns0:c r="N192" s="6" t="inlineStr">
        <ns0:is>
          <ns0:t>한국관광공사는 숫돌바위를 동도선착장 가까이에서 볼 수 있는 지질명소로 소개합니다. 암질이 숫돌과 비슷하며 수평 주상절리의 모습이 설명됩니다.</ns0:t>
        </ns0:is>
      </ns0:c>
      <ns0:c r="O192" s="6" t="inlineStr">
        <ns0:is>
          <ns0:t>https://korean.visitkorea.or.kr/detail/ms_detail.do?cotid=603167d6-1056-43c1-8a3d-c8640dd25938
https://www.dokdo.re.kr/home/cms/cmsCont.do?cntnts_sn=65</ns0:t>
        </ns0:is>
      </ns0:c>
      <ns0:c r="P192" s="3">
        <ns0:f>LEN(E192)+MAX(LEN(F192),LEN(G192),LEN(H192))</ns0:f>
        <ns0:v>33</ns0:v>
      </ns0:c>
      <ns0:c r="Q192" s="7" t="inlineStr">
        <ns0:is>
          <ns0:t>출처 기반 자체 검토 / 독립 승인 전</ns0:t>
        </ns0:is>
      </ns0:c>
    </ns0:row>
    <ns0:row r="193" ht="98" customHeight="1">
      <ns0:c r="A193" s="4" t="n">
        <ns0:v>910192</ns0:v>
      </ns0:c>
      <ns0:c r="B193" s="4" t="n">
        <ns0:v>10</ns0:v>
      </ns0:c>
      <ns0:c r="C193" s="4" t="inlineStr">
        <ns0:is>
          <ns0:t>dk-sutdol</ns0:t>
        </ns0:is>
      </ns0:c>
      <ns0:c r="D193" s="4" t="n">
        <ns0:v>4</ns0:v>
      </ns0:c>
      <ns0:c r="E193" s="8" t="inlineStr">
        <ns0:is>
          <ns0:t>지명 유래만으로 바위 전체의 성질을 단정한다면?</ns0:t>
        </ns0:is>
      </ns0:c>
      <ns0:c r="F193" s="8" t="inlineStr">
        <ns0:is>
          <ns0:t>이름이 있으니 모든 물리 성질이 정해진다</ns0:t>
        </ns0:is>
      </ns0:c>
      <ns0:c r="G193" s="8" t="inlineStr">
        <ns0:is>
          <ns0:t>지명은 주변 시설과 대조할 수 없다</ns0:t>
        </ns0:is>
      </ns0:c>
      <ns0:c r="H193" s="8" t="inlineStr">
        <ns0:is>
          <ns0:t>암질·지형 관찰 자료도 함께 확인해야 한다</ns0:t>
        </ns0:is>
      </ns0:c>
      <ns0:c r="I193" s="8" t="n">
        <ns0:v>3</ns0:v>
      </ns0:c>
      <ns0:c r="J193" s="8" t="inlineStr">
        <ns0:is>
          <ns0:t>숫돌바위는 동도 선착장 가까이에서 볼 수 있어요. 칼을 가는 숫돌과 비슷한 바위 성질에서 이름이 왔어요.</ns0:t>
        </ns0:is>
      </ns0:c>
      <ns0:c r="K193" s="8" t="inlineStr">
        <ns0:is>
          <ns0:t>고른 보기 ‘이름이 있으니 모든 물리 성질이 정해진다’와 달라요. 이 문항의 정답은 ‘암질·지형 관찰 자료도 함께 확인해야 한다’입니다. 숫돌바위는 동도 선착장 가까이에서 볼 수 있어요. 칼을 가는 숫돌과 비슷한 바위 성질에서 이름이 왔어요.</ns0:t>
        </ns0:is>
      </ns0:c>
      <ns0:c r="L193" s="8" t="inlineStr">
        <ns0:is>
          <ns0:t>고른 보기 ‘지명은 주변 시설과 대조할 수 없다’와 달라요. 이 문항의 정답은 ‘암질·지형 관찰 자료도 함께 확인해야 한다’입니다. 숫돌바위는 동도 선착장 가까이에서 볼 수 있어요. 칼을 가는 숫돌과 비슷한 바위 성질에서 이름이 왔어요.</ns0:t>
        </ns0:is>
      </ns0:c>
      <ns0:c r="M193" s="8" t="inlineStr">
        <ns0:is>
          <ns0:t>숫돌바위는 동도 선착장 가까이에서 볼 수 있어요. 칼을 가는 숫돌과 비슷한 바위 성질에서 이름이 왔어요.</ns0:t>
        </ns0:is>
      </ns0:c>
      <ns0:c r="N193" s="8" t="inlineStr">
        <ns0:is>
          <ns0:t>한국관광공사는 숫돌바위를 동도선착장 가까이에서 볼 수 있는 지질명소로 소개합니다. 암질이 숫돌과 비슷하며 수평 주상절리의 모습이 설명됩니다.</ns0:t>
        </ns0:is>
      </ns0:c>
      <ns0:c r="O193" s="8" t="inlineStr">
        <ns0:is>
          <ns0:t>https://korean.visitkorea.or.kr/detail/ms_detail.do?cotid=603167d6-1056-43c1-8a3d-c8640dd25938
https://www.dokdo.re.kr/home/cms/cmsCont.do?cntnts_sn=65</ns0:t>
        </ns0:is>
      </ns0:c>
      <ns0:c r="P193" s="5">
        <ns0:f>LEN(E193)+MAX(LEN(F193),LEN(G193),LEN(H193))</ns0:f>
        <ns0:v>49</ns0:v>
      </ns0:c>
      <ns0:c r="Q193" s="9" t="inlineStr">
        <ns0:is>
          <ns0:t>출처 기반 자체 검토 / 독립 승인 전</ns0:t>
        </ns0:is>
      </ns0:c>
    </ns0:row>
    <ns0:row r="194" ht="98" customHeight="1">
      <ns0:c r="A194" s="2" t="n">
        <ns0:v>910193</ns0:v>
      </ns0:c>
      <ns0:c r="B194" s="2" t="n">
        <ns0:v>10</ns0:v>
      </ns0:c>
      <ns0:c r="C194" s="2" t="inlineStr">
        <ns0:is>
          <ns0:t>dk-gaje-name</ns0:t>
        </ns0:is>
      </ns0:c>
      <ns0:c r="D194" s="2" t="n">
        <ns0:v>1</ns0:v>
      </ns0:c>
      <ns0:c r="E194" s="6" t="inlineStr">
        <ns0:is>
          <ns0:t>가제바위의 ‘가제’와 연결되는 동물은?</ns0:t>
        </ns0:is>
      </ns0:c>
      <ns0:c r="F194" s="6" t="inlineStr">
        <ns0:is>
          <ns0:t>해국</ns0:t>
        </ns0:is>
      </ns0:c>
      <ns0:c r="G194" s="6" t="inlineStr">
        <ns0:is>
          <ns0:t>강치</ns0:t>
        </ns0:is>
      </ns0:c>
      <ns0:c r="H194" s="6" t="inlineStr">
        <ns0:is>
          <ns0:t>괭이갈매기</ns0:t>
        </ns0:is>
      </ns0:c>
      <ns0:c r="I194" s="6" t="n">
        <ns0:v>2</ns0:v>
      </ns0:c>
      <ns0:c r="J194" s="6" t="inlineStr">
        <ns0:is>
          <ns0:t>큰가제바위와 작은가제바위의 ‘가제’는 강치를 부르던 현지 말과 연결돼요. 지명에는 생물과 사람의 기억이 남기도 해요.</ns0:t>
        </ns0:is>
      </ns0:c>
      <ns0:c r="K194" s="6" t="inlineStr">
        <ns0:is>
          <ns0:t>고른 보기 ‘해국’와 달라요. 이 문항의 정답은 ‘강치’입니다. 큰가제바위와 작은가제바위의 ‘가제’는 강치를 부르던 현지 말과 연결돼요. 지명에는 생물과 사람의 기억이 남기도 해요.</ns0:t>
        </ns0:is>
      </ns0:c>
      <ns0:c r="L194" s="6" t="inlineStr">
        <ns0:is>
          <ns0:t>큰가제바위와 작은가제바위의 ‘가제’는 강치를 부르던 현지 말과 연결돼요. 지명에는 생물과 사람의 기억이 남기도 해요.</ns0:t>
        </ns0:is>
      </ns0:c>
      <ns0:c r="M194" s="6" t="inlineStr">
        <ns0:is>
          <ns0:t>고른 보기 ‘괭이갈매기’와 달라요. 이 문항의 정답은 ‘강치’입니다. 큰가제바위와 작은가제바위의 ‘가제’는 강치를 부르던 현지 말과 연결돼요. 지명에는 생물과 사람의 기억이 남기도 해요.</ns0:t>
        </ns0:is>
      </ns0:c>
      <ns0:c r="N194" s="6" t="inlineStr"/>
      <ns0:c r="O194" s="6" t="inlineStr">
        <ns0:is>
          <ns0:t>https://www.dokdo.re.kr/home/cms/cmsCont.do?cntnts_sn=65</ns0:t>
        </ns0:is>
      </ns0:c>
      <ns0:c r="P194" s="3">
        <ns0:f>LEN(E194)+MAX(LEN(F194),LEN(G194),LEN(H194))</ns0:f>
        <ns0:v>26</ns0:v>
      </ns0:c>
      <ns0:c r="Q194" s="7" t="inlineStr">
        <ns0:is>
          <ns0:t>출처 기반 자체 검토 / 독립 승인 전</ns0:t>
        </ns0:is>
      </ns0:c>
    </ns0:row>
    <ns0:row r="195" ht="98" customHeight="1">
      <ns0:c r="A195" s="4" t="n">
        <ns0:v>910194</ns0:v>
      </ns0:c>
      <ns0:c r="B195" s="4" t="n">
        <ns0:v>10</ns0:v>
      </ns0:c>
      <ns0:c r="C195" s="4" t="inlineStr">
        <ns0:is>
          <ns0:t>dk-gaje-name</ns0:t>
        </ns0:is>
      </ns0:c>
      <ns0:c r="D195" s="4" t="n">
        <ns0:v>2</ns0:v>
      </ns0:c>
      <ns0:c r="E195" s="8" t="inlineStr">
        <ns0:is>
          <ns0:t>가제바위 이름에 남아 있는 것은?</ns0:t>
        </ns0:is>
      </ns0:c>
      <ns0:c r="F195" s="8" t="inlineStr">
        <ns0:is>
          <ns0:t>그곳에 나타나던 강치</ns0:t>
        </ns0:is>
      </ns0:c>
      <ns0:c r="G195" s="8" t="inlineStr">
        <ns0:is>
          <ns0:t>현재 배의 요금</ns0:t>
        </ns0:is>
      </ns0:c>
      <ns0:c r="H195" s="8" t="inlineStr">
        <ns0:is>
          <ns0:t>등대 건물의 층수</ns0:t>
        </ns0:is>
      </ns0:c>
      <ns0:c r="I195" s="8" t="n">
        <ns0:v>1</ns0:v>
      </ns0:c>
      <ns0:c r="J195" s="8" t="inlineStr">
        <ns0:is>
          <ns0:t>큰가제바위와 작은가제바위의 ‘가제’는 강치를 부르던 현지 말과 연결돼요. 지명에는 생물과 사람의 기억이 남기도 해요.</ns0:t>
        </ns0:is>
      </ns0:c>
      <ns0:c r="K195" s="8" t="inlineStr">
        <ns0:is>
          <ns0:t>큰가제바위와 작은가제바위의 ‘가제’는 강치를 부르던 현지 말과 연결돼요. 지명에는 생물과 사람의 기억이 남기도 해요.</ns0:t>
        </ns0:is>
      </ns0:c>
      <ns0:c r="L195" s="8" t="inlineStr">
        <ns0:is>
          <ns0:t>고른 보기 ‘현재 배의 요금’와 달라요. 이 문항의 정답은 ‘그곳에 나타나던 강치’입니다. 큰가제바위와 작은가제바위의 ‘가제’는 강치를 부르던 현지 말과 연결돼요. 지명에는 생물과 사람의 기억이 남기도 해요.</ns0:t>
        </ns0:is>
      </ns0:c>
      <ns0:c r="M195" s="8" t="inlineStr">
        <ns0:is>
          <ns0:t>고른 보기 ‘등대 건물의 층수’와 달라요. 이 문항의 정답은 ‘그곳에 나타나던 강치’입니다. 큰가제바위와 작은가제바위의 ‘가제’는 강치를 부르던 현지 말과 연결돼요. 지명에는 생물과 사람의 기억이 남기도 해요.</ns0:t>
        </ns0:is>
      </ns0:c>
      <ns0:c r="N195" s="8" t="inlineStr"/>
      <ns0:c r="O195" s="8" t="inlineStr">
        <ns0:is>
          <ns0:t>https://www.dokdo.re.kr/home/cms/cmsCont.do?cntnts_sn=65</ns0:t>
        </ns0:is>
      </ns0:c>
      <ns0:c r="P195" s="5">
        <ns0:f>LEN(E195)+MAX(LEN(F195),LEN(G195),LEN(H195))</ns0:f>
        <ns0:v>29</ns0:v>
      </ns0:c>
      <ns0:c r="Q195" s="9" t="inlineStr">
        <ns0:is>
          <ns0:t>출처 기반 자체 검토 / 독립 승인 전</ns0:t>
        </ns0:is>
      </ns0:c>
    </ns0:row>
    <ns0:row r="196" ht="98" customHeight="1">
      <ns0:c r="A196" s="2" t="n">
        <ns0:v>910195</ns0:v>
      </ns0:c>
      <ns0:c r="B196" s="2" t="n">
        <ns0:v>10</ns0:v>
      </ns0:c>
      <ns0:c r="C196" s="2" t="inlineStr">
        <ns0:is>
          <ns0:t>dk-gaje-name</ns0:t>
        </ns0:is>
      </ns0:c>
      <ns0:c r="D196" s="2" t="n">
        <ns0:v>3</ns0:v>
      </ns0:c>
      <ns0:c r="E196" s="6" t="inlineStr">
        <ns0:is>
          <ns0:t>자료에서 지명 유래를 설명하는 연결은?</ns0:t>
        </ns0:is>
      </ns0:c>
      <ns0:c r="F196" s="6" t="inlineStr">
        <ns0:is>
          <ns0:t>가제→높이 151m</ns0:t>
        </ns0:is>
      </ns0:c>
      <ns0:c r="G196" s="6" t="inlineStr">
        <ns0:is>
          <ns0:t>가제→군수의 관직</ns0:t>
        </ns0:is>
      </ns0:c>
      <ns0:c r="H196" s="6" t="inlineStr">
        <ns0:is>
          <ns0:t>현지어 가제→강치의 출현</ns0:t>
        </ns0:is>
      </ns0:c>
      <ns0:c r="I196" s="6" t="n">
        <ns0:v>3</ns0:v>
      </ns0:c>
      <ns0:c r="J196" s="6" t="inlineStr">
        <ns0:is>
          <ns0:t>큰가제바위와 작은가제바위의 ‘가제’는 강치를 부르던 현지 말과 연결돼요. 지명에는 생물과 사람의 기억이 남기도 해요.</ns0:t>
        </ns0:is>
      </ns0:c>
      <ns0:c r="K196" s="6" t="inlineStr">
        <ns0:is>
          <ns0:t>고른 보기 ‘가제→높이 151m’와 달라요. 이 문항의 정답은 ‘현지어 가제→강치의 출현’입니다. 큰가제바위와 작은가제바위의 ‘가제’는 강치를 부르던 현지 말과 연결돼요. 지명에는 생물과 사람의 기억이 남기도 해요.</ns0:t>
        </ns0:is>
      </ns0:c>
      <ns0:c r="L196" s="6" t="inlineStr">
        <ns0:is>
          <ns0:t>고른 보기 ‘가제→군수의 관직’와 달라요. 이 문항의 정답은 ‘현지어 가제→강치의 출현’입니다. 큰가제바위와 작은가제바위의 ‘가제’는 강치를 부르던 현지 말과 연결돼요. 지명에는 생물과 사람의 기억이 남기도 해요.</ns0:t>
        </ns0:is>
      </ns0:c>
      <ns0:c r="M196" s="6" t="inlineStr">
        <ns0:is>
          <ns0:t>큰가제바위와 작은가제바위의 ‘가제’는 강치를 부르던 현지 말과 연결돼요. 지명에는 생물과 사람의 기억이 남기도 해요.</ns0:t>
        </ns0:is>
      </ns0:c>
      <ns0:c r="N196" s="6" t="inlineStr">
        <ns0:is>
          <ns0:t>한국해양과학기술원은 큰가제바위·작은가제바위가 현지어로 강치를 뜻하는 가제가 자주 나타난 데서 불린 이름이라고 소개합니다.</ns0:t>
        </ns0:is>
      </ns0:c>
      <ns0:c r="O196" s="6" t="inlineStr">
        <ns0:is>
          <ns0:t>https://www.dokdo.re.kr/home/cms/cmsCont.do?cntnts_sn=65</ns0:t>
        </ns0:is>
      </ns0:c>
      <ns0:c r="P196" s="3">
        <ns0:f>LEN(E196)+MAX(LEN(F196),LEN(G196),LEN(H196))</ns0:f>
        <ns0:v>34</ns0:v>
      </ns0:c>
      <ns0:c r="Q196" s="7" t="inlineStr">
        <ns0:is>
          <ns0:t>출처 기반 자체 검토 / 독립 승인 전</ns0:t>
        </ns0:is>
      </ns0:c>
    </ns0:row>
    <ns0:row r="197" ht="98" customHeight="1">
      <ns0:c r="A197" s="4" t="n">
        <ns0:v>910196</ns0:v>
      </ns0:c>
      <ns0:c r="B197" s="4" t="n">
        <ns0:v>10</ns0:v>
      </ns0:c>
      <ns0:c r="C197" s="4" t="inlineStr">
        <ns0:is>
          <ns0:t>dk-gaje-name</ns0:t>
        </ns0:is>
      </ns0:c>
      <ns0:c r="D197" s="4" t="n">
        <ns0:v>4</ns0:v>
      </ns0:c>
      <ns0:c r="E197" s="8" t="inlineStr">
        <ns0:is>
          <ns0:t>가제바위라는 이름만으로 오늘 강치가 산다 하면?</ns0:t>
        </ns0:is>
      </ns0:c>
      <ns0:c r="F197" s="8" t="inlineStr">
        <ns0:is>
          <ns0:t>지명에 동물이 있으면 멸종은 불가능하다</ns0:t>
        </ns0:is>
      </ns0:c>
      <ns0:c r="G197" s="8" t="inlineStr">
        <ns0:is>
          <ns0:t>과거 유래와 현재 생태 관측은 구분해야 한다</ns0:t>
        </ns0:is>
      </ns0:c>
      <ns0:c r="H197" s="8" t="inlineStr">
        <ns0:is>
          <ns0:t>과거 이름은 언제나 현재 개체 수를 보장한다</ns0:t>
        </ns0:is>
      </ns0:c>
      <ns0:c r="I197" s="8" t="n">
        <ns0:v>2</ns0:v>
      </ns0:c>
      <ns0:c r="J197" s="8" t="inlineStr">
        <ns0:is>
          <ns0:t>큰가제바위와 작은가제바위의 ‘가제’는 강치를 부르던 현지 말과 연결돼요. 지명에는 생물과 사람의 기억이 남기도 해요.</ns0:t>
        </ns0:is>
      </ns0:c>
      <ns0:c r="K197" s="8" t="inlineStr">
        <ns0:is>
          <ns0:t>고른 보기 ‘지명에 동물이 있으면 멸종은 불가능하다’와 달라요. 이 문항의 정답은 ‘과거 유래와 현재 생태 관측은 구분해야 한다’입니다. 큰가제바위와 작은가제바위의 ‘가제’는 강치를 부르던 현지 말과 연결돼요. 지명에는 생물과 사람의 기억이 남기도 해요.</ns0:t>
        </ns0:is>
      </ns0:c>
      <ns0:c r="L197" s="8" t="inlineStr">
        <ns0:is>
          <ns0:t>큰가제바위와 작은가제바위의 ‘가제’는 강치를 부르던 현지 말과 연결돼요. 지명에는 생물과 사람의 기억이 남기도 해요.</ns0:t>
        </ns0:is>
      </ns0:c>
      <ns0:c r="M197" s="8" t="inlineStr">
        <ns0:is>
          <ns0:t>고른 보기 ‘과거 이름은 언제나 현재 개체 수를 보장한다’와 달라요. 이 문항의 정답은 ‘과거 유래와 현재 생태 관측은 구분해야 한다’입니다. 큰가제바위와 작은가제바위의 ‘가제’는 강치를 부르던 현지 말과 연결돼요. 지명에는 생물과 사람의 기억이 남기도 해요.</ns0:t>
        </ns0:is>
      </ns0:c>
      <ns0:c r="N197" s="8" t="inlineStr">
        <ns0:is>
          <ns0:t>한국해양과학기술원은 큰가제바위·작은가제바위가 현지어로 강치를 뜻하는 가제가 자주 나타난 데서 불린 이름이라고 소개합니다.</ns0:t>
        </ns0:is>
      </ns0:c>
      <ns0:c r="O197" s="8" t="inlineStr">
        <ns0:is>
          <ns0:t>https://www.dokdo.re.kr/home/cms/cmsCont.do?cntnts_sn=65</ns0:t>
        </ns0:is>
      </ns0:c>
      <ns0:c r="P197" s="5">
        <ns0:f>LEN(E197)+MAX(LEN(F197),LEN(G197),LEN(H197))</ns0:f>
        <ns0:v>50</ns0:v>
      </ns0:c>
      <ns0:c r="Q197" s="9" t="inlineStr">
        <ns0:is>
          <ns0:t>출처 기반 자체 검토 / 독립 승인 전</ns0:t>
        </ns0:is>
      </ns0:c>
    </ns0:row>
    <ns0:row r="198" ht="98" customHeight="1">
      <ns0:c r="A198" s="2" t="n">
        <ns0:v>910197</ns0:v>
      </ns0:c>
      <ns0:c r="B198" s="2" t="n">
        <ns0:v>10</ns0:v>
      </ns0:c>
      <ns0:c r="C198" s="2" t="inlineStr">
        <ns0:is>
          <ns0:t>dk-tanggeon</ns0:t>
        </ns0:is>
      </ns0:c>
      <ns0:c r="D198" s="2" t="n">
        <ns0:v>1</ns0:v>
      </ns0:c>
      <ns0:c r="E198" s="6" t="inlineStr">
        <ns0:is>
          <ns0:t>탕건봉 이름과 연결되는 것은?</ns0:t>
        </ns0:is>
      </ns0:c>
      <ns0:c r="F198" s="6" t="inlineStr">
        <ns0:is>
          <ns0:t>전통 모자인 탕건</ns0:t>
        </ns0:is>
      </ns0:c>
      <ns0:c r="G198" s="6" t="inlineStr">
        <ns0:is>
          <ns0:t>배를 묶는 밧줄</ns0:t>
        </ns0:is>
      </ns0:c>
      <ns0:c r="H198" s="6" t="inlineStr">
        <ns0:is>
          <ns0:t>바닷말 미역</ns0:t>
        </ns0:is>
      </ns0:c>
      <ns0:c r="I198" s="6" t="n">
        <ns0:v>1</ns0:v>
      </ns0:c>
      <ns0:c r="J198" s="6" t="inlineStr">
        <ns0:is>
          <ns0:t>탕건봉은 선비들이 쓰던 탕건을 닮은 모습에서 이름이 붙었어요. 독도 지명에는 바위의 모양을 담은 이름이 많아요.</ns0:t>
        </ns0:is>
      </ns0:c>
      <ns0:c r="K198" s="6" t="inlineStr">
        <ns0:is>
          <ns0:t>탕건봉은 선비들이 쓰던 탕건을 닮은 모습에서 이름이 붙었어요. 독도 지명에는 바위의 모양을 담은 이름이 많아요.</ns0:t>
        </ns0:is>
      </ns0:c>
      <ns0:c r="L198" s="6" t="inlineStr">
        <ns0:is>
          <ns0:t>고른 보기 ‘배를 묶는 밧줄’와 달라요. 이 문항의 정답은 ‘전통 모자인 탕건’입니다. 탕건봉은 선비들이 쓰던 탕건을 닮은 모습에서 이름이 붙었어요. 독도 지명에는 바위의 모양을 담은 이름이 많아요.</ns0:t>
        </ns0:is>
      </ns0:c>
      <ns0:c r="M198" s="6" t="inlineStr">
        <ns0:is>
          <ns0:t>고른 보기 ‘바닷말 미역’와 달라요. 이 문항의 정답은 ‘전통 모자인 탕건’입니다. 탕건봉은 선비들이 쓰던 탕건을 닮은 모습에서 이름이 붙었어요. 독도 지명에는 바위의 모양을 담은 이름이 많아요.</ns0:t>
        </ns0:is>
      </ns0:c>
      <ns0:c r="N198" s="6" t="inlineStr"/>
      <ns0:c r="O198" s="6" t="inlineStr">
        <ns0:is>
          <ns0:t>https://www.dokdo.re.kr/home/cms/cmsCont.do?cntnts_sn=65</ns0:t>
        </ns0:is>
      </ns0:c>
      <ns0:c r="P198" s="3">
        <ns0:f>LEN(E198)+MAX(LEN(F198),LEN(G198),LEN(H198))</ns0:f>
        <ns0:v>25</ns0:v>
      </ns0:c>
      <ns0:c r="Q198" s="7" t="inlineStr">
        <ns0:is>
          <ns0:t>출처 기반 자체 검토 / 독립 승인 전</ns0:t>
        </ns0:is>
      </ns0:c>
    </ns0:row>
    <ns0:row r="199" ht="98" customHeight="1">
      <ns0:c r="A199" s="4" t="n">
        <ns0:v>910198</ns0:v>
      </ns0:c>
      <ns0:c r="B199" s="4" t="n">
        <ns0:v>10</ns0:v>
      </ns0:c>
      <ns0:c r="C199" s="4" t="inlineStr">
        <ns0:is>
          <ns0:t>dk-tanggeon</ns0:t>
        </ns0:is>
      </ns0:c>
      <ns0:c r="D199" s="4" t="n">
        <ns0:v>2</ns0:v>
      </ns0:c>
      <ns0:c r="E199" s="8" t="inlineStr">
        <ns0:is>
          <ns0:t>탕건봉과 독립문바위 이름의 공통점은?</ns0:t>
        </ns0:is>
      </ns0:c>
      <ns0:c r="F199" s="8" t="inlineStr">
        <ns0:is>
          <ns0:t>둘 다 군수의 이름임</ns0:t>
        </ns0:is>
      </ns0:c>
      <ns0:c r="G199" s="8" t="inlineStr">
        <ns0:is>
          <ns0:t>둘 다 같은 면적을 뜻함</ns0:t>
        </ns0:is>
      </ns0:c>
      <ns0:c r="H199" s="8" t="inlineStr">
        <ns0:is>
          <ns0:t>닮은 모양에서 유래함</ns0:t>
        </ns0:is>
      </ns0:c>
      <ns0:c r="I199" s="8" t="n">
        <ns0:v>3</ns0:v>
      </ns0:c>
      <ns0:c r="J199" s="8" t="inlineStr">
        <ns0:is>
          <ns0:t>탕건봉은 선비들이 쓰던 탕건을 닮은 모습에서 이름이 붙었어요. 독도 지명에는 바위의 모양을 담은 이름이 많아요.</ns0:t>
        </ns0:is>
      </ns0:c>
      <ns0:c r="K199" s="8" t="inlineStr">
        <ns0:is>
          <ns0:t>고른 보기 ‘둘 다 군수의 이름임’와 달라요. 이 문항의 정답은 ‘닮은 모양에서 유래함’입니다. 탕건봉은 선비들이 쓰던 탕건을 닮은 모습에서 이름이 붙었어요. 독도 지명에는 바위의 모양을 담은 이름이 많아요.</ns0:t>
        </ns0:is>
      </ns0:c>
      <ns0:c r="L199" s="8" t="inlineStr">
        <ns0:is>
          <ns0:t>고른 보기 ‘둘 다 같은 면적을 뜻함’와 달라요. 이 문항의 정답은 ‘닮은 모양에서 유래함’입니다. 탕건봉은 선비들이 쓰던 탕건을 닮은 모습에서 이름이 붙었어요. 독도 지명에는 바위의 모양을 담은 이름이 많아요.</ns0:t>
        </ns0:is>
      </ns0:c>
      <ns0:c r="M199" s="8" t="inlineStr">
        <ns0:is>
          <ns0:t>탕건봉은 선비들이 쓰던 탕건을 닮은 모습에서 이름이 붙었어요. 독도 지명에는 바위의 모양을 담은 이름이 많아요.</ns0:t>
        </ns0:is>
      </ns0:c>
      <ns0:c r="N199" s="8" t="inlineStr"/>
      <ns0:c r="O199" s="8" t="inlineStr">
        <ns0:is>
          <ns0:t>https://www.dokdo.re.kr/home/cms/cmsCont.do?cntnts_sn=65</ns0:t>
        </ns0:is>
      </ns0:c>
      <ns0:c r="P199" s="5">
        <ns0:f>LEN(E199)+MAX(LEN(F199),LEN(G199),LEN(H199))</ns0:f>
        <ns0:v>33</ns0:v>
      </ns0:c>
      <ns0:c r="Q199" s="9" t="inlineStr">
        <ns0:is>
          <ns0:t>출처 기반 자체 검토 / 독립 승인 전</ns0:t>
        </ns0:is>
      </ns0:c>
    </ns0:row>
    <ns0:row r="200" ht="98" customHeight="1">
      <ns0:c r="A200" s="2" t="n">
        <ns0:v>910199</ns0:v>
      </ns0:c>
      <ns0:c r="B200" s="2" t="n">
        <ns0:v>10</ns0:v>
      </ns0:c>
      <ns0:c r="C200" s="2" t="inlineStr">
        <ns0:is>
          <ns0:t>dk-tanggeon</ns0:t>
        </ns0:is>
      </ns0:c>
      <ns0:c r="D200" s="2" t="n">
        <ns0:v>3</ns0:v>
      </ns0:c>
      <ns0:c r="E200" s="6" t="inlineStr">
        <ns0:is>
          <ns0:t>자료를 근거로 이름을 설명할 때 알맞은 것은?</ns0:t>
        </ns0:is>
      </ns0:c>
      <ns0:c r="F200" s="6" t="inlineStr">
        <ns0:is>
          <ns0:t>모든 방향에서 완전히 같은 모습이다</ns0:t>
        </ns0:is>
      </ns0:c>
      <ns0:c r="G200" s="6" t="inlineStr">
        <ns0:is>
          <ns0:t>탕건을 닮은 봉우리 모양에서 왔다</ns0:t>
        </ns0:is>
      </ns0:c>
      <ns0:c r="H200" s="6" t="inlineStr">
        <ns0:is>
          <ns0:t>봉우리에 큰 모자를 실제로 씌웠다</ns0:t>
        </ns0:is>
      </ns0:c>
      <ns0:c r="I200" s="6" t="n">
        <ns0:v>2</ns0:v>
      </ns0:c>
      <ns0:c r="J200" s="6" t="inlineStr">
        <ns0:is>
          <ns0:t>탕건봉은 선비들이 쓰던 탕건을 닮은 모습에서 이름이 붙었어요. 독도 지명에는 바위의 모양을 담은 이름이 많아요.</ns0:t>
        </ns0:is>
      </ns0:c>
      <ns0:c r="K200" s="6" t="inlineStr">
        <ns0:is>
          <ns0:t>고른 보기 ‘모든 방향에서 완전히 같은 모습이다’와 달라요. 이 문항의 정답은 ‘탕건을 닮은 봉우리 모양에서 왔다’입니다. 탕건봉은 선비들이 쓰던 탕건을 닮은 모습에서 이름이 붙었어요. 독도 지명에는 바위의 모양을 담은 이름이 많아요.</ns0:t>
        </ns0:is>
      </ns0:c>
      <ns0:c r="L200" s="6" t="inlineStr">
        <ns0:is>
          <ns0:t>탕건봉은 선비들이 쓰던 탕건을 닮은 모습에서 이름이 붙었어요. 독도 지명에는 바위의 모양을 담은 이름이 많아요.</ns0:t>
        </ns0:is>
      </ns0:c>
      <ns0:c r="M200" s="6" t="inlineStr">
        <ns0:is>
          <ns0:t>고른 보기 ‘봉우리에 큰 모자를 실제로 씌웠다’와 달라요. 이 문항의 정답은 ‘탕건을 닮은 봉우리 모양에서 왔다’입니다. 탕건봉은 선비들이 쓰던 탕건을 닮은 모습에서 이름이 붙었어요. 독도 지명에는 바위의 모양을 담은 이름이 많아요.</ns0:t>
        </ns0:is>
      </ns0:c>
      <ns0:c r="N200" s="6" t="inlineStr">
        <ns0:is>
          <ns0:t>한국해양과학기술원은 탕건봉의 이름이 탕건과 비슷한 봉우리 모습에서 왔다고 설명합니다. 같은 바위도 보는 방향에 따라 인상이 달라질 수 있습니다.</ns0:t>
        </ns0:is>
      </ns0:c>
      <ns0:c r="O200" s="6" t="inlineStr">
        <ns0:is>
          <ns0:t>https://www.dokdo.re.kr/home/cms/cmsCont.do?cntnts_sn=65</ns0:t>
        </ns0:is>
      </ns0:c>
      <ns0:c r="P200" s="3">
        <ns0:f>LEN(E200)+MAX(LEN(F200),LEN(G200),LEN(H200))</ns0:f>
        <ns0:v>44</ns0:v>
      </ns0:c>
      <ns0:c r="Q200" s="7" t="inlineStr">
        <ns0:is>
          <ns0:t>출처 기반 자체 검토 / 독립 승인 전</ns0:t>
        </ns0:is>
      </ns0:c>
    </ns0:row>
    <ns0:row r="201" ht="98" customHeight="1">
      <ns0:c r="A201" s="4" t="n">
        <ns0:v>910200</ns0:v>
      </ns0:c>
      <ns0:c r="B201" s="4" t="n">
        <ns0:v>10</ns0:v>
      </ns0:c>
      <ns0:c r="C201" s="4" t="inlineStr">
        <ns0:is>
          <ns0:t>dk-tanggeon</ns0:t>
        </ns0:is>
      </ns0:c>
      <ns0:c r="D201" s="4" t="n">
        <ns0:v>4</ns0:v>
      </ns0:c>
      <ns0:c r="E201" s="8" t="inlineStr">
        <ns0:is>
          <ns0:t>다른 방향 사진이 덜 닮았다는 이유로 지명을 부정하면?</ns0:t>
        </ns0:is>
      </ns0:c>
      <ns0:c r="F201" s="8" t="inlineStr">
        <ns0:is>
          <ns0:t>이름의 유래와 관찰 방향을 함께 봐야 한다</ns0:t>
        </ns0:is>
      </ns0:c>
      <ns0:c r="G201" s="8" t="inlineStr">
        <ns0:is>
          <ns0:t>모든 지명은 한 사진과 완전히 같아야 한다</ns0:t>
        </ns0:is>
      </ns0:c>
      <ns0:c r="H201" s="8" t="inlineStr">
        <ns0:is>
          <ns0:t>사진 각도는 지형 인상에 영향을 주지 않는다</ns0:t>
        </ns0:is>
      </ns0:c>
      <ns0:c r="I201" s="8" t="n">
        <ns0:v>1</ns0:v>
      </ns0:c>
      <ns0:c r="J201" s="8" t="inlineStr">
        <ns0:is>
          <ns0:t>탕건봉은 선비들이 쓰던 탕건을 닮은 모습에서 이름이 붙었어요. 독도 지명에는 바위의 모양을 담은 이름이 많아요.</ns0:t>
        </ns0:is>
      </ns0:c>
      <ns0:c r="K201" s="8" t="inlineStr">
        <ns0:is>
          <ns0:t>탕건봉은 선비들이 쓰던 탕건을 닮은 모습에서 이름이 붙었어요. 독도 지명에는 바위의 모양을 담은 이름이 많아요.</ns0:t>
        </ns0:is>
      </ns0:c>
      <ns0:c r="L201" s="8" t="inlineStr">
        <ns0:is>
          <ns0:t>고른 보기 ‘모든 지명은 한 사진과 완전히 같아야 한다’와 달라요. 이 문항의 정답은 ‘이름의 유래와 관찰 방향을 함께 봐야 한다’입니다. 탕건봉은 선비들이 쓰던 탕건을 닮은 모습에서 이름이 붙었어요. 독도 지명에는 바위의 모양을 담은 이름이 많아요.</ns0:t>
        </ns0:is>
      </ns0:c>
      <ns0:c r="M201" s="8" t="inlineStr">
        <ns0:is>
          <ns0:t>고른 보기 ‘사진 각도는 지형 인상에 영향을 주지 않는다’와 달라요. 이 문항의 정답은 ‘이름의 유래와 관찰 방향을 함께 봐야 한다’입니다. 탕건봉은 선비들이 쓰던 탕건을 닮은 모습에서 이름이 붙었어요. 독도 지명에는 바위의 모양을 담은 이름이 많아요.</ns0:t>
        </ns0:is>
      </ns0:c>
      <ns0:c r="N201" s="8" t="inlineStr">
        <ns0:is>
          <ns0:t>한국해양과학기술원은 탕건봉의 이름이 탕건과 비슷한 봉우리 모습에서 왔다고 설명합니다. 같은 바위도 보는 방향에 따라 인상이 달라질 수 있습니다.</ns0:t>
        </ns0:is>
      </ns0:c>
      <ns0:c r="O201" s="8" t="inlineStr">
        <ns0:is>
          <ns0:t>https://www.dokdo.re.kr/home/cms/cmsCont.do?cntnts_sn=65</ns0:t>
        </ns0:is>
      </ns0:c>
      <ns0:c r="P201" s="5">
        <ns0:f>LEN(E201)+MAX(LEN(F201),LEN(G201),LEN(H201))</ns0:f>
        <ns0:v>54</ns0:v>
      </ns0:c>
      <ns0:c r="Q201" s="9" t="inlineStr">
        <ns0:is>
          <ns0:t>출처 기반 자체 검토 / 독립 승인 전</ns0:t>
        </ns0:is>
      </ns0:c>
    </ns0:row>
    <ns0:row r="202" ht="98" customHeight="1">
      <ns0:c r="A202" s="2" t="n">
        <ns0:v>910201</ns0:v>
      </ns0:c>
      <ns0:c r="B202" s="2" t="n">
        <ns0:v>11</ns0:v>
      </ns0:c>
      <ns0:c r="C202" s="2" t="inlineStr">
        <ns0:is>
          <ns0:t>dk-dajokan-type</ns0:t>
        </ns0:is>
      </ns0:c>
      <ns0:c r="D202" s="2" t="n">
        <ns0:v>1</ns0:v>
      </ns0:c>
      <ns0:c r="E202" s="6" t="inlineStr">
        <ns0:is>
          <ns0:t>태정관지령은 어느 나라의 행정 문서인가요?</ns0:t>
        </ns0:is>
      </ns0:c>
      <ns0:c r="F202" s="6" t="inlineStr">
        <ns0:is>
          <ns0:t>대한제국</ns0:t>
        </ns0:is>
      </ns0:c>
      <ns0:c r="G202" s="6" t="inlineStr">
        <ns0:is>
          <ns0:t>조선</ns0:t>
        </ns0:is>
      </ns0:c>
      <ns0:c r="H202" s="6" t="inlineStr">
        <ns0:is>
          <ns0:t>일본</ns0:t>
        </ns0:is>
      </ns0:c>
      <ns0:c r="I202" s="6" t="n">
        <ns0:v>3</ns0:v>
      </ns0:c>
      <ns0:c r="J202" s="6" t="inlineStr">
        <ns0:is>
          <ns0:t>태정관지령은 1877년 일본의 행정 문서예요. 어떤 기관이 무엇을 검토하고 답했는지 확인하며 읽어야 해요.</ns0:t>
        </ns0:is>
      </ns0:c>
      <ns0:c r="K202" s="6" t="inlineStr">
        <ns0:is>
          <ns0:t>고른 보기 ‘대한제국’와 달라요. 이 문항의 정답은 ‘일본’입니다. 태정관지령은 1877년 일본의 행정 문서예요. 어떤 기관이 무엇을 검토하고 답했는지 확인하며 읽어야 해요.</ns0:t>
        </ns0:is>
      </ns0:c>
      <ns0:c r="L202" s="6" t="inlineStr">
        <ns0:is>
          <ns0:t>고른 보기 ‘조선’와 달라요. 이 문항의 정답은 ‘일본’입니다. 태정관지령은 1877년 일본의 행정 문서예요. 어떤 기관이 무엇을 검토하고 답했는지 확인하며 읽어야 해요.</ns0:t>
        </ns0:is>
      </ns0:c>
      <ns0:c r="M202" s="6" t="inlineStr">
        <ns0:is>
          <ns0:t>태정관지령은 1877년 일본의 행정 문서예요. 어떤 기관이 무엇을 검토하고 답했는지 확인하며 읽어야 해요.</ns0:t>
        </ns0:is>
      </ns0:c>
      <ns0:c r="N202" s="6" t="inlineStr"/>
      <ns0:c r="O202" s="6" t="inlineStr">
        <ns0:is>
          <ns0:t>https://dokdo.mofa.go.kr/kor/pds/part05_view03.jsp
https://dokdo.mofa.go.kr/kor/include/print_faq.jsp?class_faq=q7</ns0:t>
        </ns0:is>
      </ns0:c>
      <ns0:c r="P202" s="3">
        <ns0:f>LEN(E202)+MAX(LEN(F202),LEN(G202),LEN(H202))</ns0:f>
        <ns0:v>27</ns0:v>
      </ns0:c>
      <ns0:c r="Q202" s="7" t="inlineStr">
        <ns0:is>
          <ns0:t>출처 기반 자체 검토 / 독립 승인 전</ns0:t>
        </ns0:is>
      </ns0:c>
    </ns0:row>
    <ns0:row r="203" ht="98" customHeight="1">
      <ns0:c r="A203" s="4" t="n">
        <ns0:v>910202</ns0:v>
      </ns0:c>
      <ns0:c r="B203" s="4" t="n">
        <ns0:v>11</ns0:v>
      </ns0:c>
      <ns0:c r="C203" s="4" t="inlineStr">
        <ns0:is>
          <ns0:t>dk-dajokan-type</ns0:t>
        </ns0:is>
      </ns0:c>
      <ns0:c r="D203" s="4" t="n">
        <ns0:v>2</ns0:v>
      </ns0:c>
      <ns0:c r="E203" s="8" t="inlineStr">
        <ns0:is>
          <ns0:t>태정관지령의 자료 종류는?</ns0:t>
        </ns0:is>
      </ns0:c>
      <ns0:c r="F203" s="8" t="inlineStr">
        <ns0:is>
          <ns0:t>바닷새 관찰표</ns0:t>
        </ns0:is>
      </ns0:c>
      <ns0:c r="G203" s="8" t="inlineStr">
        <ns0:is>
          <ns0:t>행정 질의에 대한 지령</ns0:t>
        </ns0:is>
      </ns0:c>
      <ns0:c r="H203" s="8" t="inlineStr">
        <ns0:is>
          <ns0:t>현대 관광 안내 사진</ns0:t>
        </ns0:is>
      </ns0:c>
      <ns0:c r="I203" s="8" t="n">
        <ns0:v>2</ns0:v>
      </ns0:c>
      <ns0:c r="J203" s="8" t="inlineStr">
        <ns0:is>
          <ns0:t>태정관지령은 1877년 일본의 행정 문서예요. 어떤 기관이 무엇을 검토하고 답했는지 확인하며 읽어야 해요.</ns0:t>
        </ns0:is>
      </ns0:c>
      <ns0:c r="K203" s="8" t="inlineStr">
        <ns0:is>
          <ns0:t>고른 보기 ‘바닷새 관찰표’와 달라요. 이 문항의 정답은 ‘행정 질의에 대한 지령’입니다. 태정관지령은 1877년 일본의 행정 문서예요. 어떤 기관이 무엇을 검토하고 답했는지 확인하며 읽어야 해요.</ns0:t>
        </ns0:is>
      </ns0:c>
      <ns0:c r="L203" s="8" t="inlineStr">
        <ns0:is>
          <ns0:t>태정관지령은 1877년 일본의 행정 문서예요. 어떤 기관이 무엇을 검토하고 답했는지 확인하며 읽어야 해요.</ns0:t>
        </ns0:is>
      </ns0:c>
      <ns0:c r="M203" s="8" t="inlineStr">
        <ns0:is>
          <ns0:t>고른 보기 ‘현대 관광 안내 사진’와 달라요. 이 문항의 정답은 ‘행정 질의에 대한 지령’입니다. 태정관지령은 1877년 일본의 행정 문서예요. 어떤 기관이 무엇을 검토하고 답했는지 확인하며 읽어야 해요.</ns0:t>
        </ns0:is>
      </ns0:c>
      <ns0:c r="N203" s="8" t="inlineStr"/>
      <ns0:c r="O203" s="8" t="inlineStr">
        <ns0:is>
          <ns0:t>https://dokdo.mofa.go.kr/kor/pds/part05_view03.jsp
https://dokdo.mofa.go.kr/kor/include/print_faq.jsp?class_faq=q7</ns0:t>
        </ns0:is>
      </ns0:c>
      <ns0:c r="P203" s="5">
        <ns0:f>LEN(E203)+MAX(LEN(F203),LEN(G203),LEN(H203))</ns0:f>
        <ns0:v>26</ns0:v>
      </ns0:c>
      <ns0:c r="Q203" s="9" t="inlineStr">
        <ns0:is>
          <ns0:t>출처 기반 자체 검토 / 독립 승인 전</ns0:t>
        </ns0:is>
      </ns0:c>
    </ns0:row>
    <ns0:row r="204" ht="98" customHeight="1">
      <ns0:c r="A204" s="2" t="n">
        <ns0:v>910203</ns0:v>
      </ns0:c>
      <ns0:c r="B204" s="2" t="n">
        <ns0:v>11</ns0:v>
      </ns0:c>
      <ns0:c r="C204" s="2" t="inlineStr">
        <ns0:is>
          <ns0:t>dk-dajokan-type</ns0:t>
        </ns0:is>
      </ns0:c>
      <ns0:c r="D204" s="2" t="n">
        <ns0:v>3</ns0:v>
      </ns0:c>
      <ns0:c r="E204" s="6" t="inlineStr">
        <ns0:is>
          <ns0:t>제시된 설명에서 확인되는 작성 맥락은?</ns0:t>
        </ns0:is>
      </ns0:c>
      <ns0:c r="F204" s="6" t="inlineStr">
        <ns0:is>
          <ns0:t>지적 편찬과 관련한 행정 질의·답변</ns0:t>
        </ns0:is>
      </ns0:c>
      <ns0:c r="G204" s="6" t="inlineStr">
        <ns0:is>
          <ns0:t>오늘의 독도 입도 예약</ns0:t>
        </ns0:is>
      </ns0:c>
      <ns0:c r="H204" s="6" t="inlineStr">
        <ns0:is>
          <ns0:t>강치 개체 수의 현대 실험</ns0:t>
        </ns0:is>
      </ns0:c>
      <ns0:c r="I204" s="6" t="n">
        <ns0:v>1</ns0:v>
      </ns0:c>
      <ns0:c r="J204" s="6" t="inlineStr">
        <ns0:is>
          <ns0:t>태정관지령은 1877년 일본의 행정 문서예요. 어떤 기관이 무엇을 검토하고 답했는지 확인하며 읽어야 해요.</ns0:t>
        </ns0:is>
      </ns0:c>
      <ns0:c r="K204" s="6" t="inlineStr">
        <ns0:is>
          <ns0:t>태정관지령은 1877년 일본의 행정 문서예요. 어떤 기관이 무엇을 검토하고 답했는지 확인하며 읽어야 해요.</ns0:t>
        </ns0:is>
      </ns0:c>
      <ns0:c r="L204" s="6" t="inlineStr">
        <ns0:is>
          <ns0:t>고른 보기 ‘오늘의 독도 입도 예약’와 달라요. 이 문항의 정답은 ‘지적 편찬과 관련한 행정 질의·답변’입니다. 태정관지령은 1877년 일본의 행정 문서예요. 어떤 기관이 무엇을 검토하고 답했는지 확인하며 읽어야 해요.</ns0:t>
        </ns0:is>
      </ns0:c>
      <ns0:c r="M204" s="6" t="inlineStr">
        <ns0:is>
          <ns0:t>고른 보기 ‘강치 개체 수의 현대 실험’와 달라요. 이 문항의 정답은 ‘지적 편찬과 관련한 행정 질의·답변’입니다. 태정관지령은 1877년 일본의 행정 문서예요. 어떤 기관이 무엇을 검토하고 답했는지 확인하며 읽어야 해요.</ns0:t>
        </ns0:is>
      </ns0:c>
      <ns0:c r="N204" s="6" t="inlineStr">
        <ns0:is>
          <ns0:t>외교부 해설은 일본 내무성과 태정관의 지적 편찬 관련 질의·답변을 소개합니다. 문서의 ‘다케시마 외 일도’에 대한 지명 대응은 해설과 첨부 지도를 함께 검토합니다.</ns0:t>
        </ns0:is>
      </ns0:c>
      <ns0:c r="O204" s="6" t="inlineStr">
        <ns0:is>
          <ns0:t>https://dokdo.mofa.go.kr/kor/pds/part05_view03.jsp
https://dokdo.mofa.go.kr/kor/include/print_faq.jsp?class_faq=q7</ns0:t>
        </ns0:is>
      </ns0:c>
      <ns0:c r="P204" s="3">
        <ns0:f>LEN(E204)+MAX(LEN(F204),LEN(G204),LEN(H204))</ns0:f>
        <ns0:v>40</ns0:v>
      </ns0:c>
      <ns0:c r="Q204" s="7" t="inlineStr">
        <ns0:is>
          <ns0:t>출처 기반 자체 검토 / 독립 승인 전</ns0:t>
        </ns0:is>
      </ns0:c>
    </ns0:row>
    <ns0:row r="205" ht="98" customHeight="1">
      <ns0:c r="A205" s="4" t="n">
        <ns0:v>910204</ns0:v>
      </ns0:c>
      <ns0:c r="B205" s="4" t="n">
        <ns0:v>11</ns0:v>
      </ns0:c>
      <ns0:c r="C205" s="4" t="inlineStr">
        <ns0:is>
          <ns0:t>dk-dajokan-type</ns0:t>
        </ns0:is>
      </ns0:c>
      <ns0:c r="D205" s="4" t="n">
        <ns0:v>4</ns0:v>
      </ns0:c>
      <ns0:c r="E205" s="8" t="inlineStr">
        <ns0:is>
          <ns0:t>태정관지령을 국제재판 판결문이라 소개하면?</ns0:t>
        </ns0:is>
      </ns0:c>
      <ns0:c r="F205" s="8" t="inlineStr">
        <ns0:is>
          <ns0:t>오래된 문서는 모두 국제 판결이다</ns0:t>
        </ns0:is>
      </ns0:c>
      <ns0:c r="G205" s="8" t="inlineStr">
        <ns0:is>
          <ns0:t>행정 문서는 역사 자료가 될 수 없다</ns0:t>
        </ns0:is>
      </ns0:c>
      <ns0:c r="H205" s="8" t="inlineStr">
        <ns0:is>
          <ns0:t>국내 행정 문서와 국제 판결을 혼동한다</ns0:t>
        </ns0:is>
      </ns0:c>
      <ns0:c r="I205" s="8" t="n">
        <ns0:v>3</ns0:v>
      </ns0:c>
      <ns0:c r="J205" s="8" t="inlineStr">
        <ns0:is>
          <ns0:t>태정관지령은 1877년 일본의 행정 문서예요. 어떤 기관이 무엇을 검토하고 답했는지 확인하며 읽어야 해요.</ns0:t>
        </ns0:is>
      </ns0:c>
      <ns0:c r="K205" s="8" t="inlineStr">
        <ns0:is>
          <ns0:t>고른 보기 ‘오래된 문서는 모두 국제 판결이다’와 달라요. 이 문항의 정답은 ‘국내 행정 문서와 국제 판결을 혼동한다’입니다. 태정관지령은 1877년 일본의 행정 문서예요. 어떤 기관이 무엇을 검토하고 답했는지 확인하며 읽어야 해요.</ns0:t>
        </ns0:is>
      </ns0:c>
      <ns0:c r="L205" s="8" t="inlineStr">
        <ns0:is>
          <ns0:t>고른 보기 ‘행정 문서는 역사 자료가 될 수 없다’와 달라요. 이 문항의 정답은 ‘국내 행정 문서와 국제 판결을 혼동한다’입니다. 태정관지령은 1877년 일본의 행정 문서예요. 어떤 기관이 무엇을 검토하고 답했는지 확인하며 읽어야 해요.</ns0:t>
        </ns0:is>
      </ns0:c>
      <ns0:c r="M205" s="8" t="inlineStr">
        <ns0:is>
          <ns0:t>태정관지령은 1877년 일본의 행정 문서예요. 어떤 기관이 무엇을 검토하고 답했는지 확인하며 읽어야 해요.</ns0:t>
        </ns0:is>
      </ns0:c>
      <ns0:c r="N205" s="8" t="inlineStr">
        <ns0:is>
          <ns0:t>외교부 해설은 일본 내무성과 태정관의 지적 편찬 관련 질의·답변을 소개합니다. 문서의 ‘다케시마 외 일도’에 대한 지명 대응은 해설과 첨부 지도를 함께 검토합니다.</ns0:t>
        </ns0:is>
      </ns0:c>
      <ns0:c r="O205" s="8" t="inlineStr">
        <ns0:is>
          <ns0:t>https://dokdo.mofa.go.kr/kor/pds/part05_view03.jsp
https://dokdo.mofa.go.kr/kor/include/print_faq.jsp?class_faq=q7</ns0:t>
        </ns0:is>
      </ns0:c>
      <ns0:c r="P205" s="5">
        <ns0:f>LEN(E205)+MAX(LEN(F205),LEN(G205),LEN(H205))</ns0:f>
        <ns0:v>44</ns0:v>
      </ns0:c>
      <ns0:c r="Q205" s="9" t="inlineStr">
        <ns0:is>
          <ns0:t>출처 기반 자체 검토 / 독립 승인 전</ns0:t>
        </ns0:is>
      </ns0:c>
    </ns0:row>
    <ns0:row r="206" ht="98" customHeight="1">
      <ns0:c r="A206" s="2" t="n">
        <ns0:v>910205</ns0:v>
      </ns0:c>
      <ns0:c r="B206" s="2" t="n">
        <ns0:v>11</ns0:v>
      </ns0:c>
      <ns0:c r="C206" s="2" t="inlineStr">
        <ns0:is>
          <ns0:t>dk-historic-name-context</ns0:t>
        </ns0:is>
      </ns0:c>
      <ns0:c r="D206" s="2" t="n">
        <ns0:v>1</ns0:v>
      </ns0:c>
      <ns0:c r="E206" s="6" t="inlineStr">
        <ns0:is>
          <ns0:t>제시된 옛 기록의 다케시마는 어느 섬인가요?</ns0:t>
        </ns0:is>
      </ns0:c>
      <ns0:c r="F206" s="6" t="inlineStr">
        <ns0:is>
          <ns0:t>강화도</ns0:t>
        </ns0:is>
      </ns0:c>
      <ns0:c r="G206" s="6" t="inlineStr">
        <ns0:is>
          <ns0:t>울릉도</ns0:t>
        </ns0:is>
      </ns0:c>
      <ns0:c r="H206" s="6" t="inlineStr">
        <ns0:is>
          <ns0:t>제주도</ns0:t>
        </ns0:is>
      </ns0:c>
      <ns0:c r="I206" s="6" t="n">
        <ns0:v>2</ns0:v>
      </ns0:c>
      <ns0:c r="J206" s="6" t="inlineStr">
        <ns0:is>
          <ns0:t>옛 일본 기록에서 다케시마가 울릉도를 가리킨 경우가 있어요. 같은 이름도 시기와 자료에 따라 가리키는 섬을 확인해야 해요.</ns0:t>
        </ns0:is>
      </ns0:c>
      <ns0:c r="K206" s="6" t="inlineStr">
        <ns0:is>
          <ns0:t>고른 보기 ‘강화도’와 달라요. 이 문항의 정답은 ‘울릉도’입니다. 옛 일본 기록에서 다케시마가 울릉도를 가리킨 경우가 있어요. 같은 이름도 시기와 자료에 따라 가리키는 섬을 확인해야 해요.</ns0:t>
        </ns0:is>
      </ns0:c>
      <ns0:c r="L206" s="6" t="inlineStr">
        <ns0:is>
          <ns0:t>옛 일본 기록에서 다케시마가 울릉도를 가리킨 경우가 있어요. 같은 이름도 시기와 자료에 따라 가리키는 섬을 확인해야 해요.</ns0:t>
        </ns0:is>
      </ns0:c>
      <ns0:c r="M206" s="6" t="inlineStr">
        <ns0:is>
          <ns0:t>고른 보기 ‘제주도’와 달라요. 이 문항의 정답은 ‘울릉도’입니다. 옛 일본 기록에서 다케시마가 울릉도를 가리킨 경우가 있어요. 같은 이름도 시기와 자료에 따라 가리키는 섬을 확인해야 해요.</ns0:t>
        </ns0:is>
      </ns0:c>
      <ns0:c r="N206" s="6" t="inlineStr"/>
      <ns0:c r="O206" s="6" t="inlineStr">
        <ns0:is>
          <ns0:t>https://dokdo.mofa.go.kr/m/kor/dokdo/reason_list.jsp
https://dokdo.mofa.go.kr/kor/pds/part05_view03.jsp</ns0:t>
        </ns0:is>
      </ns0:c>
      <ns0:c r="P206" s="3">
        <ns0:f>LEN(E206)+MAX(LEN(F206),LEN(G206),LEN(H206))</ns0:f>
        <ns0:v>27</ns0:v>
      </ns0:c>
      <ns0:c r="Q206" s="7" t="inlineStr">
        <ns0:is>
          <ns0:t>출처 기반 자체 검토 / 독립 승인 전</ns0:t>
        </ns0:is>
      </ns0:c>
    </ns0:row>
    <ns0:row r="207" ht="98" customHeight="1">
      <ns0:c r="A207" s="4" t="n">
        <ns0:v>910206</ns0:v>
      </ns0:c>
      <ns0:c r="B207" s="4" t="n">
        <ns0:v>11</ns0:v>
      </ns0:c>
      <ns0:c r="C207" s="4" t="inlineStr">
        <ns0:is>
          <ns0:t>dk-historic-name-context</ns0:t>
        </ns0:is>
      </ns0:c>
      <ns0:c r="D207" s="4" t="n">
        <ns0:v>2</ns0:v>
      </ns0:c>
      <ns0:c r="E207" s="8" t="inlineStr">
        <ns0:is>
          <ns0:t>옛 지명과 섬을 연결할 때 볼 것은?</ns0:t>
        </ns0:is>
      </ns0:c>
      <ns0:c r="F207" s="8" t="inlineStr">
        <ns0:is>
          <ns0:t>그 시기의 지도와 설명</ns0:t>
        </ns0:is>
      </ns0:c>
      <ns0:c r="G207" s="8" t="inlineStr">
        <ns0:is>
          <ns0:t>오늘의 발음만</ns0:t>
        </ns0:is>
      </ns0:c>
      <ns0:c r="H207" s="8" t="inlineStr">
        <ns0:is>
          <ns0:t>글자 색만</ns0:t>
        </ns0:is>
      </ns0:c>
      <ns0:c r="I207" s="8" t="n">
        <ns0:v>1</ns0:v>
      </ns0:c>
      <ns0:c r="J207" s="8" t="inlineStr">
        <ns0:is>
          <ns0:t>옛 일본 기록에서 다케시마가 울릉도를 가리킨 경우가 있어요. 같은 이름도 시기와 자료에 따라 가리키는 섬을 확인해야 해요.</ns0:t>
        </ns0:is>
      </ns0:c>
      <ns0:c r="K207" s="8" t="inlineStr">
        <ns0:is>
          <ns0:t>옛 일본 기록에서 다케시마가 울릉도를 가리킨 경우가 있어요. 같은 이름도 시기와 자료에 따라 가리키는 섬을 확인해야 해요.</ns0:t>
        </ns0:is>
      </ns0:c>
      <ns0:c r="L207" s="8" t="inlineStr">
        <ns0:is>
          <ns0:t>고른 보기 ‘오늘의 발음만’와 달라요. 이 문항의 정답은 ‘그 시기의 지도와 설명’입니다. 옛 일본 기록에서 다케시마가 울릉도를 가리킨 경우가 있어요. 같은 이름도 시기와 자료에 따라 가리키는 섬을 확인해야 해요.</ns0:t>
        </ns0:is>
      </ns0:c>
      <ns0:c r="M207" s="8" t="inlineStr">
        <ns0:is>
          <ns0:t>고른 보기 ‘글자 색만’와 달라요. 이 문항의 정답은 ‘그 시기의 지도와 설명’입니다. 옛 일본 기록에서 다케시마가 울릉도를 가리킨 경우가 있어요. 같은 이름도 시기와 자료에 따라 가리키는 섬을 확인해야 해요.</ns0:t>
        </ns0:is>
      </ns0:c>
      <ns0:c r="N207" s="8" t="inlineStr"/>
      <ns0:c r="O207" s="8" t="inlineStr">
        <ns0:is>
          <ns0:t>https://dokdo.mofa.go.kr/m/kor/dokdo/reason_list.jsp
https://dokdo.mofa.go.kr/kor/pds/part05_view03.jsp</ns0:t>
        </ns0:is>
      </ns0:c>
      <ns0:c r="P207" s="5">
        <ns0:f>LEN(E207)+MAX(LEN(F207),LEN(G207),LEN(H207))</ns0:f>
        <ns0:v>32</ns0:v>
      </ns0:c>
      <ns0:c r="Q207" s="9" t="inlineStr">
        <ns0:is>
          <ns0:t>출처 기반 자체 검토 / 독립 승인 전</ns0:t>
        </ns0:is>
      </ns0:c>
    </ns0:row>
    <ns0:row r="208" ht="98" customHeight="1">
      <ns0:c r="A208" s="2" t="n">
        <ns0:v>910207</ns0:v>
      </ns0:c>
      <ns0:c r="B208" s="2" t="n">
        <ns0:v>11</ns0:v>
      </ns0:c>
      <ns0:c r="C208" s="2" t="inlineStr">
        <ns0:is>
          <ns0:t>dk-historic-name-context</ns0:t>
        </ns0:is>
      </ns0:c>
      <ns0:c r="D208" s="2" t="n">
        <ns0:v>3</ns0:v>
      </ns0:c>
      <ns0:c r="E208" s="6" t="inlineStr">
        <ns0:is>
          <ns0:t>자료의 1696년 도해금지령 대상 표기는?</ns0:t>
        </ns0:is>
      </ns0:c>
      <ns0:c r="F208" s="6" t="inlineStr">
        <ns0:is>
          <ns0:t>동도등대</ns0:t>
        </ns0:is>
      </ns0:c>
      <ns0:c r="G208" s="6" t="inlineStr">
        <ns0:is>
          <ns0:t>천장굴</ns0:t>
        </ns0:is>
      </ns0:c>
      <ns0:c r="H208" s="6" t="inlineStr">
        <ns0:is>
          <ns0:t>다케시마, 당시 울릉도</ns0:t>
        </ns0:is>
      </ns0:c>
      <ns0:c r="I208" s="6" t="n">
        <ns0:v>3</ns0:v>
      </ns0:c>
      <ns0:c r="J208" s="6" t="inlineStr">
        <ns0:is>
          <ns0:t>옛 일본 기록에서 다케시마가 울릉도를 가리킨 경우가 있어요. 같은 이름도 시기와 자료에 따라 가리키는 섬을 확인해야 해요.</ns0:t>
        </ns0:is>
      </ns0:c>
      <ns0:c r="K208" s="6" t="inlineStr">
        <ns0:is>
          <ns0:t>고른 보기 ‘동도등대’와 달라요. 이 문항의 정답은 ‘다케시마, 당시 울릉도’입니다. 옛 일본 기록에서 다케시마가 울릉도를 가리킨 경우가 있어요. 같은 이름도 시기와 자료에 따라 가리키는 섬을 확인해야 해요.</ns0:t>
        </ns0:is>
      </ns0:c>
      <ns0:c r="L208" s="6" t="inlineStr">
        <ns0:is>
          <ns0:t>고른 보기 ‘천장굴’와 달라요. 이 문항의 정답은 ‘다케시마, 당시 울릉도’입니다. 옛 일본 기록에서 다케시마가 울릉도를 가리킨 경우가 있어요. 같은 이름도 시기와 자료에 따라 가리키는 섬을 확인해야 해요.</ns0:t>
        </ns0:is>
      </ns0:c>
      <ns0:c r="M208" s="6" t="inlineStr">
        <ns0:is>
          <ns0:t>옛 일본 기록에서 다케시마가 울릉도를 가리킨 경우가 있어요. 같은 이름도 시기와 자료에 따라 가리키는 섬을 확인해야 해요.</ns0:t>
        </ns0:is>
      </ns0:c>
      <ns0:c r="N208" s="6" t="inlineStr">
        <ns0:is>
          <ns0:t>외교부 연표의 1696년 항목은 다케시마를 울릉도라고 풀어 씁니다. 현대의 이름 대응을 모든 옛 기록에 그대로 적용하지 말고 당시 지도·설명을 대조해야 합니다.</ns0:t>
        </ns0:is>
      </ns0:c>
      <ns0:c r="O208" s="6" t="inlineStr">
        <ns0:is>
          <ns0:t>https://dokdo.mofa.go.kr/m/kor/dokdo/reason_list.jsp
https://dokdo.mofa.go.kr/kor/pds/part05_view03.jsp</ns0:t>
        </ns0:is>
      </ns0:c>
      <ns0:c r="P208" s="3">
        <ns0:f>LEN(E208)+MAX(LEN(F208),LEN(G208),LEN(H208))</ns0:f>
        <ns0:v>35</ns0:v>
      </ns0:c>
      <ns0:c r="Q208" s="7" t="inlineStr">
        <ns0:is>
          <ns0:t>출처 기반 자체 검토 / 독립 승인 전</ns0:t>
        </ns0:is>
      </ns0:c>
    </ns0:row>
    <ns0:row r="209" ht="98" customHeight="1">
      <ns0:c r="A209" s="4" t="n">
        <ns0:v>910208</ns0:v>
      </ns0:c>
      <ns0:c r="B209" s="4" t="n">
        <ns0:v>11</ns0:v>
      </ns0:c>
      <ns0:c r="C209" s="4" t="inlineStr">
        <ns0:is>
          <ns0:t>dk-historic-name-context</ns0:t>
        </ns0:is>
      </ns0:c>
      <ns0:c r="D209" s="4" t="n">
        <ns0:v>4</ns0:v>
      </ns0:c>
      <ns0:c r="E209" s="8" t="inlineStr">
        <ns0:is>
          <ns0:t>같은 이름이면 모든 시대에 같은 섬이라고 하면?</ns0:t>
        </ns0:is>
      </ns0:c>
      <ns0:c r="F209" s="8" t="inlineStr">
        <ns0:is>
          <ns0:t>옛 지도는 지명 해석에 전혀 쓸 수 없다</ns0:t>
        </ns0:is>
      </ns0:c>
      <ns0:c r="G209" s="8" t="inlineStr">
        <ns0:is>
          <ns0:t>시기·지도·문맥을 확인해야 한다</ns0:t>
        </ns0:is>
      </ns0:c>
      <ns0:c r="H209" s="8" t="inlineStr">
        <ns0:is>
          <ns0:t>발음이 같으면 지명 변화는 불가능하다</ns0:t>
        </ns0:is>
      </ns0:c>
      <ns0:c r="I209" s="8" t="n">
        <ns0:v>2</ns0:v>
      </ns0:c>
      <ns0:c r="J209" s="8" t="inlineStr">
        <ns0:is>
          <ns0:t>옛 일본 기록에서 다케시마가 울릉도를 가리킨 경우가 있어요. 같은 이름도 시기와 자료에 따라 가리키는 섬을 확인해야 해요.</ns0:t>
        </ns0:is>
      </ns0:c>
      <ns0:c r="K209" s="8" t="inlineStr">
        <ns0:is>
          <ns0:t>고른 보기 ‘옛 지도는 지명 해석에 전혀 쓸 수 없다’와 달라요. 이 문항의 정답은 ‘시기·지도·문맥을 확인해야 한다’입니다. 옛 일본 기록에서 다케시마가 울릉도를 가리킨 경우가 있어요. 같은 이름도 시기와 자료에 따라 가리키는 섬을 확인해야 해요.</ns0:t>
        </ns0:is>
      </ns0:c>
      <ns0:c r="L209" s="8" t="inlineStr">
        <ns0:is>
          <ns0:t>옛 일본 기록에서 다케시마가 울릉도를 가리킨 경우가 있어요. 같은 이름도 시기와 자료에 따라 가리키는 섬을 확인해야 해요.</ns0:t>
        </ns0:is>
      </ns0:c>
      <ns0:c r="M209" s="8" t="inlineStr">
        <ns0:is>
          <ns0:t>고른 보기 ‘발음이 같으면 지명 변화는 불가능하다’와 달라요. 이 문항의 정답은 ‘시기·지도·문맥을 확인해야 한다’입니다. 옛 일본 기록에서 다케시마가 울릉도를 가리킨 경우가 있어요. 같은 이름도 시기와 자료에 따라 가리키는 섬을 확인해야 해요.</ns0:t>
        </ns0:is>
      </ns0:c>
      <ns0:c r="N209" s="8" t="inlineStr">
        <ns0:is>
          <ns0:t>외교부 연표의 1696년 항목은 다케시마를 울릉도라고 풀어 씁니다. 현대의 이름 대응을 모든 옛 기록에 그대로 적용하지 말고 당시 지도·설명을 대조해야 합니다.</ns0:t>
        </ns0:is>
      </ns0:c>
      <ns0:c r="O209" s="8" t="inlineStr">
        <ns0:is>
          <ns0:t>https://dokdo.mofa.go.kr/m/kor/dokdo/reason_list.jsp
https://dokdo.mofa.go.kr/kor/pds/part05_view03.jsp</ns0:t>
        </ns0:is>
      </ns0:c>
      <ns0:c r="P209" s="5">
        <ns0:f>LEN(E209)+MAX(LEN(F209),LEN(G209),LEN(H209))</ns0:f>
        <ns0:v>48</ns0:v>
      </ns0:c>
      <ns0:c r="Q209" s="9" t="inlineStr">
        <ns0:is>
          <ns0:t>출처 기반 자체 검토 / 독립 승인 전</ns0:t>
        </ns0:is>
      </ns0:c>
    </ns0:row>
    <ns0:row r="210" ht="98" customHeight="1">
      <ns0:c r="A210" s="2" t="n">
        <ns0:v>910209</ns0:v>
      </ns0:c>
      <ns0:c r="B210" s="2" t="n">
        <ns0:v>11</ns0:v>
      </ns0:c>
      <ns0:c r="C210" s="2" t="inlineStr">
        <ns0:is>
          <ns0:t>dk-map-and-document</ns0:t>
        </ns0:is>
      </ns0:c>
      <ns0:c r="D210" s="2" t="n">
        <ns0:v>1</ns0:v>
      </ns0:c>
      <ns0:c r="E210" s="6" t="inlineStr">
        <ns0:is>
          <ns0:t>옛 문서의 섬 이름을 함께 확인할 자료는?</ns0:t>
        </ns0:is>
      </ns0:c>
      <ns0:c r="F210" s="6" t="inlineStr">
        <ns0:is>
          <ns0:t>당시의 첨부 지도</ns0:t>
        </ns0:is>
      </ns0:c>
      <ns0:c r="G210" s="6" t="inlineStr">
        <ns0:is>
          <ns0:t>오늘의 배 표값만</ns0:t>
        </ns0:is>
      </ns0:c>
      <ns0:c r="H210" s="6" t="inlineStr">
        <ns0:is>
          <ns0:t>등대 전구 색만</ns0:t>
        </ns0:is>
      </ns0:c>
      <ns0:c r="I210" s="6" t="n">
        <ns0:v>1</ns0:v>
      </ns0:c>
      <ns0:c r="J210" s="6" t="inlineStr">
        <ns0:is>
          <ns0:t>태정관 관련 자료는 문서와 함께 첨부 지도를 대조해 섬 이름을 살펴봐요. 지도에 적힌 이름과 위치 관계를 함께 읽는 것이 중요해요.</ns0:t>
        </ns0:is>
      </ns0:c>
      <ns0:c r="K210" s="6" t="inlineStr">
        <ns0:is>
          <ns0:t>태정관 관련 자료는 문서와 함께 첨부 지도를 대조해 섬 이름을 살펴봐요. 지도에 적힌 이름과 위치 관계를 함께 읽는 것이 중요해요.</ns0:t>
        </ns0:is>
      </ns0:c>
      <ns0:c r="L210" s="6" t="inlineStr">
        <ns0:is>
          <ns0:t>고른 보기 ‘오늘의 배 표값만’와 달라요. 이 문항의 정답은 ‘당시의 첨부 지도’입니다. 태정관 관련 자료는 문서와 함께 첨부 지도를 대조해 섬 이름을 살펴봐요. 지도에 적힌 이름과 위치 관계를 함께 읽는 것이 중요해요.</ns0:t>
        </ns0:is>
      </ns0:c>
      <ns0:c r="M210" s="6" t="inlineStr">
        <ns0:is>
          <ns0:t>고른 보기 ‘등대 전구 색만’와 달라요. 이 문항의 정답은 ‘당시의 첨부 지도’입니다. 태정관 관련 자료는 문서와 함께 첨부 지도를 대조해 섬 이름을 살펴봐요. 지도에 적힌 이름과 위치 관계를 함께 읽는 것이 중요해요.</ns0:t>
        </ns0:is>
      </ns0:c>
      <ns0:c r="N210" s="6" t="inlineStr"/>
      <ns0:c r="O210" s="6" t="inlineStr">
        <ns0:is>
          <ns0:t>https://dokdo.mofa.go.kr/kor/include/print_faq.jsp?class_faq=q7</ns0:t>
        </ns0:is>
      </ns0:c>
      <ns0:c r="P210" s="3">
        <ns0:f>LEN(E210)+MAX(LEN(F210),LEN(G210),LEN(H210))</ns0:f>
        <ns0:v>32</ns0:v>
      </ns0:c>
      <ns0:c r="Q210" s="7" t="inlineStr">
        <ns0:is>
          <ns0:t>출처 기반 자체 검토 / 독립 승인 전</ns0:t>
        </ns0:is>
      </ns0:c>
    </ns0:row>
    <ns0:row r="211" ht="98" customHeight="1">
      <ns0:c r="A211" s="4" t="n">
        <ns0:v>910210</ns0:v>
      </ns0:c>
      <ns0:c r="B211" s="4" t="n">
        <ns0:v>11</ns0:v>
      </ns0:c>
      <ns0:c r="C211" s="4" t="inlineStr">
        <ns0:is>
          <ns0:t>dk-map-and-document</ns0:t>
        </ns0:is>
      </ns0:c>
      <ns0:c r="D211" s="4" t="n">
        <ns0:v>2</ns0:v>
      </ns0:c>
      <ns0:c r="E211" s="8" t="inlineStr">
        <ns0:is>
          <ns0:t>문서와 지도를 함께 읽는 까닭은?</ns0:t>
        </ns0:is>
      </ns0:c>
      <ns0:c r="F211" s="8" t="inlineStr">
        <ns0:is>
          <ns0:t>두 자료의 날짜를 없애려고</ns0:t>
        </ns0:is>
      </ns0:c>
      <ns0:c r="G211" s="8" t="inlineStr">
        <ns0:is>
          <ns0:t>섬의 수를 마음대로 늘리려고</ns0:t>
        </ns0:is>
      </ns0:c>
      <ns0:c r="H211" s="8" t="inlineStr">
        <ns0:is>
          <ns0:t>이름과 위치 관계를 대조하려고</ns0:t>
        </ns0:is>
      </ns0:c>
      <ns0:c r="I211" s="8" t="n">
        <ns0:v>3</ns0:v>
      </ns0:c>
      <ns0:c r="J211" s="8" t="inlineStr">
        <ns0:is>
          <ns0:t>태정관 관련 자료는 문서와 함께 첨부 지도를 대조해 섬 이름을 살펴봐요. 지도에 적힌 이름과 위치 관계를 함께 읽는 것이 중요해요.</ns0:t>
        </ns0:is>
      </ns0:c>
      <ns0:c r="K211" s="8" t="inlineStr">
        <ns0:is>
          <ns0:t>고른 보기 ‘두 자료의 날짜를 없애려고’와 달라요. 이 문항의 정답은 ‘이름과 위치 관계를 대조하려고’입니다. 태정관 관련 자료는 문서와 함께 첨부 지도를 대조해 섬 이름을 살펴봐요. 지도에 적힌 이름과 위치 관계를 함께 읽는 것이 중요해요.</ns0:t>
        </ns0:is>
      </ns0:c>
      <ns0:c r="L211" s="8" t="inlineStr">
        <ns0:is>
          <ns0:t>고른 보기 ‘섬의 수를 마음대로 늘리려고’와 달라요. 이 문항의 정답은 ‘이름과 위치 관계를 대조하려고’입니다. 태정관 관련 자료는 문서와 함께 첨부 지도를 대조해 섬 이름을 살펴봐요. 지도에 적힌 이름과 위치 관계를 함께 읽는 것이 중요해요.</ns0:t>
        </ns0:is>
      </ns0:c>
      <ns0:c r="M211" s="8" t="inlineStr">
        <ns0:is>
          <ns0:t>태정관 관련 자료는 문서와 함께 첨부 지도를 대조해 섬 이름을 살펴봐요. 지도에 적힌 이름과 위치 관계를 함께 읽는 것이 중요해요.</ns0:t>
        </ns0:is>
      </ns0:c>
      <ns0:c r="N211" s="8" t="inlineStr"/>
      <ns0:c r="O211" s="8" t="inlineStr">
        <ns0:is>
          <ns0:t>https://dokdo.mofa.go.kr/kor/include/print_faq.jsp?class_faq=q7</ns0:t>
        </ns0:is>
      </ns0:c>
      <ns0:c r="P211" s="5">
        <ns0:f>LEN(E211)+MAX(LEN(F211),LEN(G211),LEN(H211))</ns0:f>
        <ns0:v>34</ns0:v>
      </ns0:c>
      <ns0:c r="Q211" s="9" t="inlineStr">
        <ns0:is>
          <ns0:t>출처 기반 자체 검토 / 독립 승인 전</ns0:t>
        </ns0:is>
      </ns0:c>
    </ns0:row>
    <ns0:row r="212" ht="98" customHeight="1">
      <ns0:c r="A212" s="2" t="n">
        <ns0:v>910211</ns0:v>
      </ns0:c>
      <ns0:c r="B212" s="2" t="n">
        <ns0:v>11</ns0:v>
      </ns0:c>
      <ns0:c r="C212" s="2" t="inlineStr">
        <ns0:is>
          <ns0:t>dk-map-and-document</ns0:t>
        </ns0:is>
      </ns0:c>
      <ns0:c r="D212" s="2" t="n">
        <ns0:v>3</ns0:v>
      </ns0:c>
      <ns0:c r="E212" s="6" t="inlineStr">
        <ns0:is>
          <ns0:t>첨부 지도와 문서에서 대조할 항목은?</ns0:t>
        </ns0:is>
      </ns0:c>
      <ns0:c r="F212" s="6" t="inlineStr">
        <ns0:is>
          <ns0:t>종이의 밝기만</ns0:t>
        </ns0:is>
      </ns0:c>
      <ns0:c r="G212" s="6" t="inlineStr">
        <ns0:is>
          <ns0:t>지명·섬 수·상대 위치</ns0:t>
        </ns0:is>
      </ns0:c>
      <ns0:c r="H212" s="6" t="inlineStr">
        <ns0:is>
          <ns0:t>글의 줄 수만</ns0:t>
        </ns0:is>
      </ns0:c>
      <ns0:c r="I212" s="6" t="n">
        <ns0:v>2</ns0:v>
      </ns0:c>
      <ns0:c r="J212" s="6" t="inlineStr">
        <ns0:is>
          <ns0:t>태정관 관련 자료는 문서와 함께 첨부 지도를 대조해 섬 이름을 살펴봐요. 지도에 적힌 이름과 위치 관계를 함께 읽는 것이 중요해요.</ns0:t>
        </ns0:is>
      </ns0:c>
      <ns0:c r="K212" s="6" t="inlineStr">
        <ns0:is>
          <ns0:t>고른 보기 ‘종이의 밝기만’와 달라요. 이 문항의 정답은 ‘지명·섬 수·상대 위치’입니다. 태정관 관련 자료는 문서와 함께 첨부 지도를 대조해 섬 이름을 살펴봐요. 지도에 적힌 이름과 위치 관계를 함께 읽는 것이 중요해요.</ns0:t>
        </ns0:is>
      </ns0:c>
      <ns0:c r="L212" s="6" t="inlineStr">
        <ns0:is>
          <ns0:t>태정관 관련 자료는 문서와 함께 첨부 지도를 대조해 섬 이름을 살펴봐요. 지도에 적힌 이름과 위치 관계를 함께 읽는 것이 중요해요.</ns0:t>
        </ns0:is>
      </ns0:c>
      <ns0:c r="M212" s="6" t="inlineStr">
        <ns0:is>
          <ns0:t>고른 보기 ‘글의 줄 수만’와 달라요. 이 문항의 정답은 ‘지명·섬 수·상대 위치’입니다. 태정관 관련 자료는 문서와 함께 첨부 지도를 대조해 섬 이름을 살펴봐요. 지도에 적힌 이름과 위치 관계를 함께 읽는 것이 중요해요.</ns0:t>
        </ns0:is>
      </ns0:c>
      <ns0:c r="N212" s="6" t="inlineStr">
        <ns0:is>
          <ns0:t>외교부는 태정관지령에 첨부된 기죽도약도를 설명 자료로 제시합니다. 지도의 지명, 섬의 수, 상대 위치를 문서 내용과 함께 대조하는 방식입니다.</ns0:t>
        </ns0:is>
      </ns0:c>
      <ns0:c r="O212" s="6" t="inlineStr">
        <ns0:is>
          <ns0:t>https://dokdo.mofa.go.kr/kor/include/print_faq.jsp?class_faq=q7</ns0:t>
        </ns0:is>
      </ns0:c>
      <ns0:c r="P212" s="3">
        <ns0:f>LEN(E212)+MAX(LEN(F212),LEN(G212),LEN(H212))</ns0:f>
        <ns0:v>32</ns0:v>
      </ns0:c>
      <ns0:c r="Q212" s="7" t="inlineStr">
        <ns0:is>
          <ns0:t>출처 기반 자체 검토 / 독립 승인 전</ns0:t>
        </ns0:is>
      </ns0:c>
    </ns0:row>
    <ns0:row r="213" ht="98" customHeight="1">
      <ns0:c r="A213" s="4" t="n">
        <ns0:v>910212</ns0:v>
      </ns0:c>
      <ns0:c r="B213" s="4" t="n">
        <ns0:v>11</ns0:v>
      </ns0:c>
      <ns0:c r="C213" s="4" t="inlineStr">
        <ns0:is>
          <ns0:t>dk-map-and-document</ns0:t>
        </ns0:is>
      </ns0:c>
      <ns0:c r="D213" s="4" t="n">
        <ns0:v>4</ns0:v>
      </ns0:c>
      <ns0:c r="E213" s="8" t="inlineStr">
        <ns0:is>
          <ns0:t>지도 한 부분을 잘라 다른 이름표를 붙였다면?</ns0:t>
        </ns0:is>
      </ns0:c>
      <ns0:c r="F213" s="8" t="inlineStr">
        <ns0:is>
          <ns0:t>원래 범례·문서·전체 구도를 확인해야 한다</ns0:t>
        </ns0:is>
      </ns0:c>
      <ns0:c r="G213" s="8" t="inlineStr">
        <ns0:is>
          <ns0:t>잘라낸 그림이면 언제나 더 정확하다</ns0:t>
        </ns0:is>
      </ns0:c>
      <ns0:c r="H213" s="8" t="inlineStr">
        <ns0:is>
          <ns0:t>새 이름표가 원문의 이름을 자동 대체한다</ns0:t>
        </ns0:is>
      </ns0:c>
      <ns0:c r="I213" s="8" t="n">
        <ns0:v>1</ns0:v>
      </ns0:c>
      <ns0:c r="J213" s="8" t="inlineStr">
        <ns0:is>
          <ns0:t>태정관 관련 자료는 문서와 함께 첨부 지도를 대조해 섬 이름을 살펴봐요. 지도에 적힌 이름과 위치 관계를 함께 읽는 것이 중요해요.</ns0:t>
        </ns0:is>
      </ns0:c>
      <ns0:c r="K213" s="8" t="inlineStr">
        <ns0:is>
          <ns0:t>태정관 관련 자료는 문서와 함께 첨부 지도를 대조해 섬 이름을 살펴봐요. 지도에 적힌 이름과 위치 관계를 함께 읽는 것이 중요해요.</ns0:t>
        </ns0:is>
      </ns0:c>
      <ns0:c r="L213" s="8" t="inlineStr">
        <ns0:is>
          <ns0:t>고른 보기 ‘잘라낸 그림이면 언제나 더 정확하다’와 달라요. 이 문항의 정답은 ‘원래 범례·문서·전체 구도를 확인해야 한다’입니다. 태정관 관련 자료는 문서와 함께 첨부 지도를 대조해 섬 이름을 살펴봐요. 지도에 적힌 이름과 위치 관계를 함께 읽는 것이 중요해요.</ns0:t>
        </ns0:is>
      </ns0:c>
      <ns0:c r="M213" s="8" t="inlineStr">
        <ns0:is>
          <ns0:t>고른 보기 ‘새 이름표가 원문의 이름을 자동 대체한다’와 달라요. 이 문항의 정답은 ‘원래 범례·문서·전체 구도를 확인해야 한다’입니다. 태정관 관련 자료는 문서와 함께 첨부 지도를 대조해 섬 이름을 살펴봐요. 지도에 적힌 이름과 위치 관계를 함께 읽는 것이 중요해요.</ns0:t>
        </ns0:is>
      </ns0:c>
      <ns0:c r="N213" s="8" t="inlineStr">
        <ns0:is>
          <ns0:t>외교부는 태정관지령에 첨부된 기죽도약도를 설명 자료로 제시합니다. 지도의 지명, 섬의 수, 상대 위치를 문서 내용과 함께 대조하는 방식입니다.</ns0:t>
        </ns0:is>
      </ns0:c>
      <ns0:c r="O213" s="8" t="inlineStr">
        <ns0:is>
          <ns0:t>https://dokdo.mofa.go.kr/kor/include/print_faq.jsp?class_faq=q7</ns0:t>
        </ns0:is>
      </ns0:c>
      <ns0:c r="P213" s="5">
        <ns0:f>LEN(E213)+MAX(LEN(F213),LEN(G213),LEN(H213))</ns0:f>
        <ns0:v>48</ns0:v>
      </ns0:c>
      <ns0:c r="Q213" s="9" t="inlineStr">
        <ns0:is>
          <ns0:t>출처 기반 자체 검토 / 독립 승인 전</ns0:t>
        </ns0:is>
      </ns0:c>
    </ns0:row>
    <ns0:row r="214" ht="98" customHeight="1">
      <ns0:c r="A214" s="2" t="n">
        <ns0:v>910213</ns0:v>
      </ns0:c>
      <ns0:c r="B214" s="2" t="n">
        <ns0:v>11</ns0:v>
      </ns0:c>
      <ns0:c r="C214" s="2" t="inlineStr">
        <ns0:is>
          <ns0:t>dk-record-types</ns0:t>
        </ns0:is>
      </ns0:c>
      <ns0:c r="D214" s="2" t="n">
        <ns0:v>1</ns0:v>
      </ns0:c>
      <ns0:c r="E214" s="6" t="inlineStr">
        <ns0:is>
          <ns0:t>당시 상황을 상부에 알리는 문서는?</ns0:t>
        </ns0:is>
      </ns0:c>
      <ns0:c r="F214" s="6" t="inlineStr">
        <ns0:is>
          <ns0:t>여객선 승차권</ns0:t>
        </ns0:is>
      </ns0:c>
      <ns0:c r="G214" s="6" t="inlineStr">
        <ns0:is>
          <ns0:t>등대 그림</ns0:t>
        </ns0:is>
      </ns0:c>
      <ns0:c r="H214" s="6" t="inlineStr">
        <ns0:is>
          <ns0:t>보고서</ns0:t>
        </ns0:is>
      </ns0:c>
      <ns0:c r="I214" s="6" t="n">
        <ns0:v>3</ns0:v>
      </ns0:c>
      <ns0:c r="J214" s="6" t="inlineStr">
        <ns0:is>
          <ns0:t>칙령은 제도를 정하고, 보고서는 상황을 알리며, 지령은 처리 방향을 지시해요. 독도 관련 기록도 역할이 다르므로 함께 구분해 읽어요.</ns0:t>
        </ns0:is>
      </ns0:c>
      <ns0:c r="K214" s="6" t="inlineStr">
        <ns0:is>
          <ns0:t>고른 보기 ‘여객선 승차권’와 달라요. 이 문항의 정답은 ‘보고서’입니다. 칙령은 제도를 정하고, 보고서는 상황을 알리며, 지령은 처리 방향을 지시해요. 독도 관련 기록도 역할이 다르므로 함께 구분해 읽어요.</ns0:t>
        </ns0:is>
      </ns0:c>
      <ns0:c r="L214" s="6" t="inlineStr">
        <ns0:is>
          <ns0:t>고른 보기 ‘등대 그림’와 달라요. 이 문항의 정답은 ‘보고서’입니다. 칙령은 제도를 정하고, 보고서는 상황을 알리며, 지령은 처리 방향을 지시해요. 독도 관련 기록도 역할이 다르므로 함께 구분해 읽어요.</ns0:t>
        </ns0:is>
      </ns0:c>
      <ns0:c r="M214" s="6" t="inlineStr">
        <ns0:is>
          <ns0:t>칙령은 제도를 정하고, 보고서는 상황을 알리며, 지령은 처리 방향을 지시해요. 독도 관련 기록도 역할이 다르므로 함께 구분해 읽어요.</ns0:t>
        </ns0:is>
      </ns0:c>
      <ns0:c r="N214" s="6" t="inlineStr"/>
      <ns0:c r="O214" s="6" t="inlineStr">
        <ns0:is>
          <ns0:t>https://dokdo.mofa.go.kr/kor/pds/part02_view02.jsp
https://dokdo.mofa.go.kr/kor/pds/part02_view04.jsp
https://dokdo.mofa.go.kr/kor/pds/part02_view05.jsp</ns0:t>
        </ns0:is>
      </ns0:c>
      <ns0:c r="P214" s="3">
        <ns0:f>LEN(E214)+MAX(LEN(F214),LEN(G214),LEN(H214))</ns0:f>
        <ns0:v>26</ns0:v>
      </ns0:c>
      <ns0:c r="Q214" s="7" t="inlineStr">
        <ns0:is>
          <ns0:t>출처 기반 자체 검토 / 독립 승인 전</ns0:t>
        </ns0:is>
      </ns0:c>
    </ns0:row>
    <ns0:row r="215" ht="98" customHeight="1">
      <ns0:c r="A215" s="4" t="n">
        <ns0:v>910214</ns0:v>
      </ns0:c>
      <ns0:c r="B215" s="4" t="n">
        <ns0:v>11</ns0:v>
      </ns0:c>
      <ns0:c r="C215" s="4" t="inlineStr">
        <ns0:is>
          <ns0:t>dk-record-types</ns0:t>
        </ns0:is>
      </ns0:c>
      <ns0:c r="D215" s="4" t="n">
        <ns0:v>2</ns0:v>
      </ns0:c>
      <ns0:c r="E215" s="8" t="inlineStr">
        <ns0:is>
          <ns0:t>문서의 역할을 바르게 연결하면?</ns0:t>
        </ns0:is>
      </ns0:c>
      <ns0:c r="F215" s="8" t="inlineStr">
        <ns0:is>
          <ns0:t>지령=바위의 별명</ns0:t>
        </ns0:is>
      </ns0:c>
      <ns0:c r="G215" s="8" t="inlineStr">
        <ns0:is>
          <ns0:t>보고서=상황 전달</ns0:t>
        </ns0:is>
      </ns0:c>
      <ns0:c r="H215" s="8" t="inlineStr">
        <ns0:is>
          <ns0:t>칙령=현장 사진만</ns0:t>
        </ns0:is>
      </ns0:c>
      <ns0:c r="I215" s="8" t="n">
        <ns0:v>2</ns0:v>
      </ns0:c>
      <ns0:c r="J215" s="8" t="inlineStr">
        <ns0:is>
          <ns0:t>칙령은 제도를 정하고, 보고서는 상황을 알리며, 지령은 처리 방향을 지시해요. 독도 관련 기록도 역할이 다르므로 함께 구분해 읽어요.</ns0:t>
        </ns0:is>
      </ns0:c>
      <ns0:c r="K215" s="8" t="inlineStr">
        <ns0:is>
          <ns0:t>고른 보기 ‘지령=바위의 별명’와 달라요. 이 문항의 정답은 ‘보고서=상황 전달’입니다. 칙령은 제도를 정하고, 보고서는 상황을 알리며, 지령은 처리 방향을 지시해요. 독도 관련 기록도 역할이 다르므로 함께 구분해 읽어요.</ns0:t>
        </ns0:is>
      </ns0:c>
      <ns0:c r="L215" s="8" t="inlineStr">
        <ns0:is>
          <ns0:t>칙령은 제도를 정하고, 보고서는 상황을 알리며, 지령은 처리 방향을 지시해요. 독도 관련 기록도 역할이 다르므로 함께 구분해 읽어요.</ns0:t>
        </ns0:is>
      </ns0:c>
      <ns0:c r="M215" s="8" t="inlineStr">
        <ns0:is>
          <ns0:t>고른 보기 ‘칙령=현장 사진만’와 달라요. 이 문항의 정답은 ‘보고서=상황 전달’입니다. 칙령은 제도를 정하고, 보고서는 상황을 알리며, 지령은 처리 방향을 지시해요. 독도 관련 기록도 역할이 다르므로 함께 구분해 읽어요.</ns0:t>
        </ns0:is>
      </ns0:c>
      <ns0:c r="N215" s="8" t="inlineStr"/>
      <ns0:c r="O215" s="8" t="inlineStr">
        <ns0:is>
          <ns0:t>https://dokdo.mofa.go.kr/kor/pds/part02_view02.jsp
https://dokdo.mofa.go.kr/kor/pds/part02_view04.jsp
https://dokdo.mofa.go.kr/kor/pds/part02_view05.jsp</ns0:t>
        </ns0:is>
      </ns0:c>
      <ns0:c r="P215" s="5">
        <ns0:f>LEN(E215)+MAX(LEN(F215),LEN(G215),LEN(H215))</ns0:f>
        <ns0:v>26</ns0:v>
      </ns0:c>
      <ns0:c r="Q215" s="9" t="inlineStr">
        <ns0:is>
          <ns0:t>출처 기반 자체 검토 / 독립 승인 전</ns0:t>
        </ns0:is>
      </ns0:c>
    </ns0:row>
    <ns0:row r="216" ht="98" customHeight="1">
      <ns0:c r="A216" s="2" t="n">
        <ns0:v>910215</ns0:v>
      </ns0:c>
      <ns0:c r="B216" s="2" t="n">
        <ns0:v>11</ns0:v>
      </ns0:c>
      <ns0:c r="C216" s="2" t="inlineStr">
        <ns0:is>
          <ns0:t>dk-record-types</ns0:t>
        </ns0:is>
      </ns0:c>
      <ns0:c r="D216" s="2" t="n">
        <ns0:v>3</ns0:v>
      </ns0:c>
      <ns0:c r="E216" s="6" t="inlineStr">
        <ns0:is>
          <ns0:t>세 문서의 역할을 순서대로 정리하면?</ns0:t>
        </ns0:is>
      </ns0:c>
      <ns0:c r="F216" s="6" t="inlineStr">
        <ns0:is>
          <ns0:t>제도 설정·상황 보고·대응 지시</ns0:t>
        </ns0:is>
      </ns0:c>
      <ns0:c r="G216" s="6" t="inlineStr">
        <ns0:is>
          <ns0:t>날씨 예측·배 요금·생물 수</ns0:t>
        </ns0:is>
      </ns0:c>
      <ns0:c r="H216" s="6" t="inlineStr">
        <ns0:is>
          <ns0:t>모두 같은 사람이 같은 날 쓴 일기</ns0:t>
        </ns0:is>
      </ns0:c>
      <ns0:c r="I216" s="6" t="n">
        <ns0:v>1</ns0:v>
      </ns0:c>
      <ns0:c r="J216" s="6" t="inlineStr">
        <ns0:is>
          <ns0:t>칙령은 제도를 정하고, 보고서는 상황을 알리며, 지령은 처리 방향을 지시해요. 독도 관련 기록도 역할이 다르므로 함께 구분해 읽어요.</ns0:t>
        </ns0:is>
      </ns0:c>
      <ns0:c r="K216" s="6" t="inlineStr">
        <ns0:is>
          <ns0:t>칙령은 제도를 정하고, 보고서는 상황을 알리며, 지령은 처리 방향을 지시해요. 독도 관련 기록도 역할이 다르므로 함께 구분해 읽어요.</ns0:t>
        </ns0:is>
      </ns0:c>
      <ns0:c r="L216" s="6" t="inlineStr">
        <ns0:is>
          <ns0:t>고른 보기 ‘날씨 예측·배 요금·생물 수’와 달라요. 이 문항의 정답은 ‘제도 설정·상황 보고·대응 지시’입니다. 칙령은 제도를 정하고, 보고서는 상황을 알리며, 지령은 처리 방향을 지시해요. 독도 관련 기록도 역할이 다르므로 함께 구분해 읽어요.</ns0:t>
        </ns0:is>
      </ns0:c>
      <ns0:c r="M216" s="6" t="inlineStr">
        <ns0:is>
          <ns0:t>고른 보기 ‘모두 같은 사람이 같은 날 쓴 일기’와 달라요. 이 문항의 정답은 ‘제도 설정·상황 보고·대응 지시’입니다. 칙령은 제도를 정하고, 보고서는 상황을 알리며, 지령은 처리 방향을 지시해요. 독도 관련 기록도 역할이 다르므로 함께 구분해 읽어요.</ns0:t>
        </ns0:is>
      </ns0:c>
      <ns0:c r="N216" s="6" t="inlineStr">
        <ns0:is>
          <ns0:t>자료 묶음: 1900년 칙령 제41호는 행정 체계를 정함 / 1906년 심흥택 보고는 상황을 전달함 / 지령 제3호는 주장 부인과 재조사를 지시함.</ns0:t>
        </ns0:is>
      </ns0:c>
      <ns0:c r="O216" s="6" t="inlineStr">
        <ns0:is>
          <ns0:t>https://dokdo.mofa.go.kr/kor/pds/part02_view02.jsp
https://dokdo.mofa.go.kr/kor/pds/part02_view04.jsp
https://dokdo.mofa.go.kr/kor/pds/part02_view05.jsp</ns0:t>
        </ns0:is>
      </ns0:c>
      <ns0:c r="P216" s="3">
        <ns0:f>LEN(E216)+MAX(LEN(F216),LEN(G216),LEN(H216))</ns0:f>
        <ns0:v>39</ns0:v>
      </ns0:c>
      <ns0:c r="Q216" s="7" t="inlineStr">
        <ns0:is>
          <ns0:t>출처 기반 자체 검토 / 독립 승인 전</ns0:t>
        </ns0:is>
      </ns0:c>
    </ns0:row>
    <ns0:row r="217" ht="98" customHeight="1">
      <ns0:c r="A217" s="4" t="n">
        <ns0:v>910216</ns0:v>
      </ns0:c>
      <ns0:c r="B217" s="4" t="n">
        <ns0:v>11</ns0:v>
      </ns0:c>
      <ns0:c r="C217" s="4" t="inlineStr">
        <ns0:is>
          <ns0:t>dk-record-types</ns0:t>
        </ns0:is>
      </ns0:c>
      <ns0:c r="D217" s="4" t="n">
        <ns0:v>4</ns0:v>
      </ns0:c>
      <ns0:c r="E217" s="8" t="inlineStr">
        <ns0:is>
          <ns0:t>세 문서에서 한 문장씩 떼어 같은 주장으로 묶으면?</ns0:t>
        </ns0:is>
      </ns0:c>
      <ns0:c r="F217" s="8" t="inlineStr">
        <ns0:is>
          <ns0:t>모두 독도 자료이므로 기능도 동일하다</ns0:t>
        </ns0:is>
      </ns0:c>
      <ns0:c r="G217" s="8" t="inlineStr">
        <ns0:is>
          <ns0:t>날짜만 붙이면 문맥을 바꿔도 괜찮다</ns0:t>
        </ns0:is>
      </ns0:c>
      <ns0:c r="H217" s="8" t="inlineStr">
        <ns0:is>
          <ns0:t>각 문서의 주체·목적·맥락을 잃을 수 있다</ns0:t>
        </ns0:is>
      </ns0:c>
      <ns0:c r="I217" s="8" t="n">
        <ns0:v>3</ns0:v>
      </ns0:c>
      <ns0:c r="J217" s="8" t="inlineStr">
        <ns0:is>
          <ns0:t>칙령은 제도를 정하고, 보고서는 상황을 알리며, 지령은 처리 방향을 지시해요. 독도 관련 기록도 역할이 다르므로 함께 구분해 읽어요.</ns0:t>
        </ns0:is>
      </ns0:c>
      <ns0:c r="K217" s="8" t="inlineStr">
        <ns0:is>
          <ns0:t>고른 보기 ‘모두 독도 자료이므로 기능도 동일하다’와 달라요. 이 문항의 정답은 ‘각 문서의 주체·목적·맥락을 잃을 수 있다’입니다. 칙령은 제도를 정하고, 보고서는 상황을 알리며, 지령은 처리 방향을 지시해요. 독도 관련 기록도 역할이 다르므로 함께 구분해 읽어요.</ns0:t>
        </ns0:is>
      </ns0:c>
      <ns0:c r="L217" s="8" t="inlineStr">
        <ns0:is>
          <ns0:t>고른 보기 ‘날짜만 붙이면 문맥을 바꿔도 괜찮다’와 달라요. 이 문항의 정답은 ‘각 문서의 주체·목적·맥락을 잃을 수 있다’입니다. 칙령은 제도를 정하고, 보고서는 상황을 알리며, 지령은 처리 방향을 지시해요. 독도 관련 기록도 역할이 다르므로 함께 구분해 읽어요.</ns0:t>
        </ns0:is>
      </ns0:c>
      <ns0:c r="M217" s="8" t="inlineStr">
        <ns0:is>
          <ns0:t>칙령은 제도를 정하고, 보고서는 상황을 알리며, 지령은 처리 방향을 지시해요. 독도 관련 기록도 역할이 다르므로 함께 구분해 읽어요.</ns0:t>
        </ns0:is>
      </ns0:c>
      <ns0:c r="N217" s="8" t="inlineStr">
        <ns0:is>
          <ns0:t>자료 묶음: 1900년 칙령 제41호는 행정 체계를 정함 / 1906년 심흥택 보고는 상황을 전달함 / 지령 제3호는 주장 부인과 재조사를 지시함.</ns0:t>
        </ns0:is>
      </ns0:c>
      <ns0:c r="O217" s="8" t="inlineStr">
        <ns0:is>
          <ns0:t>https://dokdo.mofa.go.kr/kor/pds/part02_view02.jsp
https://dokdo.mofa.go.kr/kor/pds/part02_view04.jsp
https://dokdo.mofa.go.kr/kor/pds/part02_view05.jsp</ns0:t>
        </ns0:is>
      </ns0:c>
      <ns0:c r="P217" s="5">
        <ns0:f>LEN(E217)+MAX(LEN(F217),LEN(G217),LEN(H217))</ns0:f>
        <ns0:v>51</ns0:v>
      </ns0:c>
      <ns0:c r="Q217" s="9" t="inlineStr">
        <ns0:is>
          <ns0:t>출처 기반 자체 검토 / 독립 승인 전</ns0:t>
        </ns0:is>
      </ns0:c>
    </ns0:row>
    <ns0:row r="218" ht="98" customHeight="1">
      <ns0:c r="A218" s="2" t="n">
        <ns0:v>910217</ns0:v>
      </ns0:c>
      <ns0:c r="B218" s="2" t="n">
        <ns0:v>11</ns0:v>
      </ns0:c>
      <ns0:c r="C218" s="2" t="inlineStr">
        <ns0:is>
          <ns0:t>dk-authority-and-interpretation</ns0:t>
        </ns0:is>
      </ns0:c>
      <ns0:c r="D218" s="2" t="n">
        <ns0:v>1</ns0:v>
      </ns0:c>
      <ns0:c r="E218" s="6" t="inlineStr">
        <ns0:is>
          <ns0:t>당시 글의 모습을 확인하는 것은?</ns0:t>
        </ns0:is>
      </ns0:c>
      <ns0:c r="F218" s="6" t="inlineStr">
        <ns0:is>
          <ns0:t>오늘의 댓글 수</ns0:t>
        </ns0:is>
      </ns0:c>
      <ns0:c r="G218" s="6" t="inlineStr">
        <ns0:is>
          <ns0:t>원문 이미지</ns0:t>
        </ns0:is>
      </ns0:c>
      <ns0:c r="H218" s="6" t="inlineStr">
        <ns0:is>
          <ns0:t>현대 광고 제목</ns0:t>
        </ns0:is>
      </ns0:c>
      <ns0:c r="I218" s="6" t="n">
        <ns0:v>2</ns0:v>
      </ns0:c>
      <ns0:c r="J218" s="6" t="inlineStr">
        <ns0:is>
          <ns0:t>독도 관련 사료를 읽을 때는 옛 문서 자체와 오늘의 설명을 구분해요. 해설을 이용하되 누가 어떻게 해석했는지 밝혀야 해요.</ns0:t>
        </ns0:is>
      </ns0:c>
      <ns0:c r="K218" s="6" t="inlineStr">
        <ns0:is>
          <ns0:t>고른 보기 ‘오늘의 댓글 수’와 달라요. 이 문항의 정답은 ‘원문 이미지’입니다. 독도 관련 사료를 읽을 때는 옛 문서 자체와 오늘의 설명을 구분해요. 해설을 이용하되 누가 어떻게 해석했는지 밝혀야 해요.</ns0:t>
        </ns0:is>
      </ns0:c>
      <ns0:c r="L218" s="6" t="inlineStr">
        <ns0:is>
          <ns0:t>독도 관련 사료를 읽을 때는 옛 문서 자체와 오늘의 설명을 구분해요. 해설을 이용하되 누가 어떻게 해석했는지 밝혀야 해요.</ns0:t>
        </ns0:is>
      </ns0:c>
      <ns0:c r="M218" s="6" t="inlineStr">
        <ns0:is>
          <ns0:t>고른 보기 ‘현대 광고 제목’와 달라요. 이 문항의 정답은 ‘원문 이미지’입니다. 독도 관련 사료를 읽을 때는 옛 문서 자체와 오늘의 설명을 구분해요. 해설을 이용하되 누가 어떻게 해석했는지 밝혀야 해요.</ns0:t>
        </ns0:is>
      </ns0:c>
      <ns0:c r="N218" s="6" t="inlineStr"/>
      <ns0:c r="O218" s="6" t="inlineStr">
        <ns0:is>
          <ns0:t>https://dokdo.mofa.go.kr/kor/pds/part06_view02.jsp
https://dokdo.mofa.go.kr/kor/pds/part02_view02.jsp
https://dokdo.mofa.go.kr/kor/pds/part05_view03.jsp</ns0:t>
        </ns0:is>
      </ns0:c>
      <ns0:c r="P218" s="3">
        <ns0:f>LEN(E218)+MAX(LEN(F218),LEN(G218),LEN(H218))</ns0:f>
        <ns0:v>26</ns0:v>
      </ns0:c>
      <ns0:c r="Q218" s="7" t="inlineStr">
        <ns0:is>
          <ns0:t>출처 기반 자체 검토 / 독립 승인 전</ns0:t>
        </ns0:is>
      </ns0:c>
    </ns0:row>
    <ns0:row r="219" ht="98" customHeight="1">
      <ns0:c r="A219" s="4" t="n">
        <ns0:v>910218</ns0:v>
      </ns0:c>
      <ns0:c r="B219" s="4" t="n">
        <ns0:v>11</ns0:v>
      </ns0:c>
      <ns0:c r="C219" s="4" t="inlineStr">
        <ns0:is>
          <ns0:t>dk-authority-and-interpretation</ns0:t>
        </ns0:is>
      </ns0:c>
      <ns0:c r="D219" s="4" t="n">
        <ns0:v>2</ns0:v>
      </ns0:c>
      <ns0:c r="E219" s="8" t="inlineStr">
        <ns0:is>
          <ns0:t>원문과 해설을 나누는 까닭은?</ns0:t>
        </ns0:is>
      </ns0:c>
      <ns0:c r="F219" s="8" t="inlineStr">
        <ns0:is>
          <ns0:t>당시 표현과 오늘의 풀이를 구분하려고</ns0:t>
        </ns0:is>
      </ns0:c>
      <ns0:c r="G219" s="8" t="inlineStr">
        <ns0:is>
          <ns0:t>해설이 있으면 원문을 없애려고</ns0:t>
        </ns0:is>
      </ns0:c>
      <ns0:c r="H219" s="8" t="inlineStr">
        <ns0:is>
          <ns0:t>문서의 날짜를 숨기려고</ns0:t>
        </ns0:is>
      </ns0:c>
      <ns0:c r="I219" s="8" t="n">
        <ns0:v>1</ns0:v>
      </ns0:c>
      <ns0:c r="J219" s="8" t="inlineStr">
        <ns0:is>
          <ns0:t>독도 관련 사료를 읽을 때는 옛 문서 자체와 오늘의 설명을 구분해요. 해설을 이용하되 누가 어떻게 해석했는지 밝혀야 해요.</ns0:t>
        </ns0:is>
      </ns0:c>
      <ns0:c r="K219" s="8" t="inlineStr">
        <ns0:is>
          <ns0:t>독도 관련 사료를 읽을 때는 옛 문서 자체와 오늘의 설명을 구분해요. 해설을 이용하되 누가 어떻게 해석했는지 밝혀야 해요.</ns0:t>
        </ns0:is>
      </ns0:c>
      <ns0:c r="L219" s="8" t="inlineStr">
        <ns0:is>
          <ns0:t>고른 보기 ‘해설이 있으면 원문을 없애려고’와 달라요. 이 문항의 정답은 ‘당시 표현과 오늘의 풀이를 구분하려고’입니다. 독도 관련 사료를 읽을 때는 옛 문서 자체와 오늘의 설명을 구분해요. 해설을 이용하되 누가 어떻게 해석했는지 밝혀야 해요.</ns0:t>
        </ns0:is>
      </ns0:c>
      <ns0:c r="M219" s="8" t="inlineStr">
        <ns0:is>
          <ns0:t>고른 보기 ‘문서의 날짜를 숨기려고’와 달라요. 이 문항의 정답은 ‘당시 표현과 오늘의 풀이를 구분하려고’입니다. 독도 관련 사료를 읽을 때는 옛 문서 자체와 오늘의 설명을 구분해요. 해설을 이용하되 누가 어떻게 해석했는지 밝혀야 해요.</ns0:t>
        </ns0:is>
      </ns0:c>
      <ns0:c r="N219" s="8" t="inlineStr"/>
      <ns0:c r="O219" s="8" t="inlineStr">
        <ns0:is>
          <ns0:t>https://dokdo.mofa.go.kr/kor/pds/part06_view02.jsp
https://dokdo.mofa.go.kr/kor/pds/part02_view02.jsp
https://dokdo.mofa.go.kr/kor/pds/part05_view03.jsp</ns0:t>
        </ns0:is>
      </ns0:c>
      <ns0:c r="P219" s="5">
        <ns0:f>LEN(E219)+MAX(LEN(F219),LEN(G219),LEN(H219))</ns0:f>
        <ns0:v>36</ns0:v>
      </ns0:c>
      <ns0:c r="Q219" s="9" t="inlineStr">
        <ns0:is>
          <ns0:t>출처 기반 자체 검토 / 독립 승인 전</ns0:t>
        </ns0:is>
      </ns0:c>
    </ns0:row>
    <ns0:row r="220" ht="98" customHeight="1">
      <ns0:c r="A220" s="2" t="n">
        <ns0:v>910219</ns0:v>
      </ns0:c>
      <ns0:c r="B220" s="2" t="n">
        <ns0:v>11</ns0:v>
      </ns0:c>
      <ns0:c r="C220" s="2" t="inlineStr">
        <ns0:is>
          <ns0:t>dk-authority-and-interpretation</ns0:t>
        </ns0:is>
      </ns0:c>
      <ns0:c r="D220" s="2" t="n">
        <ns0:v>3</ns0:v>
      </ns0:c>
      <ns0:c r="E220" s="6" t="inlineStr">
        <ns0:is>
          <ns0:t>현대 지명을 괄호에 덧붙인 부분의 성격은?</ns0:t>
        </ns0:is>
      </ns0:c>
      <ns0:c r="F220" s="6" t="inlineStr">
        <ns0:is>
          <ns0:t>항상 원문과 한 글자까지 같다</ns0:t>
        </ns0:is>
      </ns0:c>
      <ns0:c r="G220" s="6" t="inlineStr">
        <ns0:is>
          <ns0:t>해안의 실제 측량값이다</ns0:t>
        </ns0:is>
      </ns0:c>
      <ns0:c r="H220" s="6" t="inlineStr">
        <ns0:is>
          <ns0:t>독자를 돕는 해설일 수 있다</ns0:t>
        </ns0:is>
      </ns0:c>
      <ns0:c r="I220" s="6" t="n">
        <ns0:v>3</ns0:v>
      </ns0:c>
      <ns0:c r="J220" s="6" t="inlineStr">
        <ns0:is>
          <ns0:t>독도 관련 사료를 읽을 때는 옛 문서 자체와 오늘의 설명을 구분해요. 해설을 이용하되 누가 어떻게 해석했는지 밝혀야 해요.</ns0:t>
        </ns0:is>
      </ns0:c>
      <ns0:c r="K220" s="6" t="inlineStr">
        <ns0:is>
          <ns0:t>고른 보기 ‘항상 원문과 한 글자까지 같다’와 달라요. 이 문항의 정답은 ‘독자를 돕는 해설일 수 있다’입니다. 독도 관련 사료를 읽을 때는 옛 문서 자체와 오늘의 설명을 구분해요. 해설을 이용하되 누가 어떻게 해석했는지 밝혀야 해요.</ns0:t>
        </ns0:is>
      </ns0:c>
      <ns0:c r="L220" s="6" t="inlineStr">
        <ns0:is>
          <ns0:t>고른 보기 ‘해안의 실제 측량값이다’와 달라요. 이 문항의 정답은 ‘독자를 돕는 해설일 수 있다’입니다. 독도 관련 사료를 읽을 때는 옛 문서 자체와 오늘의 설명을 구분해요. 해설을 이용하되 누가 어떻게 해석했는지 밝혀야 해요.</ns0:t>
        </ns0:is>
      </ns0:c>
      <ns0:c r="M220" s="6" t="inlineStr">
        <ns0:is>
          <ns0:t>독도 관련 사료를 읽을 때는 옛 문서 자체와 오늘의 설명을 구분해요. 해설을 이용하되 누가 어떻게 해석했는지 밝혀야 해요.</ns0:t>
        </ns0:is>
      </ns0:c>
      <ns0:c r="N220" s="6" t="inlineStr">
        <ns0:is>
          <ns0:t>외교부 자료실은 원문 이미지·역문·해설을 함께 제공합니다. 원문은 당시 표현, 역문은 그 표현을 옮긴 글, 해설은 현대 지명 대응이나 의미를 설명한 부분입니다.</ns0:t>
        </ns0:is>
      </ns0:c>
      <ns0:c r="O220" s="6" t="inlineStr">
        <ns0:is>
          <ns0:t>https://dokdo.mofa.go.kr/kor/pds/part06_view02.jsp
https://dokdo.mofa.go.kr/kor/pds/part02_view02.jsp
https://dokdo.mofa.go.kr/kor/pds/part05_view03.jsp</ns0:t>
        </ns0:is>
      </ns0:c>
      <ns0:c r="P220" s="3">
        <ns0:f>LEN(E220)+MAX(LEN(F220),LEN(G220),LEN(H220))</ns0:f>
        <ns0:v>39</ns0:v>
      </ns0:c>
      <ns0:c r="Q220" s="7" t="inlineStr">
        <ns0:is>
          <ns0:t>출처 기반 자체 검토 / 독립 승인 전</ns0:t>
        </ns0:is>
      </ns0:c>
    </ns0:row>
    <ns0:row r="221" ht="98" customHeight="1">
      <ns0:c r="A221" s="4" t="n">
        <ns0:v>910220</ns0:v>
      </ns0:c>
      <ns0:c r="B221" s="4" t="n">
        <ns0:v>11</ns0:v>
      </ns0:c>
      <ns0:c r="C221" s="4" t="inlineStr">
        <ns0:is>
          <ns0:t>dk-authority-and-interpretation</ns0:t>
        </ns0:is>
      </ns0:c>
      <ns0:c r="D221" s="4" t="n">
        <ns0:v>4</ns0:v>
      </ns0:c>
      <ns0:c r="E221" s="8" t="inlineStr">
        <ns0:is>
          <ns0:t>해설의 지명 대응을 소개할 때 알맞은 방식은?</ns0:t>
        </ns0:is>
      </ns0:c>
      <ns0:c r="F221" s="8" t="inlineStr">
        <ns0:is>
          <ns0:t>해석이 포함된 자료는 모두 사용 금지다</ns0:t>
        </ns0:is>
      </ns0:c>
      <ns0:c r="G221" s="8" t="inlineStr">
        <ns0:is>
          <ns0:t>해석한 기관과 근거 자료를 함께 밝힌다</ns0:t>
        </ns0:is>
      </ns0:c>
      <ns0:c r="H221" s="8" t="inlineStr">
        <ns0:is>
          <ns0:t>원문에 없는 현대 이름도 원문 인용처럼 쓴다</ns0:t>
        </ns0:is>
      </ns0:c>
      <ns0:c r="I221" s="8" t="n">
        <ns0:v>2</ns0:v>
      </ns0:c>
      <ns0:c r="J221" s="8" t="inlineStr">
        <ns0:is>
          <ns0:t>독도 관련 사료를 읽을 때는 옛 문서 자체와 오늘의 설명을 구분해요. 해설을 이용하되 누가 어떻게 해석했는지 밝혀야 해요.</ns0:t>
        </ns0:is>
      </ns0:c>
      <ns0:c r="K221" s="8" t="inlineStr">
        <ns0:is>
          <ns0:t>고른 보기 ‘해석이 포함된 자료는 모두 사용 금지다’와 달라요. 이 문항의 정답은 ‘해석한 기관과 근거 자료를 함께 밝힌다’입니다. 독도 관련 사료를 읽을 때는 옛 문서 자체와 오늘의 설명을 구분해요. 해설을 이용하되 누가 어떻게 해석했는지 밝혀야 해요.</ns0:t>
        </ns0:is>
      </ns0:c>
      <ns0:c r="L221" s="8" t="inlineStr">
        <ns0:is>
          <ns0:t>독도 관련 사료를 읽을 때는 옛 문서 자체와 오늘의 설명을 구분해요. 해설을 이용하되 누가 어떻게 해석했는지 밝혀야 해요.</ns0:t>
        </ns0:is>
      </ns0:c>
      <ns0:c r="M221" s="8" t="inlineStr">
        <ns0:is>
          <ns0:t>고른 보기 ‘원문에 없는 현대 이름도 원문 인용처럼 쓴다’와 달라요. 이 문항의 정답은 ‘해석한 기관과 근거 자료를 함께 밝힌다’입니다. 독도 관련 사료를 읽을 때는 옛 문서 자체와 오늘의 설명을 구분해요. 해설을 이용하되 누가 어떻게 해석했는지 밝혀야 해요.</ns0:t>
        </ns0:is>
      </ns0:c>
      <ns0:c r="N221" s="8" t="inlineStr">
        <ns0:is>
          <ns0:t>외교부 자료실은 원문 이미지·역문·해설을 함께 제공합니다. 원문은 당시 표현, 역문은 그 표현을 옮긴 글, 해설은 현대 지명 대응이나 의미를 설명한 부분입니다.</ns0:t>
        </ns0:is>
      </ns0:c>
      <ns0:c r="O221" s="8" t="inlineStr">
        <ns0:is>
          <ns0:t>https://dokdo.mofa.go.kr/kor/pds/part06_view02.jsp
https://dokdo.mofa.go.kr/kor/pds/part02_view02.jsp
https://dokdo.mofa.go.kr/kor/pds/part05_view03.jsp</ns0:t>
        </ns0:is>
      </ns0:c>
      <ns0:c r="P221" s="5">
        <ns0:f>LEN(E221)+MAX(LEN(F221),LEN(G221),LEN(H221))</ns0:f>
        <ns0:v>49</ns0:v>
      </ns0:c>
      <ns0:c r="Q221" s="9" t="inlineStr">
        <ns0:is>
          <ns0:t>출처 기반 자체 검토 / 독립 승인 전</ns0:t>
        </ns0:is>
      </ns0:c>
    </ns0:row>
    <ns0:row r="222" ht="98" customHeight="1">
      <ns0:c r="A222" s="2" t="n">
        <ns0:v>910221</ns0:v>
      </ns0:c>
      <ns0:c r="B222" s="2" t="n">
        <ns0:v>12</ns0:v>
      </ns0:c>
      <ns0:c r="C222" s="2" t="inlineStr">
        <ns0:is>
          <ns0:t>dk-weather-access</ns0:t>
        </ns0:is>
      </ns0:c>
      <ns0:c r="D222" s="2" t="n">
        <ns0:v>1</ns0:v>
      </ns0:c>
      <ns0:c r="E222" s="6" t="inlineStr">
        <ns0:is>
          <ns0:t>독도에 내릴 수 있는지에 영향을 주는 것은?</ns0:t>
        </ns0:is>
      </ns0:c>
      <ns0:c r="F222" s="6" t="inlineStr">
        <ns0:is>
          <ns0:t>날씨와 선박 사정</ns0:t>
        </ns0:is>
      </ns0:c>
      <ns0:c r="G222" s="6" t="inlineStr">
        <ns0:is>
          <ns0:t>문제에서 얻은 점수</ns0:t>
        </ns0:is>
      </ns0:c>
      <ns0:c r="H222" s="6" t="inlineStr">
        <ns0:is>
          <ns0:t>방문객의 별명 길이</ns0:t>
        </ns0:is>
      </ns0:c>
      <ns0:c r="I222" s="6" t="n">
        <ns0:v>1</ns0:v>
      </ns0:c>
      <ns0:c r="J222" s="6" t="inlineStr">
        <ns0:is>
          <ns0:t>독도로 가는 배가 있어도 날씨나 선박 사정에 따라 섬에 내리지 못할 수 있어요. 방문 전에는 최신 안내를 확인해야 해요.</ns0:t>
        </ns0:is>
      </ns0:c>
      <ns0:c r="K222" s="6" t="inlineStr">
        <ns0:is>
          <ns0:t>독도로 가는 배가 있어도 날씨나 선박 사정에 따라 섬에 내리지 못할 수 있어요. 방문 전에는 최신 안내를 확인해야 해요.</ns0:t>
        </ns0:is>
      </ns0:c>
      <ns0:c r="L222" s="6" t="inlineStr">
        <ns0:is>
          <ns0:t>고른 보기 ‘문제에서 얻은 점수’와 달라요. 이 문항의 정답은 ‘날씨와 선박 사정’입니다. 독도로 가는 배가 있어도 날씨나 선박 사정에 따라 섬에 내리지 못할 수 있어요. 방문 전에는 최신 안내를 확인해야 해요.</ns0:t>
        </ns0:is>
      </ns0:c>
      <ns0:c r="M222" s="6" t="inlineStr">
        <ns0:is>
          <ns0:t>고른 보기 ‘방문객의 별명 길이’와 달라요. 이 문항의 정답은 ‘날씨와 선박 사정’입니다. 독도로 가는 배가 있어도 날씨나 선박 사정에 따라 섬에 내리지 못할 수 있어요. 방문 전에는 최신 안내를 확인해야 해요.</ns0:t>
        </ns0:is>
      </ns0:c>
      <ns0:c r="N222" s="6" t="inlineStr"/>
      <ns0:c r="O222" s="6" t="inlineStr">
        <ns0:is>
          <ns0:t>https://dokdo.mofa.go.kr/kor/introduce/residence.jsp</ns0:t>
        </ns0:is>
      </ns0:c>
      <ns0:c r="P222" s="3">
        <ns0:f>LEN(E222)+MAX(LEN(F222),LEN(G222),LEN(H222))</ns0:f>
        <ns0:v>34</ns0:v>
      </ns0:c>
      <ns0:c r="Q222" s="7" t="inlineStr">
        <ns0:is>
          <ns0:t>출처 기반 자체 검토 / 독립 승인 전</ns0:t>
        </ns0:is>
      </ns0:c>
    </ns0:row>
    <ns0:row r="223" ht="98" customHeight="1">
      <ns0:c r="A223" s="4" t="n">
        <ns0:v>910222</ns0:v>
      </ns0:c>
      <ns0:c r="B223" s="4" t="n">
        <ns0:v>12</ns0:v>
      </ns0:c>
      <ns0:c r="C223" s="4" t="inlineStr">
        <ns0:is>
          <ns0:t>dk-weather-access</ns0:t>
        </ns0:is>
      </ns0:c>
      <ns0:c r="D223" s="4" t="n">
        <ns0:v>2</ns0:v>
      </ns0:c>
      <ns0:c r="E223" s="8" t="inlineStr">
        <ns0:is>
          <ns0:t>배를 예약했어도 다시 확인할 것은?</ns0:t>
        </ns0:is>
      </ns0:c>
      <ns0:c r="F223" s="8" t="inlineStr">
        <ns0:is>
          <ns0:t>서도 이름의 글자 수</ns0:t>
        </ns0:is>
      </ns0:c>
      <ns0:c r="G223" s="8" t="inlineStr">
        <ns0:is>
          <ns0:t>옛 칙령의 종이 색</ns0:t>
        </ns0:is>
      </ns0:c>
      <ns0:c r="H223" s="8" t="inlineStr">
        <ns0:is>
          <ns0:t>기상과 당일 입도 안내</ns0:t>
        </ns0:is>
      </ns0:c>
      <ns0:c r="I223" s="8" t="n">
        <ns0:v>3</ns0:v>
      </ns0:c>
      <ns0:c r="J223" s="8" t="inlineStr">
        <ns0:is>
          <ns0:t>독도로 가는 배가 있어도 날씨나 선박 사정에 따라 섬에 내리지 못할 수 있어요. 방문 전에는 최신 안내를 확인해야 해요.</ns0:t>
        </ns0:is>
      </ns0:c>
      <ns0:c r="K223" s="8" t="inlineStr">
        <ns0:is>
          <ns0:t>고른 보기 ‘서도 이름의 글자 수’와 달라요. 이 문항의 정답은 ‘기상과 당일 입도 안내’입니다. 독도로 가는 배가 있어도 날씨나 선박 사정에 따라 섬에 내리지 못할 수 있어요. 방문 전에는 최신 안내를 확인해야 해요.</ns0:t>
        </ns0:is>
      </ns0:c>
      <ns0:c r="L223" s="8" t="inlineStr">
        <ns0:is>
          <ns0:t>고른 보기 ‘옛 칙령의 종이 색’와 달라요. 이 문항의 정답은 ‘기상과 당일 입도 안내’입니다. 독도로 가는 배가 있어도 날씨나 선박 사정에 따라 섬에 내리지 못할 수 있어요. 방문 전에는 최신 안내를 확인해야 해요.</ns0:t>
        </ns0:is>
      </ns0:c>
      <ns0:c r="M223" s="8" t="inlineStr">
        <ns0:is>
          <ns0:t>독도로 가는 배가 있어도 날씨나 선박 사정에 따라 섬에 내리지 못할 수 있어요. 방문 전에는 최신 안내를 확인해야 해요.</ns0:t>
        </ns0:is>
      </ns0:c>
      <ns0:c r="N223" s="8" t="inlineStr"/>
      <ns0:c r="O223" s="8" t="inlineStr">
        <ns0:is>
          <ns0:t>https://dokdo.mofa.go.kr/kor/introduce/residence.jsp</ns0:t>
        </ns0:is>
      </ns0:c>
      <ns0:c r="P223" s="5">
        <ns0:f>LEN(E223)+MAX(LEN(F223),LEN(G223),LEN(H223))</ns0:f>
        <ns0:v>31</ns0:v>
      </ns0:c>
      <ns0:c r="Q223" s="9" t="inlineStr">
        <ns0:is>
          <ns0:t>출처 기반 자체 검토 / 독립 승인 전</ns0:t>
        </ns0:is>
      </ns0:c>
    </ns0:row>
    <ns0:row r="224" ht="98" customHeight="1">
      <ns0:c r="A224" s="2" t="n">
        <ns0:v>910223</ns0:v>
      </ns0:c>
      <ns0:c r="B224" s="2" t="n">
        <ns0:v>12</ns0:v>
      </ns0:c>
      <ns0:c r="C224" s="2" t="inlineStr">
        <ns0:is>
          <ns0:t>dk-weather-access</ns0:t>
        </ns0:is>
      </ns0:c>
      <ns0:c r="D224" s="2" t="n">
        <ns0:v>3</ns0:v>
      </ns0:c>
      <ns0:c r="E224" s="6" t="inlineStr">
        <ns0:is>
          <ns0:t>자료가 입도 제한 이유로 명시한 것은?</ns0:t>
        </ns0:is>
      </ns0:c>
      <ns0:c r="F224" s="6" t="inlineStr">
        <ns0:is>
          <ns0:t>철새 이름의 개수</ns0:t>
        </ns0:is>
      </ns0:c>
      <ns0:c r="G224" s="6" t="inlineStr">
        <ns0:is>
          <ns0:t>기상 또는 선박 사정</ns0:t>
        </ns0:is>
      </ns0:c>
      <ns0:c r="H224" s="6" t="inlineStr">
        <ns0:is>
          <ns0:t>독도 높이의 매일 변경</ns0:t>
        </ns0:is>
      </ns0:c>
      <ns0:c r="I224" s="6" t="n">
        <ns0:v>2</ns0:v>
      </ns0:c>
      <ns0:c r="J224" s="6" t="inlineStr">
        <ns0:is>
          <ns0:t>독도로 가는 배가 있어도 날씨나 선박 사정에 따라 섬에 내리지 못할 수 있어요. 방문 전에는 최신 안내를 확인해야 해요.</ns0:t>
        </ns0:is>
      </ns0:c>
      <ns0:c r="K224" s="6" t="inlineStr">
        <ns0:is>
          <ns0:t>고른 보기 ‘철새 이름의 개수’와 달라요. 이 문항의 정답은 ‘기상 또는 선박 사정’입니다. 독도로 가는 배가 있어도 날씨나 선박 사정에 따라 섬에 내리지 못할 수 있어요. 방문 전에는 최신 안내를 확인해야 해요.</ns0:t>
        </ns0:is>
      </ns0:c>
      <ns0:c r="L224" s="6" t="inlineStr">
        <ns0:is>
          <ns0:t>독도로 가는 배가 있어도 날씨나 선박 사정에 따라 섬에 내리지 못할 수 있어요. 방문 전에는 최신 안내를 확인해야 해요.</ns0:t>
        </ns0:is>
      </ns0:c>
      <ns0:c r="M224" s="6" t="inlineStr">
        <ns0:is>
          <ns0:t>고른 보기 ‘독도 높이의 매일 변경’와 달라요. 이 문항의 정답은 ‘기상 또는 선박 사정’입니다. 독도로 가는 배가 있어도 날씨나 선박 사정에 따라 섬에 내리지 못할 수 있어요. 방문 전에는 최신 안내를 확인해야 해요.</ns0:t>
        </ns0:is>
      </ns0:c>
      <ns0:c r="N224" s="6" t="inlineStr">
        <ns0:is>
          <ns0:t>외교부 입도 안내는 기상이나 선박 사정에 따라 입도가 제한될 수 있다고 밝힙니다. 이 자료는 2026-09-11 확인했으며 실제 일정과 허가는 운영기관의 최신 안내를 따라야 합니다.</ns0:t>
        </ns0:is>
      </ns0:c>
      <ns0:c r="O224" s="6" t="inlineStr">
        <ns0:is>
          <ns0:t>https://dokdo.mofa.go.kr/kor/introduce/residence.jsp</ns0:t>
        </ns0:is>
      </ns0:c>
      <ns0:c r="P224" s="3">
        <ns0:f>LEN(E224)+MAX(LEN(F224),LEN(G224),LEN(H224))</ns0:f>
        <ns0:v>33</ns0:v>
      </ns0:c>
      <ns0:c r="Q224" s="7" t="inlineStr">
        <ns0:is>
          <ns0:t>출처 기반 자체 검토 / 독립 승인 전</ns0:t>
        </ns0:is>
      </ns0:c>
    </ns0:row>
    <ns0:row r="225" ht="98" customHeight="1">
      <ns0:c r="A225" s="4" t="n">
        <ns0:v>910224</ns0:v>
      </ns0:c>
      <ns0:c r="B225" s="4" t="n">
        <ns0:v>12</ns0:v>
      </ns0:c>
      <ns0:c r="C225" s="4" t="inlineStr">
        <ns0:is>
          <ns0:t>dk-weather-access</ns0:t>
        </ns0:is>
      </ns0:c>
      <ns0:c r="D225" s="4" t="n">
        <ns0:v>4</ns0:v>
      </ns0:c>
      <ns0:c r="E225" s="8" t="inlineStr">
        <ns0:is>
          <ns0:t>과거 방문 사진이 내일 입도를 보장할까요?</ns0:t>
        </ns0:is>
      </ns0:c>
      <ns0:c r="F225" s="8" t="inlineStr">
        <ns0:is>
          <ns0:t>현재 기상·운항·허가를 따로 확인해야 한다</ns0:t>
        </ns0:is>
      </ns0:c>
      <ns0:c r="G225" s="8" t="inlineStr">
        <ns0:is>
          <ns0:t>사진에 사람이 있으면 언제든 내릴 수 있다</ns0:t>
        </ns0:is>
      </ns0:c>
      <ns0:c r="H225" s="8" t="inlineStr">
        <ns0:is>
          <ns0:t>지난 방문이 있으면 제한 안내는 무효다</ns0:t>
        </ns0:is>
      </ns0:c>
      <ns0:c r="I225" s="8" t="n">
        <ns0:v>1</ns0:v>
      </ns0:c>
      <ns0:c r="J225" s="8" t="inlineStr">
        <ns0:is>
          <ns0:t>독도로 가는 배가 있어도 날씨나 선박 사정에 따라 섬에 내리지 못할 수 있어요. 방문 전에는 최신 안내를 확인해야 해요.</ns0:t>
        </ns0:is>
      </ns0:c>
      <ns0:c r="K225" s="8" t="inlineStr">
        <ns0:is>
          <ns0:t>독도로 가는 배가 있어도 날씨나 선박 사정에 따라 섬에 내리지 못할 수 있어요. 방문 전에는 최신 안내를 확인해야 해요.</ns0:t>
        </ns0:is>
      </ns0:c>
      <ns0:c r="L225" s="8" t="inlineStr">
        <ns0:is>
          <ns0:t>고른 보기 ‘사진에 사람이 있으면 언제든 내릴 수 있다’와 달라요. 이 문항의 정답은 ‘현재 기상·운항·허가를 따로 확인해야 한다’입니다. 독도로 가는 배가 있어도 날씨나 선박 사정에 따라 섬에 내리지 못할 수 있어요. 방문 전에는 최신 안내를 확인해야 해요.</ns0:t>
        </ns0:is>
      </ns0:c>
      <ns0:c r="M225" s="8" t="inlineStr">
        <ns0:is>
          <ns0:t>고른 보기 ‘지난 방문이 있으면 제한 안내는 무효다’와 달라요. 이 문항의 정답은 ‘현재 기상·운항·허가를 따로 확인해야 한다’입니다. 독도로 가는 배가 있어도 날씨나 선박 사정에 따라 섬에 내리지 못할 수 있어요. 방문 전에는 최신 안내를 확인해야 해요.</ns0:t>
        </ns0:is>
      </ns0:c>
      <ns0:c r="N225" s="8" t="inlineStr">
        <ns0:is>
          <ns0:t>외교부 입도 안내는 기상이나 선박 사정에 따라 입도가 제한될 수 있다고 밝힙니다. 이 자료는 2026-09-11 확인했으며 실제 일정과 허가는 운영기관의 최신 안내를 따라야 합니다.</ns0:t>
        </ns0:is>
      </ns0:c>
      <ns0:c r="O225" s="8" t="inlineStr">
        <ns0:is>
          <ns0:t>https://dokdo.mofa.go.kr/kor/introduce/residence.jsp</ns0:t>
        </ns0:is>
      </ns0:c>
      <ns0:c r="P225" s="5">
        <ns0:f>LEN(E225)+MAX(LEN(F225),LEN(G225),LEN(H225))</ns0:f>
        <ns0:v>46</ns0:v>
      </ns0:c>
      <ns0:c r="Q225" s="9" t="inlineStr">
        <ns0:is>
          <ns0:t>출처 기반 자체 검토 / 독립 승인 전</ns0:t>
        </ns0:is>
      </ns0:c>
    </ns0:row>
    <ns0:row r="226" ht="98" customHeight="1">
      <ns0:c r="A226" s="2" t="n">
        <ns0:v>910225</ns0:v>
      </ns0:c>
      <ns0:c r="B226" s="2" t="n">
        <ns0:v>12</ns0:v>
      </ns0:c>
      <ns0:c r="C226" s="2" t="inlineStr">
        <ns0:is>
          <ns0:t>dk-maritime-climate</ns0:t>
        </ns0:is>
      </ns0:c>
      <ns0:c r="D226" s="2" t="n">
        <ns0:v>1</ns0:v>
      </ns0:c>
      <ns0:c r="E226" s="6" t="inlineStr">
        <ns0:is>
          <ns0:t>독도 기후에 큰 영향을 주는 주변 환경은?</ns0:t>
        </ns0:is>
      </ns0:c>
      <ns0:c r="F226" s="6" t="inlineStr">
        <ns0:is>
          <ns0:t>내륙 사막</ns0:t>
        </ns0:is>
      </ns0:c>
      <ns0:c r="G226" s="6" t="inlineStr">
        <ns0:is>
          <ns0:t>큰 민물 호수</ns0:t>
        </ns0:is>
      </ns0:c>
      <ns0:c r="H226" s="6" t="inlineStr">
        <ns0:is>
          <ns0:t>바다</ns0:t>
        </ns0:is>
      </ns0:c>
      <ns0:c r="I226" s="6" t="n">
        <ns0:v>3</ns0:v>
      </ns0:c>
      <ns0:c r="J226" s="6" t="inlineStr">
        <ns0:is>
          <ns0:t>독도는 바다의 영향을 받는 해양성 기후예요. 안개와 구름도 자주 나타나 실제 보이는 모습은 날마다 다를 수 있어요.</ns0:t>
        </ns0:is>
      </ns0:c>
      <ns0:c r="K226" s="6" t="inlineStr">
        <ns0:is>
          <ns0:t>고른 보기 ‘내륙 사막’와 달라요. 이 문항의 정답은 ‘바다’입니다. 독도는 바다의 영향을 받는 해양성 기후예요. 안개와 구름도 자주 나타나 실제 보이는 모습은 날마다 다를 수 있어요.</ns0:t>
        </ns0:is>
      </ns0:c>
      <ns0:c r="L226" s="6" t="inlineStr">
        <ns0:is>
          <ns0:t>고른 보기 ‘큰 민물 호수’와 달라요. 이 문항의 정답은 ‘바다’입니다. 독도는 바다의 영향을 받는 해양성 기후예요. 안개와 구름도 자주 나타나 실제 보이는 모습은 날마다 다를 수 있어요.</ns0:t>
        </ns0:is>
      </ns0:c>
      <ns0:c r="M226" s="6" t="inlineStr">
        <ns0:is>
          <ns0:t>독도는 바다의 영향을 받는 해양성 기후예요. 안개와 구름도 자주 나타나 실제 보이는 모습은 날마다 다를 수 있어요.</ns0:t>
        </ns0:is>
      </ns0:c>
      <ns0:c r="N226" s="6" t="inlineStr"/>
      <ns0:c r="O226" s="6" t="inlineStr">
        <ns0:is>
          <ns0:t>https://dokdo.mofa.go.kr/kor/introduce/nature.jsp</ns0:t>
        </ns0:is>
      </ns0:c>
      <ns0:c r="P226" s="3">
        <ns0:f>LEN(E226)+MAX(LEN(F226),LEN(G226),LEN(H226))</ns0:f>
        <ns0:v>30</ns0:v>
      </ns0:c>
      <ns0:c r="Q226" s="7" t="inlineStr">
        <ns0:is>
          <ns0:t>출처 기반 자체 검토 / 독립 승인 전</ns0:t>
        </ns0:is>
      </ns0:c>
    </ns0:row>
    <ns0:row r="227" ht="98" customHeight="1">
      <ns0:c r="A227" s="4" t="n">
        <ns0:v>910226</ns0:v>
      </ns0:c>
      <ns0:c r="B227" s="4" t="n">
        <ns0:v>12</ns0:v>
      </ns0:c>
      <ns0:c r="C227" s="4" t="inlineStr">
        <ns0:is>
          <ns0:t>dk-maritime-climate</ns0:t>
        </ns0:is>
      </ns0:c>
      <ns0:c r="D227" s="4" t="n">
        <ns0:v>2</ns0:v>
      </ns0:c>
      <ns0:c r="E227" s="8" t="inlineStr">
        <ns0:is>
          <ns0:t>독도에서 안개가 끼면 달라질 수 있는 것은?</ns0:t>
        </ns0:is>
      </ns0:c>
      <ns0:c r="F227" s="8" t="inlineStr">
        <ns0:is>
          <ns0:t>칙령의 작성 연도</ns0:t>
        </ns0:is>
      </ns0:c>
      <ns0:c r="G227" s="8" t="inlineStr">
        <ns0:is>
          <ns0:t>섬이 보이는 정도</ns0:t>
        </ns0:is>
      </ns0:c>
      <ns0:c r="H227" s="8" t="inlineStr">
        <ns0:is>
          <ns0:t>동도라는 공식 이름</ns0:t>
        </ns0:is>
      </ns0:c>
      <ns0:c r="I227" s="8" t="n">
        <ns0:v>2</ns0:v>
      </ns0:c>
      <ns0:c r="J227" s="8" t="inlineStr">
        <ns0:is>
          <ns0:t>독도는 바다의 영향을 받는 해양성 기후예요. 안개와 구름도 자주 나타나 실제 보이는 모습은 날마다 다를 수 있어요.</ns0:t>
        </ns0:is>
      </ns0:c>
      <ns0:c r="K227" s="8" t="inlineStr">
        <ns0:is>
          <ns0:t>고른 보기 ‘칙령의 작성 연도’와 달라요. 이 문항의 정답은 ‘섬이 보이는 정도’입니다. 독도는 바다의 영향을 받는 해양성 기후예요. 안개와 구름도 자주 나타나 실제 보이는 모습은 날마다 다를 수 있어요.</ns0:t>
        </ns0:is>
      </ns0:c>
      <ns0:c r="L227" s="8" t="inlineStr">
        <ns0:is>
          <ns0:t>독도는 바다의 영향을 받는 해양성 기후예요. 안개와 구름도 자주 나타나 실제 보이는 모습은 날마다 다를 수 있어요.</ns0:t>
        </ns0:is>
      </ns0:c>
      <ns0:c r="M227" s="8" t="inlineStr">
        <ns0:is>
          <ns0:t>고른 보기 ‘동도라는 공식 이름’와 달라요. 이 문항의 정답은 ‘섬이 보이는 정도’입니다. 독도는 바다의 영향을 받는 해양성 기후예요. 안개와 구름도 자주 나타나 실제 보이는 모습은 날마다 다를 수 있어요.</ns0:t>
        </ns0:is>
      </ns0:c>
      <ns0:c r="N227" s="8" t="inlineStr"/>
      <ns0:c r="O227" s="8" t="inlineStr">
        <ns0:is>
          <ns0:t>https://dokdo.mofa.go.kr/kor/introduce/nature.jsp</ns0:t>
        </ns0:is>
      </ns0:c>
      <ns0:c r="P227" s="5">
        <ns0:f>LEN(E227)+MAX(LEN(F227),LEN(G227),LEN(H227))</ns0:f>
        <ns0:v>34</ns0:v>
      </ns0:c>
      <ns0:c r="Q227" s="9" t="inlineStr">
        <ns0:is>
          <ns0:t>출처 기반 자체 검토 / 독립 승인 전</ns0:t>
        </ns0:is>
      </ns0:c>
    </ns0:row>
    <ns0:row r="228" ht="98" customHeight="1">
      <ns0:c r="A228" s="2" t="n">
        <ns0:v>910227</ns0:v>
      </ns0:c>
      <ns0:c r="B228" s="2" t="n">
        <ns0:v>12</ns0:v>
      </ns0:c>
      <ns0:c r="C228" s="2" t="inlineStr">
        <ns0:is>
          <ns0:t>dk-maritime-climate</ns0:t>
        </ns0:is>
      </ns0:c>
      <ns0:c r="D228" s="2" t="n">
        <ns0:v>3</ns0:v>
      </ns0:c>
      <ns0:c r="E228" s="6" t="inlineStr">
        <ns0:is>
          <ns0:t>자료의 기후 설명과 오늘 날씨의 관계는?</ns0:t>
        </ns0:is>
      </ns0:c>
      <ns0:c r="F228" s="6" t="inlineStr">
        <ns0:is>
          <ns0:t>장기 경향과 오늘 관측은 구분한다</ns0:t>
        </ns0:is>
      </ns0:c>
      <ns0:c r="G228" s="6" t="inlineStr">
        <ns0:is>
          <ns0:t>해양성 기후면 매일 같은 날씨다</ns0:t>
        </ns0:is>
      </ns0:c>
      <ns0:c r="H228" s="6" t="inlineStr">
        <ns0:is>
          <ns0:t>안개가 잦으면 맑은 날은 불가능하다</ns0:t>
        </ns0:is>
      </ns0:c>
      <ns0:c r="I228" s="6" t="n">
        <ns0:v>1</ns0:v>
      </ns0:c>
      <ns0:c r="J228" s="6" t="inlineStr">
        <ns0:is>
          <ns0:t>독도는 바다의 영향을 받는 해양성 기후예요. 안개와 구름도 자주 나타나 실제 보이는 모습은 날마다 다를 수 있어요.</ns0:t>
        </ns0:is>
      </ns0:c>
      <ns0:c r="K228" s="6" t="inlineStr">
        <ns0:is>
          <ns0:t>독도는 바다의 영향을 받는 해양성 기후예요. 안개와 구름도 자주 나타나 실제 보이는 모습은 날마다 다를 수 있어요.</ns0:t>
        </ns0:is>
      </ns0:c>
      <ns0:c r="L228" s="6" t="inlineStr">
        <ns0:is>
          <ns0:t>고른 보기 ‘해양성 기후면 매일 같은 날씨다’와 달라요. 이 문항의 정답은 ‘장기 경향과 오늘 관측은 구분한다’입니다. 독도는 바다의 영향을 받는 해양성 기후예요. 안개와 구름도 자주 나타나 실제 보이는 모습은 날마다 다를 수 있어요.</ns0:t>
        </ns0:is>
      </ns0:c>
      <ns0:c r="M228" s="6" t="inlineStr">
        <ns0:is>
          <ns0:t>고른 보기 ‘안개가 잦으면 맑은 날은 불가능하다’와 달라요. 이 문항의 정답은 ‘장기 경향과 오늘 관측은 구분한다’입니다. 독도는 바다의 영향을 받는 해양성 기후예요. 안개와 구름도 자주 나타나 실제 보이는 모습은 날마다 다를 수 있어요.</ns0:t>
        </ns0:is>
      </ns0:c>
      <ns0:c r="N228" s="6" t="inlineStr">
        <ns0:is>
          <ns0:t>외교부 자연환경 설명은 독도의 해양성 기후와 잦은 안개·흐린 날을 소개합니다. 기후는 오랜 기간의 경향이고, 오늘의 날씨는 별도 관측 정보입니다.</ns0:t>
        </ns0:is>
      </ns0:c>
      <ns0:c r="O228" s="6" t="inlineStr">
        <ns0:is>
          <ns0:t>https://dokdo.mofa.go.kr/kor/introduce/nature.jsp</ns0:t>
        </ns0:is>
      </ns0:c>
      <ns0:c r="P228" s="3">
        <ns0:f>LEN(E228)+MAX(LEN(F228),LEN(G228),LEN(H228))</ns0:f>
        <ns0:v>41</ns0:v>
      </ns0:c>
      <ns0:c r="Q228" s="7" t="inlineStr">
        <ns0:is>
          <ns0:t>출처 기반 자체 검토 / 독립 승인 전</ns0:t>
        </ns0:is>
      </ns0:c>
    </ns0:row>
    <ns0:row r="229" ht="98" customHeight="1">
      <ns0:c r="A229" s="4" t="n">
        <ns0:v>910228</ns0:v>
      </ns0:c>
      <ns0:c r="B229" s="4" t="n">
        <ns0:v>12</ns0:v>
      </ns0:c>
      <ns0:c r="C229" s="4" t="inlineStr">
        <ns0:is>
          <ns0:t>dk-maritime-climate</ns0:t>
        </ns0:is>
      </ns0:c>
      <ns0:c r="D229" s="4" t="n">
        <ns0:v>4</ns0:v>
      </ns0:c>
      <ns0:c r="E229" s="8" t="inlineStr">
        <ns0:is>
          <ns0:t>맑은 사진 한 장으로 독도는 늘 맑다고 한다면?</ns0:t>
        </ns0:is>
      </ns0:c>
      <ns0:c r="F229" s="8" t="inlineStr">
        <ns0:is>
          <ns0:t>독도 사진은 항상 연평균을 보여준다</ns0:t>
        </ns0:is>
      </ns0:c>
      <ns0:c r="G229" s="8" t="inlineStr">
        <ns0:is>
          <ns0:t>기후 설명이 있으면 관측은 필요 없다</ns0:t>
        </ns0:is>
      </ns0:c>
      <ns0:c r="H229" s="8" t="inlineStr">
        <ns0:is>
          <ns0:t>한 시점 사진과 장기 기후를 혼동했다</ns0:t>
        </ns0:is>
      </ns0:c>
      <ns0:c r="I229" s="8" t="n">
        <ns0:v>3</ns0:v>
      </ns0:c>
      <ns0:c r="J229" s="8" t="inlineStr">
        <ns0:is>
          <ns0:t>독도는 바다의 영향을 받는 해양성 기후예요. 안개와 구름도 자주 나타나 실제 보이는 모습은 날마다 다를 수 있어요.</ns0:t>
        </ns0:is>
      </ns0:c>
      <ns0:c r="K229" s="8" t="inlineStr">
        <ns0:is>
          <ns0:t>고른 보기 ‘독도 사진은 항상 연평균을 보여준다’와 달라요. 이 문항의 정답은 ‘한 시점 사진과 장기 기후를 혼동했다’입니다. 독도는 바다의 영향을 받는 해양성 기후예요. 안개와 구름도 자주 나타나 실제 보이는 모습은 날마다 다를 수 있어요.</ns0:t>
        </ns0:is>
      </ns0:c>
      <ns0:c r="L229" s="8" t="inlineStr">
        <ns0:is>
          <ns0:t>고른 보기 ‘기후 설명이 있으면 관측은 필요 없다’와 달라요. 이 문항의 정답은 ‘한 시점 사진과 장기 기후를 혼동했다’입니다. 독도는 바다의 영향을 받는 해양성 기후예요. 안개와 구름도 자주 나타나 실제 보이는 모습은 날마다 다를 수 있어요.</ns0:t>
        </ns0:is>
      </ns0:c>
      <ns0:c r="M229" s="8" t="inlineStr">
        <ns0:is>
          <ns0:t>독도는 바다의 영향을 받는 해양성 기후예요. 안개와 구름도 자주 나타나 실제 보이는 모습은 날마다 다를 수 있어요.</ns0:t>
        </ns0:is>
      </ns0:c>
      <ns0:c r="N229" s="8" t="inlineStr">
        <ns0:is>
          <ns0:t>외교부 자연환경 설명은 독도의 해양성 기후와 잦은 안개·흐린 날을 소개합니다. 기후는 오랜 기간의 경향이고, 오늘의 날씨는 별도 관측 정보입니다.</ns0:t>
        </ns0:is>
      </ns0:c>
      <ns0:c r="O229" s="8" t="inlineStr">
        <ns0:is>
          <ns0:t>https://dokdo.mofa.go.kr/kor/introduce/nature.jsp</ns0:t>
        </ns0:is>
      </ns0:c>
      <ns0:c r="P229" s="5">
        <ns0:f>LEN(E229)+MAX(LEN(F229),LEN(G229),LEN(H229))</ns0:f>
        <ns0:v>46</ns0:v>
      </ns0:c>
      <ns0:c r="Q229" s="9" t="inlineStr">
        <ns0:is>
          <ns0:t>출처 기반 자체 검토 / 독립 승인 전</ns0:t>
        </ns0:is>
      </ns0:c>
    </ns0:row>
    <ns0:row r="230" ht="98" customHeight="1">
      <ns0:c r="A230" s="2" t="n">
        <ns0:v>910229</ns0:v>
      </ns0:c>
      <ns0:c r="B230" s="2" t="n">
        <ns0:v>12</ns0:v>
      </ns0:c>
      <ns0:c r="C230" s="2" t="inlineStr">
        <ns0:is>
          <ns0:t>dk-admin-address</ns0:t>
        </ns0:is>
      </ns0:c>
      <ns0:c r="D230" s="2" t="n">
        <ns0:v>1</ns0:v>
      </ns0:c>
      <ns0:c r="E230" s="6" t="inlineStr">
        <ns0:is>
          <ns0:t>독도가 속한 군은?</ns0:t>
        </ns0:is>
      </ns0:c>
      <ns0:c r="F230" s="6" t="inlineStr">
        <ns0:is>
          <ns0:t>울주군</ns0:t>
        </ns0:is>
      </ns0:c>
      <ns0:c r="G230" s="6" t="inlineStr">
        <ns0:is>
          <ns0:t>울릉군</ns0:t>
        </ns0:is>
      </ns0:c>
      <ns0:c r="H230" s="6" t="inlineStr">
        <ns0:is>
          <ns0:t>울진군</ns0:t>
        </ns0:is>
      </ns0:c>
      <ns0:c r="I230" s="6" t="n">
        <ns0:v>2</ns0:v>
      </ns0:c>
      <ns0:c r="J230" s="6" t="inlineStr">
        <ns0:is>
          <ns0:t>독도의 주소는 경상북도 울릉군 울릉읍에 속해요. 동도와 서도에는 서로 다른 도로명 주소가 있어요.</ns0:t>
        </ns0:is>
      </ns0:c>
      <ns0:c r="K230" s="6" t="inlineStr">
        <ns0:is>
          <ns0:t>고른 보기 ‘울주군’와 달라요. 이 문항의 정답은 ‘울릉군’입니다. 독도의 주소는 경상북도 울릉군 울릉읍에 속해요. 동도와 서도에는 서로 다른 도로명 주소가 있어요.</ns0:t>
        </ns0:is>
      </ns0:c>
      <ns0:c r="L230" s="6" t="inlineStr">
        <ns0:is>
          <ns0:t>독도의 주소는 경상북도 울릉군 울릉읍에 속해요. 동도와 서도에는 서로 다른 도로명 주소가 있어요.</ns0:t>
        </ns0:is>
      </ns0:c>
      <ns0:c r="M230" s="6" t="inlineStr">
        <ns0:is>
          <ns0:t>고른 보기 ‘울진군’와 달라요. 이 문항의 정답은 ‘울릉군’입니다. 독도의 주소는 경상북도 울릉군 울릉읍에 속해요. 동도와 서도에는 서로 다른 도로명 주소가 있어요.</ns0:t>
        </ns0:is>
      </ns0:c>
      <ns0:c r="N230" s="6" t="inlineStr"/>
      <ns0:c r="O230" s="6" t="inlineStr">
        <ns0:is>
          <ns0:t>https://www.mof.go.kr/doc/ko/selectDoc.do?bbsSeq=27&amp;docSeq=20937&amp;menuSeq=929</ns0:t>
        </ns0:is>
      </ns0:c>
      <ns0:c r="P230" s="3">
        <ns0:f>LEN(E230)+MAX(LEN(F230),LEN(G230),LEN(H230))</ns0:f>
        <ns0:v>13</ns0:v>
      </ns0:c>
      <ns0:c r="Q230" s="7" t="inlineStr">
        <ns0:is>
          <ns0:t>출처 기반 자체 검토 / 독립 승인 전</ns0:t>
        </ns0:is>
      </ns0:c>
    </ns0:row>
    <ns0:row r="231" ht="98" customHeight="1">
      <ns0:c r="A231" s="4" t="n">
        <ns0:v>910230</ns0:v>
      </ns0:c>
      <ns0:c r="B231" s="4" t="n">
        <ns0:v>12</ns0:v>
      </ns0:c>
      <ns0:c r="C231" s="4" t="inlineStr">
        <ns0:is>
          <ns0:t>dk-admin-address</ns0:t>
        </ns0:is>
      </ns0:c>
      <ns0:c r="D231" s="4" t="n">
        <ns0:v>2</ns0:v>
      </ns0:c>
      <ns0:c r="E231" s="8" t="inlineStr">
        <ns0:is>
          <ns0:t>독도안용복길과 연결되는 시설은?</ns0:t>
        </ns0:is>
      </ns0:c>
      <ns0:c r="F231" s="8" t="inlineStr">
        <ns0:is>
          <ns0:t>서도 주민숙소</ns0:t>
        </ns0:is>
      </ns0:c>
      <ns0:c r="G231" s="8" t="inlineStr">
        <ns0:is>
          <ns0:t>동도 등대</ns0:t>
        </ns0:is>
      </ns0:c>
      <ns0:c r="H231" s="8" t="inlineStr">
        <ns0:is>
          <ns0:t>동도 경비대</ns0:t>
        </ns0:is>
      </ns0:c>
      <ns0:c r="I231" s="8" t="n">
        <ns0:v>1</ns0:v>
      </ns0:c>
      <ns0:c r="J231" s="8" t="inlineStr">
        <ns0:is>
          <ns0:t>독도의 주소는 경상북도 울릉군 울릉읍에 속해요. 동도와 서도에는 서로 다른 도로명 주소가 있어요.</ns0:t>
        </ns0:is>
      </ns0:c>
      <ns0:c r="K231" s="8" t="inlineStr">
        <ns0:is>
          <ns0:t>독도의 주소는 경상북도 울릉군 울릉읍에 속해요. 동도와 서도에는 서로 다른 도로명 주소가 있어요.</ns0:t>
        </ns0:is>
      </ns0:c>
      <ns0:c r="L231" s="8" t="inlineStr">
        <ns0:is>
          <ns0:t>고른 보기 ‘동도 등대’와 달라요. 이 문항의 정답은 ‘서도 주민숙소’입니다. 독도의 주소는 경상북도 울릉군 울릉읍에 속해요. 동도와 서도에는 서로 다른 도로명 주소가 있어요.</ns0:t>
        </ns0:is>
      </ns0:c>
      <ns0:c r="M231" s="8" t="inlineStr">
        <ns0:is>
          <ns0:t>고른 보기 ‘동도 경비대’와 달라요. 이 문항의 정답은 ‘서도 주민숙소’입니다. 독도의 주소는 경상북도 울릉군 울릉읍에 속해요. 동도와 서도에는 서로 다른 도로명 주소가 있어요.</ns0:t>
        </ns0:is>
      </ns0:c>
      <ns0:c r="N231" s="8" t="inlineStr"/>
      <ns0:c r="O231" s="8" t="inlineStr">
        <ns0:is>
          <ns0:t>https://www.mof.go.kr/doc/ko/selectDoc.do?bbsSeq=27&amp;docSeq=20937&amp;menuSeq=929</ns0:t>
        </ns0:is>
      </ns0:c>
      <ns0:c r="P231" s="5">
        <ns0:f>LEN(E231)+MAX(LEN(F231),LEN(G231),LEN(H231))</ns0:f>
        <ns0:v>24</ns0:v>
      </ns0:c>
      <ns0:c r="Q231" s="9" t="inlineStr">
        <ns0:is>
          <ns0:t>출처 기반 자체 검토 / 독립 승인 전</ns0:t>
        </ns0:is>
      </ns0:c>
    </ns0:row>
    <ns0:row r="232" ht="98" customHeight="1">
      <ns0:c r="A232" s="2" t="n">
        <ns0:v>910231</ns0:v>
      </ns0:c>
      <ns0:c r="B232" s="2" t="n">
        <ns0:v>12</ns0:v>
      </ns0:c>
      <ns0:c r="C232" s="2" t="inlineStr">
        <ns0:is>
          <ns0:t>dk-admin-address</ns0:t>
        </ns0:is>
      </ns0:c>
      <ns0:c r="D232" s="2" t="n">
        <ns0:v>3</ns0:v>
      </ns0:c>
      <ns0:c r="E232" s="6" t="inlineStr">
        <ns0:is>
          <ns0:t>주소 자료에서 동도의 두 시설은?</ns0:t>
        </ns0:is>
      </ns0:c>
      <ns0:c r="F232" s="6" t="inlineStr">
        <ns0:is>
          <ns0:t>주민숙소와 물골</ns0:t>
        </ns0:is>
      </ns0:c>
      <ns0:c r="G232" s="6" t="inlineStr">
        <ns0:is>
          <ns0:t>울릉도 항구와 서도 정상</ns0:t>
        </ns0:is>
      </ns0:c>
      <ns0:c r="H232" s="6" t="inlineStr">
        <ns0:is>
          <ns0:t>경비대와 등대</ns0:t>
        </ns0:is>
      </ns0:c>
      <ns0:c r="I232" s="6" t="n">
        <ns0:v>3</ns0:v>
      </ns0:c>
      <ns0:c r="J232" s="6" t="inlineStr">
        <ns0:is>
          <ns0:t>독도의 주소는 경상북도 울릉군 울릉읍에 속해요. 동도와 서도에는 서로 다른 도로명 주소가 있어요.</ns0:t>
        </ns0:is>
      </ns0:c>
      <ns0:c r="K232" s="6" t="inlineStr">
        <ns0:is>
          <ns0:t>고른 보기 ‘주민숙소와 물골’와 달라요. 이 문항의 정답은 ‘경비대와 등대’입니다. 독도의 주소는 경상북도 울릉군 울릉읍에 속해요. 동도와 서도에는 서로 다른 도로명 주소가 있어요.</ns0:t>
        </ns0:is>
      </ns0:c>
      <ns0:c r="L232" s="6" t="inlineStr">
        <ns0:is>
          <ns0:t>고른 보기 ‘울릉도 항구와 서도 정상’와 달라요. 이 문항의 정답은 ‘경비대와 등대’입니다. 독도의 주소는 경상북도 울릉군 울릉읍에 속해요. 동도와 서도에는 서로 다른 도로명 주소가 있어요.</ns0:t>
        </ns0:is>
      </ns0:c>
      <ns0:c r="M232" s="6" t="inlineStr">
        <ns0:is>
          <ns0:t>독도의 주소는 경상북도 울릉군 울릉읍에 속해요. 동도와 서도에는 서로 다른 도로명 주소가 있어요.</ns0:t>
        </ns0:is>
      </ns0:c>
      <ns0:c r="N232" s="6" t="inlineStr">
        <ns0:is>
          <ns0:t>해양수산부 주소 자료: 동도 경비대는 독도이사부길 55, 동도 등대는 독도이사부길 63, 서도 주민숙소는 독도안용복길 3입니다.</ns0:t>
        </ns0:is>
      </ns0:c>
      <ns0:c r="O232" s="6" t="inlineStr">
        <ns0:is>
          <ns0:t>https://www.mof.go.kr/doc/ko/selectDoc.do?bbsSeq=27&amp;docSeq=20937&amp;menuSeq=929</ns0:t>
        </ns0:is>
      </ns0:c>
      <ns0:c r="P232" s="3">
        <ns0:f>LEN(E232)+MAX(LEN(F232),LEN(G232),LEN(H232))</ns0:f>
        <ns0:v>31</ns0:v>
      </ns0:c>
      <ns0:c r="Q232" s="7" t="inlineStr">
        <ns0:is>
          <ns0:t>출처 기반 자체 검토 / 독립 승인 전</ns0:t>
        </ns0:is>
      </ns0:c>
    </ns0:row>
    <ns0:row r="233" ht="98" customHeight="1">
      <ns0:c r="A233" s="4" t="n">
        <ns0:v>910232</ns0:v>
      </ns0:c>
      <ns0:c r="B233" s="4" t="n">
        <ns0:v>12</ns0:v>
      </ns0:c>
      <ns0:c r="C233" s="4" t="inlineStr">
        <ns0:is>
          <ns0:t>dk-admin-address</ns0:t>
        </ns0:is>
      </ns0:c>
      <ns0:c r="D233" s="4" t="n">
        <ns0:v>4</ns0:v>
      </ns0:c>
      <ns0:c r="E233" s="8" t="inlineStr">
        <ns0:is>
          <ns0:t>등대 번지 63을 북위 63도로 읽으면?</ns0:t>
        </ns0:is>
      </ns0:c>
      <ns0:c r="F233" s="8" t="inlineStr">
        <ns0:is>
          <ns0:t>주소에는 시설 정보가 전혀 없다</ns0:t>
        </ns0:is>
      </ns0:c>
      <ns0:c r="G233" s="8" t="inlineStr">
        <ns0:is>
          <ns0:t>주소 번호와 지리 좌표를 혼동한다</ns0:t>
        </ns0:is>
      </ns0:c>
      <ns0:c r="H233" s="8" t="inlineStr">
        <ns0:is>
          <ns0:t>번지는 항상 위도와 같다</ns0:t>
        </ns0:is>
      </ns0:c>
      <ns0:c r="I233" s="8" t="n">
        <ns0:v>2</ns0:v>
      </ns0:c>
      <ns0:c r="J233" s="8" t="inlineStr">
        <ns0:is>
          <ns0:t>독도의 주소는 경상북도 울릉군 울릉읍에 속해요. 동도와 서도에는 서로 다른 도로명 주소가 있어요.</ns0:t>
        </ns0:is>
      </ns0:c>
      <ns0:c r="K233" s="8" t="inlineStr">
        <ns0:is>
          <ns0:t>고른 보기 ‘주소에는 시설 정보가 전혀 없다’와 달라요. 이 문항의 정답은 ‘주소 번호와 지리 좌표를 혼동한다’입니다. 독도의 주소는 경상북도 울릉군 울릉읍에 속해요. 동도와 서도에는 서로 다른 도로명 주소가 있어요.</ns0:t>
        </ns0:is>
      </ns0:c>
      <ns0:c r="L233" s="8" t="inlineStr">
        <ns0:is>
          <ns0:t>독도의 주소는 경상북도 울릉군 울릉읍에 속해요. 동도와 서도에는 서로 다른 도로명 주소가 있어요.</ns0:t>
        </ns0:is>
      </ns0:c>
      <ns0:c r="M233" s="8" t="inlineStr">
        <ns0:is>
          <ns0:t>고른 보기 ‘번지는 항상 위도와 같다’와 달라요. 이 문항의 정답은 ‘주소 번호와 지리 좌표를 혼동한다’입니다. 독도의 주소는 경상북도 울릉군 울릉읍에 속해요. 동도와 서도에는 서로 다른 도로명 주소가 있어요.</ns0:t>
        </ns0:is>
      </ns0:c>
      <ns0:c r="N233" s="8" t="inlineStr">
        <ns0:is>
          <ns0:t>해양수산부 주소 자료: 동도 경비대는 독도이사부길 55, 동도 등대는 독도이사부길 63, 서도 주민숙소는 독도안용복길 3입니다.</ns0:t>
        </ns0:is>
      </ns0:c>
      <ns0:c r="O233" s="8" t="inlineStr">
        <ns0:is>
          <ns0:t>https://www.mof.go.kr/doc/ko/selectDoc.do?bbsSeq=27&amp;docSeq=20937&amp;menuSeq=929</ns0:t>
        </ns0:is>
      </ns0:c>
      <ns0:c r="P233" s="5">
        <ns0:f>LEN(E233)+MAX(LEN(F233),LEN(G233),LEN(H233))</ns0:f>
        <ns0:v>40</ns0:v>
      </ns0:c>
      <ns0:c r="Q233" s="9" t="inlineStr">
        <ns0:is>
          <ns0:t>출처 기반 자체 검토 / 독립 승인 전</ns0:t>
        </ns0:is>
      </ns0:c>
    </ns0:row>
    <ns0:row r="234" ht="98" customHeight="1">
      <ns0:c r="A234" s="2" t="n">
        <ns0:v>910233</ns0:v>
      </ns0:c>
      <ns0:c r="B234" s="2" t="n">
        <ns0:v>12</ns0:v>
      </ns0:c>
      <ns0:c r="C234" s="2" t="inlineStr">
        <ns0:is>
          <ns0:t>dk-visiting-scope</ns0:t>
        </ns0:is>
      </ns0:c>
      <ns0:c r="D234" s="2" t="n">
        <ns0:v>1</ns0:v>
      </ns0:c>
      <ns0:c r="E234" s="6" t="inlineStr">
        <ns0:is>
          <ns0:t>일반 방문객이 관람하는 곳으로 안내된 곳은?</ns0:t>
        </ns0:is>
      </ns0:c>
      <ns0:c r="F234" s="6" t="inlineStr">
        <ns0:is>
          <ns0:t>동도 선착장</ns0:t>
        </ns0:is>
      </ns0:c>
      <ns0:c r="G234" s="6" t="inlineStr">
        <ns0:is>
          <ns0:t>천장굴 내부 전체</ns0:t>
        </ns0:is>
      </ns0:c>
      <ns0:c r="H234" s="6" t="inlineStr">
        <ns0:is>
          <ns0:t>서도 모든 절벽</ns0:t>
        </ns0:is>
      </ns0:c>
      <ns0:c r="I234" s="6" t="n">
        <ns0:v>1</ns0:v>
      </ns0:c>
      <ns0:c r="J234" s="6" t="inlineStr">
        <ns0:is>
          <ns0:t>독도 천연보호구역과 방문객에게 열린 관람 구역은 같지 않아요. 일부를 관람할 수 있다고 섬 전체에 들어갈 수 있는 것은 아니에요.</ns0:t>
        </ns0:is>
      </ns0:c>
      <ns0:c r="K234" s="6" t="inlineStr">
        <ns0:is>
          <ns0:t>독도 천연보호구역과 방문객에게 열린 관람 구역은 같지 않아요. 일부를 관람할 수 있다고 섬 전체에 들어갈 수 있는 것은 아니에요.</ns0:t>
        </ns0:is>
      </ns0:c>
      <ns0:c r="L234" s="6" t="inlineStr">
        <ns0:is>
          <ns0:t>고른 보기 ‘천장굴 내부 전체’와 달라요. 이 문항의 정답은 ‘동도 선착장’입니다. 독도 천연보호구역과 방문객에게 열린 관람 구역은 같지 않아요. 일부를 관람할 수 있다고 섬 전체에 들어갈 수 있는 것은 아니에요.</ns0:t>
        </ns0:is>
      </ns0:c>
      <ns0:c r="M234" s="6" t="inlineStr">
        <ns0:is>
          <ns0:t>고른 보기 ‘서도 모든 절벽’와 달라요. 이 문항의 정답은 ‘동도 선착장’입니다. 독도 천연보호구역과 방문객에게 열린 관람 구역은 같지 않아요. 일부를 관람할 수 있다고 섬 전체에 들어갈 수 있는 것은 아니에요.</ns0:t>
        </ns0:is>
      </ns0:c>
      <ns0:c r="N234" s="6" t="inlineStr"/>
      <ns0:c r="O234" s="6" t="inlineStr">
        <ns0:is>
          <ns0:t>https://dokdo.mofa.go.kr/kor/introduce/residence.jsp
https://www.heritage.go.kr/heri/cul/culSelectDetail.do?VdkVgwKey=16%2C03360000%2C37&amp;pageNo=1_1_2_0</ns0:t>
        </ns0:is>
      </ns0:c>
      <ns0:c r="P234" s="3">
        <ns0:f>LEN(E234)+MAX(LEN(F234),LEN(G234),LEN(H234))</ns0:f>
        <ns0:v>33</ns0:v>
      </ns0:c>
      <ns0:c r="Q234" s="7" t="inlineStr">
        <ns0:is>
          <ns0:t>출처 기반 자체 검토 / 독립 승인 전</ns0:t>
        </ns0:is>
      </ns0:c>
    </ns0:row>
    <ns0:row r="235" ht="98" customHeight="1">
      <ns0:c r="A235" s="4" t="n">
        <ns0:v>910234</ns0:v>
      </ns0:c>
      <ns0:c r="B235" s="4" t="n">
        <ns0:v>12</ns0:v>
      </ns0:c>
      <ns0:c r="C235" s="4" t="inlineStr">
        <ns0:is>
          <ns0:t>dk-visiting-scope</ns0:t>
        </ns0:is>
      </ns0:c>
      <ns0:c r="D235" s="4" t="n">
        <ns0:v>2</ns0:v>
      </ns0:c>
      <ns0:c r="E235" s="8" t="inlineStr">
        <ns0:is>
          <ns0:t>일부 관람 허용과 섬 전체 출입의 관계는?</ns0:t>
        </ns0:is>
      </ns0:c>
      <ns0:c r="F235" s="8" t="inlineStr">
        <ns0:is>
          <ns0:t>일부 허용이면 전체가 허용돼요</ns0:t>
        </ns0:is>
      </ns0:c>
      <ns0:c r="G235" s="8" t="inlineStr">
        <ns0:is>
          <ns0:t>사진만 있으면 허가가 생겨요</ns0:t>
        </ns0:is>
      </ns0:c>
      <ns0:c r="H235" s="8" t="inlineStr">
        <ns0:is>
          <ns0:t>허용 구역은 따로 정해져요</ns0:t>
        </ns0:is>
      </ns0:c>
      <ns0:c r="I235" s="8" t="n">
        <ns0:v>3</ns0:v>
      </ns0:c>
      <ns0:c r="J235" s="8" t="inlineStr">
        <ns0:is>
          <ns0:t>독도 천연보호구역과 방문객에게 열린 관람 구역은 같지 않아요. 일부를 관람할 수 있다고 섬 전체에 들어갈 수 있는 것은 아니에요.</ns0:t>
        </ns0:is>
      </ns0:c>
      <ns0:c r="K235" s="8" t="inlineStr">
        <ns0:is>
          <ns0:t>고른 보기 ‘일부 허용이면 전체가 허용돼요’와 달라요. 이 문항의 정답은 ‘허용 구역은 따로 정해져요’입니다. 독도 천연보호구역과 방문객에게 열린 관람 구역은 같지 않아요. 일부를 관람할 수 있다고 섬 전체에 들어갈 수 있는 것은 아니에요.</ns0:t>
        </ns0:is>
      </ns0:c>
      <ns0:c r="L235" s="8" t="inlineStr">
        <ns0:is>
          <ns0:t>고른 보기 ‘사진만 있으면 허가가 생겨요’와 달라요. 이 문항의 정답은 ‘허용 구역은 따로 정해져요’입니다. 독도 천연보호구역과 방문객에게 열린 관람 구역은 같지 않아요. 일부를 관람할 수 있다고 섬 전체에 들어갈 수 있는 것은 아니에요.</ns0:t>
        </ns0:is>
      </ns0:c>
      <ns0:c r="M235" s="8" t="inlineStr">
        <ns0:is>
          <ns0:t>독도 천연보호구역과 방문객에게 열린 관람 구역은 같지 않아요. 일부를 관람할 수 있다고 섬 전체에 들어갈 수 있는 것은 아니에요.</ns0:t>
        </ns0:is>
      </ns0:c>
      <ns0:c r="N235" s="8" t="inlineStr"/>
      <ns0:c r="O235" s="8" t="inlineStr">
        <ns0:is>
          <ns0:t>https://dokdo.mofa.go.kr/kor/introduce/residence.jsp
https://www.heritage.go.kr/heri/cul/culSelectDetail.do?VdkVgwKey=16%2C03360000%2C37&amp;pageNo=1_1_2_0</ns0:t>
        </ns0:is>
      </ns0:c>
      <ns0:c r="P235" s="5">
        <ns0:f>LEN(E235)+MAX(LEN(F235),LEN(G235),LEN(H235))</ns0:f>
        <ns0:v>39</ns0:v>
      </ns0:c>
      <ns0:c r="Q235" s="9" t="inlineStr">
        <ns0:is>
          <ns0:t>출처 기반 자체 검토 / 독립 승인 전</ns0:t>
        </ns0:is>
      </ns0:c>
    </ns0:row>
    <ns0:row r="236" ht="98" customHeight="1">
      <ns0:c r="A236" s="2" t="n">
        <ns0:v>910235</ns0:v>
      </ns0:c>
      <ns0:c r="B236" s="2" t="n">
        <ns0:v>12</ns0:v>
      </ns0:c>
      <ns0:c r="C236" s="2" t="inlineStr">
        <ns0:is>
          <ns0:t>dk-visiting-scope</ns0:t>
        </ns0:is>
      </ns0:c>
      <ns0:c r="D236" s="2" t="n">
        <ns0:v>3</ns0:v>
      </ns0:c>
      <ns0:c r="E236" s="6" t="inlineStr">
        <ns0:is>
          <ns0:t>자료의 보호구역과 관람구역을 바르게 읽으면?</ns0:t>
        </ns0:is>
      </ns0:c>
      <ns0:c r="F236" s="6" t="inlineStr">
        <ns0:is>
          <ns0:t>관람 허용으로 보호구역이 사라진다</ns0:t>
        </ns0:is>
      </ns0:c>
      <ns0:c r="G236" s="6" t="inlineStr">
        <ns0:is>
          <ns0:t>보호 대상 전체와 공개 범위는 다르다</ns0:t>
        </ns0:is>
      </ns0:c>
      <ns0:c r="H236" s="6" t="inlineStr">
        <ns0:is>
          <ns0:t>동도 선착장만 자연유산이다</ns0:t>
        </ns0:is>
      </ns0:c>
      <ns0:c r="I236" s="6" t="n">
        <ns0:v>2</ns0:v>
      </ns0:c>
      <ns0:c r="J236" s="6" t="inlineStr">
        <ns0:is>
          <ns0:t>독도 천연보호구역과 방문객에게 열린 관람 구역은 같지 않아요. 일부를 관람할 수 있다고 섬 전체에 들어갈 수 있는 것은 아니에요.</ns0:t>
        </ns0:is>
      </ns0:c>
      <ns0:c r="K236" s="6" t="inlineStr">
        <ns0:is>
          <ns0:t>고른 보기 ‘관람 허용으로 보호구역이 사라진다’와 달라요. 이 문항의 정답은 ‘보호 대상 전체와 공개 범위는 다르다’입니다. 독도 천연보호구역과 방문객에게 열린 관람 구역은 같지 않아요. 일부를 관람할 수 있다고 섬 전체에 들어갈 수 있는 것은 아니에요.</ns0:t>
        </ns0:is>
      </ns0:c>
      <ns0:c r="L236" s="6" t="inlineStr">
        <ns0:is>
          <ns0:t>독도 천연보호구역과 방문객에게 열린 관람 구역은 같지 않아요. 일부를 관람할 수 있다고 섬 전체에 들어갈 수 있는 것은 아니에요.</ns0:t>
        </ns0:is>
      </ns0:c>
      <ns0:c r="M236" s="6" t="inlineStr">
        <ns0:is>
          <ns0:t>고른 보기 ‘동도 선착장만 자연유산이다’와 달라요. 이 문항의 정답은 ‘보호 대상 전체와 공개 범위는 다르다’입니다. 독도 천연보호구역과 방문객에게 열린 관람 구역은 같지 않아요. 일부를 관람할 수 있다고 섬 전체에 들어갈 수 있는 것은 아니에요.</ns0:t>
        </ns0:is>
      </ns0:c>
      <ns0:c r="N236" s="6" t="inlineStr">
        <ns0:is>
          <ns0:t>외교부는 독도가 천연보호구역으로 관리되며 일반 방문객은 동도 선착장에서 관람한다고 설명합니다. 특정 행사나 특별 방문은 별도 허가 절차가 적용될 수 있습니다.</ns0:t>
        </ns0:is>
      </ns0:c>
      <ns0:c r="O236" s="6" t="inlineStr">
        <ns0:is>
          <ns0:t>https://dokdo.mofa.go.kr/kor/introduce/residence.jsp
https://www.heritage.go.kr/heri/cul/culSelectDetail.do?VdkVgwKey=16%2C03360000%2C37&amp;pageNo=1_1_2_0</ns0:t>
        </ns0:is>
      </ns0:c>
      <ns0:c r="P236" s="3">
        <ns0:f>LEN(E236)+MAX(LEN(F236),LEN(G236),LEN(H236))</ns0:f>
        <ns0:v>44</ns0:v>
      </ns0:c>
      <ns0:c r="Q236" s="7" t="inlineStr">
        <ns0:is>
          <ns0:t>출처 기반 자체 검토 / 독립 승인 전</ns0:t>
        </ns0:is>
      </ns0:c>
    </ns0:row>
    <ns0:row r="237" ht="98" customHeight="1">
      <ns0:c r="A237" s="4" t="n">
        <ns0:v>910236</ns0:v>
      </ns0:c>
      <ns0:c r="B237" s="4" t="n">
        <ns0:v>12</ns0:v>
      </ns0:c>
      <ns0:c r="C237" s="4" t="inlineStr">
        <ns0:is>
          <ns0:t>dk-visiting-scope</ns0:t>
        </ns0:is>
      </ns0:c>
      <ns0:c r="D237" s="4" t="n">
        <ns0:v>4</ns0:v>
      </ns0:c>
      <ns0:c r="E237" s="8" t="inlineStr">
        <ns0:is>
          <ns0:t>공개된 선착장을 보고 ‘보호구역이 아니다’라 하면?</ns0:t>
        </ns0:is>
      </ns0:c>
      <ns0:c r="F237" s="8" t="inlineStr">
        <ns0:is>
          <ns0:t>제한적 관람과 보호 관리는 함께 가능하다</ns0:t>
        </ns0:is>
      </ns0:c>
      <ns0:c r="G237" s="8" t="inlineStr">
        <ns0:is>
          <ns0:t>사람이 한 명이라도 오면 보호구역이 아니다</ns0:t>
        </ns0:is>
      </ns0:c>
      <ns0:c r="H237" s="8" t="inlineStr">
        <ns0:is>
          <ns0:t>보호구역은 지리 정보와 무관하다</ns0:t>
        </ns0:is>
      </ns0:c>
      <ns0:c r="I237" s="8" t="n">
        <ns0:v>1</ns0:v>
      </ns0:c>
      <ns0:c r="J237" s="8" t="inlineStr">
        <ns0:is>
          <ns0:t>독도 천연보호구역과 방문객에게 열린 관람 구역은 같지 않아요. 일부를 관람할 수 있다고 섬 전체에 들어갈 수 있는 것은 아니에요.</ns0:t>
        </ns0:is>
      </ns0:c>
      <ns0:c r="K237" s="8" t="inlineStr">
        <ns0:is>
          <ns0:t>독도 천연보호구역과 방문객에게 열린 관람 구역은 같지 않아요. 일부를 관람할 수 있다고 섬 전체에 들어갈 수 있는 것은 아니에요.</ns0:t>
        </ns0:is>
      </ns0:c>
      <ns0:c r="L237" s="8" t="inlineStr">
        <ns0:is>
          <ns0:t>고른 보기 ‘사람이 한 명이라도 오면 보호구역이 아니다’와 달라요. 이 문항의 정답은 ‘제한적 관람과 보호 관리는 함께 가능하다’입니다. 독도 천연보호구역과 방문객에게 열린 관람 구역은 같지 않아요. 일부를 관람할 수 있다고 섬 전체에 들어갈 수 있는 것은 아니에요.</ns0:t>
        </ns0:is>
      </ns0:c>
      <ns0:c r="M237" s="8" t="inlineStr">
        <ns0:is>
          <ns0:t>고른 보기 ‘보호구역은 지리 정보와 무관하다’와 달라요. 이 문항의 정답은 ‘제한적 관람과 보호 관리는 함께 가능하다’입니다. 독도 천연보호구역과 방문객에게 열린 관람 구역은 같지 않아요. 일부를 관람할 수 있다고 섬 전체에 들어갈 수 있는 것은 아니에요.</ns0:t>
        </ns0:is>
      </ns0:c>
      <ns0:c r="N237" s="8" t="inlineStr">
        <ns0:is>
          <ns0:t>외교부는 독도가 천연보호구역으로 관리되며 일반 방문객은 동도 선착장에서 관람한다고 설명합니다. 특정 행사나 특별 방문은 별도 허가 절차가 적용될 수 있습니다.</ns0:t>
        </ns0:is>
      </ns0:c>
      <ns0:c r="O237" s="8" t="inlineStr">
        <ns0:is>
          <ns0:t>https://dokdo.mofa.go.kr/kor/introduce/residence.jsp
https://www.heritage.go.kr/heri/cul/culSelectDetail.do?VdkVgwKey=16%2C03360000%2C37&amp;pageNo=1_1_2_0</ns0:t>
        </ns0:is>
      </ns0:c>
      <ns0:c r="P237" s="5">
        <ns0:f>LEN(E237)+MAX(LEN(F237),LEN(G237),LEN(H237))</ns0:f>
        <ns0:v>51</ns0:v>
      </ns0:c>
      <ns0:c r="Q237" s="9" t="inlineStr">
        <ns0:is>
          <ns0:t>출처 기반 자체 검토 / 독립 승인 전</ns0:t>
        </ns0:is>
      </ns0:c>
    </ns0:row>
    <ns0:row r="238" ht="98" customHeight="1">
      <ns0:c r="A238" s="2" t="n">
        <ns0:v>910237</ns0:v>
      </ns0:c>
      <ns0:c r="B238" s="2" t="n">
        <ns0:v>12</ns0:v>
      </ns0:c>
      <ns0:c r="C238" s="2" t="inlineStr">
        <ns0:is>
          <ns0:t>dk-whole-dokdo</ns0:t>
        </ns0:is>
      </ns0:c>
      <ns0:c r="D238" s="2" t="n">
        <ns0:v>1</ns0:v>
      </ns0:c>
      <ns0:c r="E238" s="6" t="inlineStr">
        <ns0:is>
          <ns0:t>독도 소개에 함께 담을 내용은?</ns0:t>
        </ns0:is>
      </ns0:c>
      <ns0:c r="F238" s="6" t="inlineStr">
        <ns0:is>
          <ns0:t>배 요금 하나만</ns0:t>
        </ns0:is>
      </ns0:c>
      <ns0:c r="G238" s="6" t="inlineStr">
        <ns0:is>
          <ns0:t>등대 그림 색만</ns0:t>
        </ns0:is>
      </ns0:c>
      <ns0:c r="H238" s="6" t="inlineStr">
        <ns0:is>
          <ns0:t>섬·생명·사람과 기록</ns0:t>
        </ns0:is>
      </ns0:c>
      <ns0:c r="I238" s="6" t="n">
        <ns0:v>3</ns0:v>
      </ns0:c>
      <ns0:c r="J238" s="6" t="inlineStr">
        <ns0:is>
          <ns0:t>독도는 화산이 만든 섬이자 생명이 머무는 곳이고, 사람들의 생활과 역사 기록이 남은 곳이에요. 서로 다른 자료를 연결하면 더 잘 설명할 수 있어요.</ns0:t>
        </ns0:is>
      </ns0:c>
      <ns0:c r="K238" s="6" t="inlineStr">
        <ns0:is>
          <ns0:t>고른 보기 ‘배 요금 하나만’와 달라요. 이 문항의 정답은 ‘섬·생명·사람과 기록’입니다. 독도는 화산이 만든 섬이자 생명이 머무는 곳이고, 사람들의 생활과 역사 기록이 남은 곳이에요. 서로 다른 자료를 연결하면 더 잘 설명할 수 있어요.</ns0:t>
        </ns0:is>
      </ns0:c>
      <ns0:c r="L238" s="6" t="inlineStr">
        <ns0:is>
          <ns0:t>고른 보기 ‘등대 그림 색만’와 달라요. 이 문항의 정답은 ‘섬·생명·사람과 기록’입니다. 독도는 화산이 만든 섬이자 생명이 머무는 곳이고, 사람들의 생활과 역사 기록이 남은 곳이에요. 서로 다른 자료를 연결하면 더 잘 설명할 수 있어요.</ns0:t>
        </ns0:is>
      </ns0:c>
      <ns0:c r="M238" s="6" t="inlineStr">
        <ns0:is>
          <ns0:t>독도는 화산이 만든 섬이자 생명이 머무는 곳이고, 사람들의 생활과 역사 기록이 남은 곳이에요. 서로 다른 자료를 연결하면 더 잘 설명할 수 있어요.</ns0:t>
        </ns0:is>
      </ns0:c>
      <ns0:c r="N238" s="6" t="inlineStr"/>
      <ns0:c r="O238" s="6" t="inlineStr">
        <ns0:is>
          <ns0:t>https://dokdo.mofa.go.kr/kor/introduce/location.jsp
https://www.dokdo.re.kr/home/cms/cmsCont.do?cntnts_sn=66
https://dokdo.mofa.go.kr/kor/introduce/nature.jsp
https://dokdo.mofa.go.kr/kor/pds/part02_view02.jsp</ns0:t>
        </ns0:is>
      </ns0:c>
      <ns0:c r="P238" s="3">
        <ns0:f>LEN(E238)+MAX(LEN(F238),LEN(G238),LEN(H238))</ns0:f>
        <ns0:v>28</ns0:v>
      </ns0:c>
      <ns0:c r="Q238" s="7" t="inlineStr">
        <ns0:is>
          <ns0:t>출처 기반 자체 검토 / 독립 승인 전</ns0:t>
        </ns0:is>
      </ns0:c>
    </ns0:row>
    <ns0:row r="239" ht="98" customHeight="1">
      <ns0:c r="A239" s="4" t="n">
        <ns0:v>910238</ns0:v>
      </ns0:c>
      <ns0:c r="B239" s="4" t="n">
        <ns0:v>12</ns0:v>
      </ns0:c>
      <ns0:c r="C239" s="4" t="inlineStr">
        <ns0:is>
          <ns0:t>dk-whole-dokdo</ns0:t>
        </ns0:is>
      </ns0:c>
      <ns0:c r="D239" s="4" t="n">
        <ns0:v>2</ns0:v>
      </ns0:c>
      <ns0:c r="E239" s="8" t="inlineStr">
        <ns0:is>
          <ns0:t>화산 자료와 철새 자료를 함께 보면?</ns0:t>
        </ns0:is>
      </ns0:c>
      <ns0:c r="F239" s="8" t="inlineStr">
        <ns0:is>
          <ns0:t>역사 기록이 모두 사라져요</ns0:t>
        </ns0:is>
      </ns0:c>
      <ns0:c r="G239" s="8" t="inlineStr">
        <ns0:is>
          <ns0:t>지형과 생태를 함께 이해해요</ns0:t>
        </ns0:is>
      </ns0:c>
      <ns0:c r="H239" s="8" t="inlineStr">
        <ns0:is>
          <ns0:t>둘은 반드시 같은 숫자를 가져요</ns0:t>
        </ns0:is>
      </ns0:c>
      <ns0:c r="I239" s="8" t="n">
        <ns0:v>2</ns0:v>
      </ns0:c>
      <ns0:c r="J239" s="8" t="inlineStr">
        <ns0:is>
          <ns0:t>독도는 화산이 만든 섬이자 생명이 머무는 곳이고, 사람들의 생활과 역사 기록이 남은 곳이에요. 서로 다른 자료를 연결하면 더 잘 설명할 수 있어요.</ns0:t>
        </ns0:is>
      </ns0:c>
      <ns0:c r="K239" s="8" t="inlineStr">
        <ns0:is>
          <ns0:t>고른 보기 ‘역사 기록이 모두 사라져요’와 달라요. 이 문항의 정답은 ‘지형과 생태를 함께 이해해요’입니다. 독도는 화산이 만든 섬이자 생명이 머무는 곳이고, 사람들의 생활과 역사 기록이 남은 곳이에요. 서로 다른 자료를 연결하면 더 잘 설명할 수 있어요.</ns0:t>
        </ns0:is>
      </ns0:c>
      <ns0:c r="L239" s="8" t="inlineStr">
        <ns0:is>
          <ns0:t>독도는 화산이 만든 섬이자 생명이 머무는 곳이고, 사람들의 생활과 역사 기록이 남은 곳이에요. 서로 다른 자료를 연결하면 더 잘 설명할 수 있어요.</ns0:t>
        </ns0:is>
      </ns0:c>
      <ns0:c r="M239" s="8" t="inlineStr">
        <ns0:is>
          <ns0:t>고른 보기 ‘둘은 반드시 같은 숫자를 가져요’와 달라요. 이 문항의 정답은 ‘지형과 생태를 함께 이해해요’입니다. 독도는 화산이 만든 섬이자 생명이 머무는 곳이고, 사람들의 생활과 역사 기록이 남은 곳이에요. 서로 다른 자료를 연결하면 더 잘 설명할 수 있어요.</ns0:t>
        </ns0:is>
      </ns0:c>
      <ns0:c r="N239" s="8" t="inlineStr"/>
      <ns0:c r="O239" s="8" t="inlineStr">
        <ns0:is>
          <ns0:t>https://dokdo.mofa.go.kr/kor/introduce/location.jsp
https://www.dokdo.re.kr/home/cms/cmsCont.do?cntnts_sn=66
https://dokdo.mofa.go.kr/kor/introduce/nature.jsp
https://dokdo.mofa.go.kr/kor/pds/part02_view02.jsp</ns0:t>
        </ns0:is>
      </ns0:c>
      <ns0:c r="P239" s="5">
        <ns0:f>LEN(E239)+MAX(LEN(F239),LEN(G239),LEN(H239))</ns0:f>
        <ns0:v>37</ns0:v>
      </ns0:c>
      <ns0:c r="Q239" s="9" t="inlineStr">
        <ns0:is>
          <ns0:t>출처 기반 자체 검토 / 독립 승인 전</ns0:t>
        </ns0:is>
      </ns0:c>
    </ns0:row>
    <ns0:row r="240" ht="98" customHeight="1">
      <ns0:c r="A240" s="2" t="n">
        <ns0:v>910239</ns0:v>
      </ns0:c>
      <ns0:c r="B240" s="2" t="n">
        <ns0:v>12</ns0:v>
      </ns0:c>
      <ns0:c r="C240" s="2" t="inlineStr">
        <ns0:is>
          <ns0:t>dk-whole-dokdo</ns0:t>
        </ns0:is>
      </ns0:c>
      <ns0:c r="D240" s="2" t="n">
        <ns0:v>3</ns0:v>
      </ns0:c>
      <ns0:c r="E240" s="6" t="inlineStr">
        <ns0:is>
          <ns0:t>칙령 제41호와 가장 직접 연결되는 분야는?</ns0:t>
        </ns0:is>
      </ns0:c>
      <ns0:c r="F240" s="6" t="inlineStr">
        <ns0:is>
          <ns0:t>행정과 역사 기록</ns0:t>
        </ns0:is>
      </ns0:c>
      <ns0:c r="G240" s="6" t="inlineStr">
        <ns0:is>
          <ns0:t>현대 바닷물 영양염 측정</ns0:t>
        </ns0:is>
      </ns0:c>
      <ns0:c r="H240" s="6" t="inlineStr">
        <ns0:is>
          <ns0:t>현재 철새 개체 수 집계</ns0:t>
        </ns0:is>
      </ns0:c>
      <ns0:c r="I240" s="6" t="n">
        <ns0:v>1</ns0:v>
      </ns0:c>
      <ns0:c r="J240" s="6" t="inlineStr">
        <ns0:is>
          <ns0:t>독도는 화산이 만든 섬이자 생명이 머무는 곳이고, 사람들의 생활과 역사 기록이 남은 곳이에요. 서로 다른 자료를 연결하면 더 잘 설명할 수 있어요.</ns0:t>
        </ns0:is>
      </ns0:c>
      <ns0:c r="K240" s="6" t="inlineStr">
        <ns0:is>
          <ns0:t>독도는 화산이 만든 섬이자 생명이 머무는 곳이고, 사람들의 생활과 역사 기록이 남은 곳이에요. 서로 다른 자료를 연결하면 더 잘 설명할 수 있어요.</ns0:t>
        </ns0:is>
      </ns0:c>
      <ns0:c r="L240" s="6" t="inlineStr">
        <ns0:is>
          <ns0:t>고른 보기 ‘현대 바닷물 영양염 측정’와 달라요. 이 문항의 정답은 ‘행정과 역사 기록’입니다. 독도는 화산이 만든 섬이자 생명이 머무는 곳이고, 사람들의 생활과 역사 기록이 남은 곳이에요. 서로 다른 자료를 연결하면 더 잘 설명할 수 있어요.</ns0:t>
        </ns0:is>
      </ns0:c>
      <ns0:c r="M240" s="6" t="inlineStr">
        <ns0:is>
          <ns0:t>고른 보기 ‘현재 철새 개체 수 집계’와 달라요. 이 문항의 정답은 ‘행정과 역사 기록’입니다. 독도는 화산이 만든 섬이자 생명이 머무는 곳이고, 사람들의 생활과 역사 기록이 남은 곳이에요. 서로 다른 자료를 연결하면 더 잘 설명할 수 있어요.</ns0:t>
        </ns0:is>
      </ns0:c>
      <ns0:c r="N240" s="6" t="inlineStr">
        <ns0:is>
          <ns0:t>자료 묶음: 동도·서도와 부속 도서의 구성 / 화산과 침식의 지형 / 철새의 휴식처 / 칙령 제41호의 행정 기록. 각 자료가 설명하는 분야를 구분해 연결하세요.</ns0:t>
        </ns0:is>
      </ns0:c>
      <ns0:c r="O240" s="6" t="inlineStr">
        <ns0:is>
          <ns0:t>https://dokdo.mofa.go.kr/kor/introduce/location.jsp
https://www.dokdo.re.kr/home/cms/cmsCont.do?cntnts_sn=66
https://dokdo.mofa.go.kr/kor/introduce/nature.jsp
https://dokdo.mofa.go.kr/kor/pds/part02_view02.jsp</ns0:t>
        </ns0:is>
      </ns0:c>
      <ns0:c r="P240" s="3">
        <ns0:f>LEN(E240)+MAX(LEN(F240),LEN(G240),LEN(H240))</ns0:f>
        <ns0:v>37</ns0:v>
      </ns0:c>
      <ns0:c r="Q240" s="7" t="inlineStr">
        <ns0:is>
          <ns0:t>출처 기반 자체 검토 / 독립 승인 전</ns0:t>
        </ns0:is>
      </ns0:c>
    </ns0:row>
    <ns0:row r="241" ht="98" customHeight="1">
      <ns0:c r="A241" s="4" t="n">
        <ns0:v>910240</ns0:v>
      </ns0:c>
      <ns0:c r="B241" s="4" t="n">
        <ns0:v>12</ns0:v>
      </ns0:c>
      <ns0:c r="C241" s="4" t="inlineStr">
        <ns0:is>
          <ns0:t>dk-whole-dokdo</ns0:t>
        </ns0:is>
      </ns0:c>
      <ns0:c r="D241" s="4" t="n">
        <ns0:v>4</ns0:v>
      </ns0:c>
      <ns0:c r="E241" s="8" t="inlineStr">
        <ns0:is>
          <ns0:t>여러 자료로 독도를 설명할 때 지킬 기준은?</ns0:t>
        </ns0:is>
      </ns0:c>
      <ns0:c r="F241" s="8" t="inlineStr">
        <ns0:is>
          <ns0:t>자료가 많으면 서로 다른 수치를 모두 더한다</ns0:t>
        </ns0:is>
      </ns0:c>
      <ns0:c r="G241" s="8" t="inlineStr">
        <ns0:is>
          <ns0:t>지형 사진만으로 역사 문서의 뜻을 확정한다</ns0:t>
        </ns0:is>
      </ns0:c>
      <ns0:c r="H241" s="8" t="inlineStr">
        <ns0:is>
          <ns0:t>각 자료의 시점·범위·역할을 밝히며 연결한다</ns0:t>
        </ns0:is>
      </ns0:c>
      <ns0:c r="I241" s="8" t="n">
        <ns0:v>3</ns0:v>
      </ns0:c>
      <ns0:c r="J241" s="8" t="inlineStr">
        <ns0:is>
          <ns0:t>독도는 화산이 만든 섬이자 생명이 머무는 곳이고, 사람들의 생활과 역사 기록이 남은 곳이에요. 서로 다른 자료를 연결하면 더 잘 설명할 수 있어요.</ns0:t>
        </ns0:is>
      </ns0:c>
      <ns0:c r="K241" s="8" t="inlineStr">
        <ns0:is>
          <ns0:t>고른 보기 ‘자료가 많으면 서로 다른 수치를 모두 더한다’와 달라요. 이 문항의 정답은 ‘각 자료의 시점·범위·역할을 밝히며 연결한다’입니다. 독도는 화산이 만든 섬이자 생명이 머무는 곳이고, 사람들의 생활과 역사 기록이 남은 곳이에요. 서로 다른 자료를 연결하면 더 잘 설명할 수 있어요.</ns0:t>
        </ns0:is>
      </ns0:c>
      <ns0:c r="L241" s="8" t="inlineStr">
        <ns0:is>
          <ns0:t>고른 보기 ‘지형 사진만으로 역사 문서의 뜻을 확정한다’와 달라요. 이 문항의 정답은 ‘각 자료의 시점·범위·역할을 밝히며 연결한다’입니다. 독도는 화산이 만든 섬이자 생명이 머무는 곳이고, 사람들의 생활과 역사 기록이 남은 곳이에요. 서로 다른 자료를 연결하면 더 잘 설명할 수 있어요.</ns0:t>
        </ns0:is>
      </ns0:c>
      <ns0:c r="M241" s="8" t="inlineStr">
        <ns0:is>
          <ns0:t>독도는 화산이 만든 섬이자 생명이 머무는 곳이고, 사람들의 생활과 역사 기록이 남은 곳이에요. 서로 다른 자료를 연결하면 더 잘 설명할 수 있어요.</ns0:t>
        </ns0:is>
      </ns0:c>
      <ns0:c r="N241" s="8" t="inlineStr">
        <ns0:is>
          <ns0:t>자료 묶음: 동도·서도와 부속 도서의 구성 / 화산과 침식의 지형 / 철새의 휴식처 / 칙령 제41호의 행정 기록. 각 자료가 설명하는 분야를 구분해 연결하세요.</ns0:t>
        </ns0:is>
      </ns0:c>
      <ns0:c r="O241" s="8" t="inlineStr">
        <ns0:is>
          <ns0:t>https://dokdo.mofa.go.kr/kor/introduce/location.jsp
https://www.dokdo.re.kr/home/cms/cmsCont.do?cntnts_sn=66
https://dokdo.mofa.go.kr/kor/introduce/nature.jsp
https://dokdo.mofa.go.kr/kor/pds/part02_view02.jsp</ns0:t>
        </ns0:is>
      </ns0:c>
      <ns0:c r="P241" s="5">
        <ns0:f>LEN(E241)+MAX(LEN(F241),LEN(G241),LEN(H241))</ns0:f>
        <ns0:v>48</ns0:v>
      </ns0:c>
      <ns0:c r="Q241" s="9" t="inlineStr">
        <ns0:is>
          <ns0:t>출처 기반 자체 검토 / 독립 승인 전</ns0:t>
        </ns0:is>
      </ns0:c>
    </ns0:row>
  </ns0:sheetData>
  <ns0:autoFilter ref="A1:Q241"/>
  <ns0:pageMargins left="0.75" right="0.75" top="1" bottom="1" header="0.5" footer="0.5"/>
</ns0:worksheet>
</file>

<file path=xl/worksheets/sheet3.xml><?xml version="1.0" encoding="utf-8"?>
<ns0:worksheet xmlns:ns0="http://schemas.openxmlformats.org/spreadsheetml/2006/main">
  <ns0:sheetPr>
    <ns0:outlinePr summaryBelow="1" summaryRight="0"/>
    <ns0:pageSetUpPr/>
  </ns0:sheetPr>
  <ns0:dimension ref="A1:Q241"/>
  <ns0:sheetViews>
    <ns0:sheetView showGridLines="0" workbookViewId="0">
      <ns0:pane xSplit="4" ySplit="1" topLeftCell="E2" activePane="bottomRight" state="frozen"/>
      <ns0:selection pane="topRight"/>
      <ns0:selection pane="bottomLeft"/>
      <ns0:selection pane="bottomRight" activeCell="A1" sqref="A1"/>
    </ns0:sheetView>
  </ns0:sheetViews>
  <ns0:sheetFormatPr baseColWidth="8" defaultRowHeight="15"/>
  <ns0:cols>
    <ns0:col width="13" customWidth="1" min="1" max="1"/>
    <ns0:col width="8" customWidth="1" min="2" max="2"/>
    <ns0:col width="26" customWidth="1" min="3" max="3"/>
    <ns0:col width="10" customWidth="1" min="4" max="4"/>
    <ns0:col width="54" customWidth="1" min="5" max="5"/>
    <ns0:col width="35" customWidth="1" min="6" max="6"/>
    <ns0:col width="35" customWidth="1" min="7" max="7"/>
    <ns0:col width="35" customWidth="1" min="8" max="8"/>
    <ns0:col width="10" customWidth="1" min="9" max="9"/>
    <ns0:col width="70" customWidth="1" min="10" max="10"/>
    <ns0:col hidden="1" outlineLevel="1" width="62" customWidth="1" min="11" max="14"/>
    <ns0:col width="88" customWidth="1" min="15" max="15"/>
    <ns0:col width="22" customWidth="1" min="16" max="16"/>
    <ns0:col width="28" customWidth="1" min="17" max="17"/>
  </ns0:cols>
  <ns0:sheetData>
    <ns0:row r="1" ht="31" customHeight="1">
      <ns0:c r="A1" s="1" t="inlineStr">
        <ns0:is>
          <ns0:t>문항 ID</ns0:t>
        </ns0:is>
      </ns0:c>
      <ns0:c r="B1" s="1" t="inlineStr">
        <ns0:is>
          <ns0:t>단원</ns0:t>
        </ns0:is>
      </ns0:c>
      <ns0:c r="C1" s="1" t="inlineStr">
        <ns0:is>
          <ns0:t>개념 묶음</ns0:t>
        </ns0:is>
      </ns0:c>
      <ns0:c r="D1" s="1" t="inlineStr">
        <ns0:is>
          <ns0:t>인지단계</ns0:t>
        </ns0:is>
      </ns0:c>
      <ns0:c r="E1" s="1" t="inlineStr">
        <ns0:is>
          <ns0:t>질문</ns0:t>
        </ns0:is>
      </ns0:c>
      <ns0:c r="F1" s="1" t="inlineStr">
        <ns0:is>
          <ns0:t>보기 1</ns0:t>
        </ns0:is>
      </ns0:c>
      <ns0:c r="G1" s="1" t="inlineStr">
        <ns0:is>
          <ns0:t>보기 2</ns0:t>
        </ns0:is>
      </ns0:c>
      <ns0:c r="H1" s="1" t="inlineStr">
        <ns0:is>
          <ns0:t>보기 3</ns0:t>
        </ns0:is>
      </ns0:c>
      <ns0:c r="I1" s="1" t="inlineStr">
        <ns0:is>
          <ns0:t>정답 번호</ns0:t>
        </ns0:is>
      </ns0:c>
      <ns0:c r="J1" s="1" t="inlineStr">
        <ns0:is>
          <ns0:t>사실·해설</ns0:t>
        </ns0:is>
      </ns0:c>
      <ns0:c r="K1" s="1" t="inlineStr">
        <ns0:is>
          <ns0:t>오답 해설 1</ns0:t>
        </ns0:is>
      </ns0:c>
      <ns0:c r="L1" s="1" t="inlineStr">
        <ns0:is>
          <ns0:t>오답 해설 2</ns0:t>
        </ns0:is>
      </ns0:c>
      <ns0:c r="M1" s="1" t="inlineStr">
        <ns0:is>
          <ns0:t>오답 해설 3</ns0:t>
        </ns0:is>
      </ns0:c>
      <ns0:c r="N1" s="1" t="inlineStr">
        <ns0:is>
          <ns0:t>판단 자료</ns0:t>
        </ns0:is>
      </ns0:c>
      <ns0:c r="O1" s="1" t="inlineStr">
        <ns0:is>
          <ns0:t>출처 URL</ns0:t>
        </ns0:is>
      </ns0:c>
      <ns0:c r="P1" s="1" t="inlineStr">
        <ns0:is>
          <ns0:t>질문+최장보기 글자수</ns0:t>
        </ns0:is>
      </ns0:c>
      <ns0:c r="Q1" s="1" t="inlineStr">
        <ns0:is>
          <ns0:t>검토 상태</ns0:t>
        </ns0:is>
      </ns0:c>
    </ns0:row>
    <ns0:row r="2" ht="98" customHeight="1">
      <ns0:c r="A2" s="2" t="n">
        <ns0:v>910001</ns0:v>
      </ns0:c>
      <ns0:c r="B2" s="2" t="n">
        <ns0:v>1</ns0:v>
      </ns0:c>
      <ns0:c r="C2" s="2" t="inlineStr">
        <ns0:is>
          <ns0:t>dk-composition</ns0:t>
        </ns0:is>
      </ns0:c>
      <ns0:c r="D2" s="2" t="n">
        <ns0:v>1</ns0:v>
      </ns0:c>
      <ns0:c r="E2" s="6" t="inlineStr">
        <ns0:is>
          <ns0:t>Which are Dokdo’s two main islands?</ns0:t>
        </ns0:is>
      </ns0:c>
      <ns0:c r="F2" s="6" t="inlineStr">
        <ns0:is>
          <ns0:t>Jejudo and Seodo</ns0:t>
        </ns0:is>
      </ns0:c>
      <ns0:c r="G2" s="6" t="inlineStr">
        <ns0:is>
          <ns0:t>Dongdo and Seodo</ns0:t>
        </ns0:is>
      </ns0:c>
      <ns0:c r="H2" s="6" t="inlineStr">
        <ns0:is>
          <ns0:t>Ulleungdo and Dongdo</ns0:t>
        </ns0:is>
      </ns0:c>
      <ns0:c r="I2" s="6" t="n">
        <ns0:v>2</ns0:v>
      </ns0:c>
      <ns0:c r="J2" s="6" t="inlineStr">
        <ns0:is>
          <ns0:t>Dokdo consists of Dongdo, Seodo and smaller surrounding rocky islets.</ns0:t>
        </ns0:is>
      </ns0:c>
      <ns0:c r="K2" s="6" t="inlineStr">
        <ns0:is>
          <ns0:t>The selected option, “Jejudo and Seodo”, does not fit. The answer is “Dongdo and Seodo”. Dokdo consists of Dongdo, Seodo and smaller surrounding rocky islets.</ns0:t>
        </ns0:is>
      </ns0:c>
      <ns0:c r="L2" s="6" t="inlineStr">
        <ns0:is>
          <ns0:t>Dokdo consists of Dongdo, Seodo and smaller surrounding rocky islets.</ns0:t>
        </ns0:is>
      </ns0:c>
      <ns0:c r="M2" s="6" t="inlineStr">
        <ns0:is>
          <ns0:t>The selected option, “Ulleungdo and Dongdo”, does not fit. The answer is “Dongdo and Seodo”. Dokdo consists of Dongdo, Seodo and smaller surrounding rocky islets.</ns0:t>
        </ns0:is>
      </ns0:c>
      <ns0:c r="N2" s="6" t="inlineStr"/>
      <ns0:c r="O2" s="6" t="inlineStr">
        <ns0:is>
          <ns0:t>https://dokdo.mofa.go.kr/kor/introduce/location.jsp</ns0:t>
        </ns0:is>
      </ns0:c>
      <ns0:c r="P2" s="3">
        <ns0:f>LEN(E2)+MAX(LEN(F2),LEN(G2),LEN(H2))</ns0:f>
        <ns0:v>55</ns0:v>
      </ns0:c>
      <ns0:c r="Q2" s="7" t="inlineStr">
        <ns0:is>
          <ns0:t>출처 기반 자체 검토 / 독립 승인 전</ns0:t>
        </ns0:is>
      </ns0:c>
    </ns0:row>
    <ns0:row r="3" ht="98" customHeight="1">
      <ns0:c r="A3" s="4" t="n">
        <ns0:v>910002</ns0:v>
      </ns0:c>
      <ns0:c r="B3" s="4" t="n">
        <ns0:v>1</ns0:v>
      </ns0:c>
      <ns0:c r="C3" s="4" t="inlineStr">
        <ns0:is>
          <ns0:t>dk-composition</ns0:t>
        </ns0:is>
      </ns0:c>
      <ns0:c r="D3" s="4" t="n">
        <ns0:v>2</ns0:v>
      </ns0:c>
      <ns0:c r="E3" s="8" t="inlineStr">
        <ns0:is>
          <ns0:t>What is missing if only the two main islands are drawn?</ns0:t>
        </ns0:is>
      </ns0:c>
      <ns0:c r="F3" s="8" t="inlineStr">
        <ns0:is>
          <ns0:t>The surrounding smaller islets</ns0:t>
        </ns0:is>
      </ns0:c>
      <ns0:c r="G3" s="8" t="inlineStr">
        <ns0:is>
          <ns0:t>The locations of the two main islands</ns0:t>
        </ns0:is>
      </ns0:c>
      <ns0:c r="H3" s="8" t="inlineStr">
        <ns0:is>
          <ns0:t>Seodo itself</ns0:t>
        </ns0:is>
      </ns0:c>
      <ns0:c r="I3" s="8" t="n">
        <ns0:v>1</ns0:v>
      </ns0:c>
      <ns0:c r="J3" s="8" t="inlineStr">
        <ns0:is>
          <ns0:t>Dokdo consists of Dongdo, Seodo and smaller surrounding rocky islets.</ns0:t>
        </ns0:is>
      </ns0:c>
      <ns0:c r="K3" s="8" t="inlineStr">
        <ns0:is>
          <ns0:t>Dokdo consists of Dongdo, Seodo and smaller surrounding rocky islets.</ns0:t>
        </ns0:is>
      </ns0:c>
      <ns0:c r="L3" s="8" t="inlineStr">
        <ns0:is>
          <ns0:t>The selected option, “The locations of the two main islands”, does not fit. The answer is “The surrounding smaller islets”. Dokdo consists of Dongdo, Seodo and smaller surrounding rocky islets.</ns0:t>
        </ns0:is>
      </ns0:c>
      <ns0:c r="M3" s="8" t="inlineStr">
        <ns0:is>
          <ns0:t>The selected option, “Seodo itself”, does not fit. The answer is “The surrounding smaller islets”. Dokdo consists of Dongdo, Seodo and smaller surrounding rocky islets.</ns0:t>
        </ns0:is>
      </ns0:c>
      <ns0:c r="N3" s="8" t="inlineStr"/>
      <ns0:c r="O3" s="8" t="inlineStr">
        <ns0:is>
          <ns0:t>https://dokdo.mofa.go.kr/kor/introduce/location.jsp</ns0:t>
        </ns0:is>
      </ns0:c>
      <ns0:c r="P3" s="5">
        <ns0:f>LEN(E3)+MAX(LEN(F3),LEN(G3),LEN(H3))</ns0:f>
        <ns0:v>92</ns0:v>
      </ns0:c>
      <ns0:c r="Q3" s="9" t="inlineStr">
        <ns0:is>
          <ns0:t>출처 기반 자체 검토 / 독립 승인 전</ns0:t>
        </ns0:is>
      </ns0:c>
    </ns0:row>
    <ns0:row r="4" ht="98" customHeight="1">
      <ns0:c r="A4" s="2" t="n">
        <ns0:v>910003</ns0:v>
      </ns0:c>
      <ns0:c r="B4" s="2" t="n">
        <ns0:v>1</ns0:v>
      </ns0:c>
      <ns0:c r="C4" s="2" t="inlineStr">
        <ns0:is>
          <ns0:t>dk-composition</ns0:t>
        </ns0:is>
      </ns0:c>
      <ns0:c r="D4" s="2" t="n">
        <ns0:v>3</ns0:v>
      </ns0:c>
      <ns0:c r="E4" s="6" t="inlineStr">
        <ns0:is>
          <ns0:t>What does the number 89 count in the source?</ns0:t>
        </ns0:is>
      </ns0:c>
      <ns0:c r="F4" s="6" t="inlineStr">
        <ns0:is>
          <ns0:t>All islands including Dongdo and Seodo</ns0:t>
        </ns0:is>
      </ns0:c>
      <ns0:c r="G4" s="6" t="inlineStr">
        <ns0:is>
          <ns0:t>Peaks within Dongdo</ns0:t>
        </ns0:is>
      </ns0:c>
      <ns0:c r="H4" s="6" t="inlineStr">
        <ns0:is>
          <ns0:t>Associated islets counted separately from the two main islands</ns0:t>
        </ns0:is>
      </ns0:c>
      <ns0:c r="I4" s="6" t="n">
        <ns0:v>3</ns0:v>
      </ns0:c>
      <ns0:c r="J4" s="6" t="inlineStr">
        <ns0:is>
          <ns0:t>Dokdo consists of Dongdo, Seodo and smaller surrounding rocky islets.</ns0:t>
        </ns0:is>
      </ns0:c>
      <ns0:c r="K4" s="6" t="inlineStr">
        <ns0:is>
          <ns0:t>The selected option, “All islands including Dongdo and Seodo”, does not fit. The answer is “Associated islets counted separately from the two main islands”. Dokdo consists of Dongdo, Seodo and smaller surrounding rocky islets.</ns0:t>
        </ns0:is>
      </ns0:c>
      <ns0:c r="L4" s="6" t="inlineStr">
        <ns0:is>
          <ns0:t>The selected option, “Peaks within Dongdo”, does not fit. The answer is “Associated islets counted separately from the two main islands”. Dokdo consists of Dongdo, Seodo and smaller surrounding rocky islets.</ns0:t>
        </ns0:is>
      </ns0:c>
      <ns0:c r="M4" s="6" t="inlineStr">
        <ns0:is>
          <ns0:t>Dokdo consists of Dongdo, Seodo and smaller surrounding rocky islets.</ns0:t>
        </ns0:is>
      </ns0:c>
      <ns0:c r="N4" s="6" t="inlineStr">
        <ns0:is>
          <ns0:t>MOFA describes Dokdo as the two main islands Dongdo and Seodo, plus 89 associated islets.</ns0:t>
        </ns0:is>
      </ns0:c>
      <ns0:c r="O4" s="6" t="inlineStr">
        <ns0:is>
          <ns0:t>https://dokdo.mofa.go.kr/kor/introduce/location.jsp</ns0:t>
        </ns0:is>
      </ns0:c>
      <ns0:c r="P4" s="3">
        <ns0:f>LEN(E4)+MAX(LEN(F4),LEN(G4),LEN(H4))</ns0:f>
        <ns0:v>106</ns0:v>
      </ns0:c>
      <ns0:c r="Q4" s="7" t="inlineStr">
        <ns0:is>
          <ns0:t>출처 기반 자체 검토 / 독립 승인 전</ns0:t>
        </ns0:is>
      </ns0:c>
    </ns0:row>
    <ns0:row r="5" ht="98" customHeight="1">
      <ns0:c r="A5" s="4" t="n">
        <ns0:v>910004</ns0:v>
      </ns0:c>
      <ns0:c r="B5" s="4" t="n">
        <ns0:v>1</ns0:v>
      </ns0:c>
      <ns0:c r="C5" s="4" t="inlineStr">
        <ns0:is>
          <ns0:t>dk-composition</ns0:t>
        </ns0:is>
      </ns0:c>
      <ns0:c r="D5" s="4" t="n">
        <ns0:v>4</ns0:v>
      </ns0:c>
      <ns0:c r="E5" s="8" t="inlineStr">
        <ns0:is>
          <ns0:t>How should “Dokdo consists of only two islands” be revised?</ns0:t>
        </ns0:is>
      </ns0:c>
      <ns0:c r="F5" s="8" t="inlineStr">
        <ns0:is>
          <ns0:t>Describe all 89 as main islands</ns0:t>
        </ns0:is>
      </ns0:c>
      <ns0:c r="G5" s="8" t="inlineStr">
        <ns0:is>
          <ns0:t>Distinguish the main islands from associated islets</ns0:t>
        </ns0:is>
      </ns0:c>
      <ns0:c r="H5" s="8" t="inlineStr">
        <ns0:is>
          <ns0:t>Exclude all smaller islets from Dokdo</ns0:t>
        </ns0:is>
      </ns0:c>
      <ns0:c r="I5" s="8" t="n">
        <ns0:v>2</ns0:v>
      </ns0:c>
      <ns0:c r="J5" s="8" t="inlineStr">
        <ns0:is>
          <ns0:t>Dokdo consists of Dongdo, Seodo and smaller surrounding rocky islets. Naming the principal islands is not a complete description of the group.</ns0:t>
        </ns0:is>
      </ns0:c>
      <ns0:c r="K5" s="8" t="inlineStr">
        <ns0:is>
          <ns0:t>The selected option, “Describe all 89 as main islands”, does not fit. The answer is “Distinguish the main islands from associated islets”. Dokdo consists of Dongdo, Seodo and smaller surrounding rocky islets. Naming the principal islands is not a complete description of the group.</ns0:t>
        </ns0:is>
      </ns0:c>
      <ns0:c r="L5" s="8" t="inlineStr">
        <ns0:is>
          <ns0:t>Dokdo consists of Dongdo, Seodo and smaller surrounding rocky islets. Naming the principal islands is not a complete description of the group.</ns0:t>
        </ns0:is>
      </ns0:c>
      <ns0:c r="M5" s="8" t="inlineStr">
        <ns0:is>
          <ns0:t>The selected option, “Exclude all smaller islets from Dokdo”, does not fit. The answer is “Distinguish the main islands from associated islets”. Dokdo consists of Dongdo, Seodo and smaller surrounding rocky islets. Naming the principal islands is not a complete description of the group.</ns0:t>
        </ns0:is>
      </ns0:c>
      <ns0:c r="N5" s="8" t="inlineStr">
        <ns0:is>
          <ns0:t>MOFA describes Dokdo as the two main islands Dongdo and Seodo, plus 89 associated islets.</ns0:t>
        </ns0:is>
      </ns0:c>
      <ns0:c r="O5" s="8" t="inlineStr">
        <ns0:is>
          <ns0:t>https://dokdo.mofa.go.kr/kor/introduce/location.jsp</ns0:t>
        </ns0:is>
      </ns0:c>
      <ns0:c r="P5" s="5">
        <ns0:f>LEN(E5)+MAX(LEN(F5),LEN(G5),LEN(H5))</ns0:f>
        <ns0:v>110</ns0:v>
      </ns0:c>
      <ns0:c r="Q5" s="9" t="inlineStr">
        <ns0:is>
          <ns0:t>출처 기반 자체 검토 / 독립 승인 전</ns0:t>
        </ns0:is>
      </ns0:c>
    </ns0:row>
    <ns0:row r="6" ht="98" customHeight="1">
      <ns0:c r="A6" s="2" t="n">
        <ns0:v>910005</ns0:v>
      </ns0:c>
      <ns0:c r="B6" s="2" t="n">
        <ns0:v>1</ns0:v>
      </ns0:c>
      <ns0:c r="C6" s="2" t="inlineStr">
        <ns0:is>
          <ns0:t>dk-relative-location</ns0:t>
        </ns0:is>
      </ns0:c>
      <ns0:c r="D6" s="2" t="n">
        <ns0:v>1</ns0:v>
      </ns0:c>
      <ns0:c r="E6" s="6" t="inlineStr">
        <ns0:is>
          <ns0:t>In which direction is Dokdo from Ulleungdo?</ns0:t>
        </ns0:is>
      </ns0:c>
      <ns0:c r="F6" s="6" t="inlineStr">
        <ns0:is>
          <ns0:t>Southeast</ns0:t>
        </ns0:is>
      </ns0:c>
      <ns0:c r="G6" s="6" t="inlineStr">
        <ns0:is>
          <ns0:t>Northwest</ns0:t>
        </ns0:is>
      </ns0:c>
      <ns0:c r="H6" s="6" t="inlineStr">
        <ns0:is>
          <ns0:t>Southwest</ns0:t>
        </ns0:is>
      </ns0:c>
      <ns0:c r="I6" s="6" t="n">
        <ns0:v>1</ns0:v>
      </ns0:c>
      <ns0:c r="J6" s="6" t="inlineStr">
        <ns0:is>
          <ns0:t>Dokdo lies about 87.4 km southeast of Ulleungdo.</ns0:t>
        </ns0:is>
      </ns0:c>
      <ns0:c r="K6" s="6" t="inlineStr">
        <ns0:is>
          <ns0:t>Dokdo lies about 87.4 km southeast of Ulleungdo.</ns0:t>
        </ns0:is>
      </ns0:c>
      <ns0:c r="L6" s="6" t="inlineStr">
        <ns0:is>
          <ns0:t>The selected option, “Northwest”, does not fit. The answer is “Southeast”. Dokdo lies about 87.4 km southeast of Ulleungdo.</ns0:t>
        </ns0:is>
      </ns0:c>
      <ns0:c r="M6" s="6" t="inlineStr">
        <ns0:is>
          <ns0:t>The selected option, “Southwest”, does not fit. The answer is “Southeast”. Dokdo lies about 87.4 km southeast of Ulleungdo.</ns0:t>
        </ns0:is>
      </ns0:c>
      <ns0:c r="N6" s="6" t="inlineStr"/>
      <ns0:c r="O6" s="6" t="inlineStr">
        <ns0:is>
          <ns0:t>https://dokdo.mofa.go.kr/kor/introduce/location.jsp</ns0:t>
        </ns0:is>
      </ns0:c>
      <ns0:c r="P6" s="3">
        <ns0:f>LEN(E6)+MAX(LEN(F6),LEN(G6),LEN(H6))</ns0:f>
        <ns0:v>52</ns0:v>
      </ns0:c>
      <ns0:c r="Q6" s="7" t="inlineStr">
        <ns0:is>
          <ns0:t>출처 기반 자체 검토 / 독립 승인 전</ns0:t>
        </ns0:is>
      </ns0:c>
    </ns0:row>
    <ns0:row r="7" ht="98" customHeight="1">
      <ns0:c r="A7" s="4" t="n">
        <ns0:v>910006</ns0:v>
      </ns0:c>
      <ns0:c r="B7" s="4" t="n">
        <ns0:v>1</ns0:v>
      </ns0:c>
      <ns0:c r="C7" s="4" t="inlineStr">
        <ns0:is>
          <ns0:t>dk-relative-location</ns0:t>
        </ns0:is>
      </ns0:c>
      <ns0:c r="D7" s="4" t="n">
        <ns0:v>2</ns0:v>
      </ns0:c>
      <ns0:c r="E7" s="8" t="inlineStr">
        <ns0:is>
          <ns0:t>How are Ulleungdo and Dokdo related geographically?</ns0:t>
        </ns0:is>
      </ns0:c>
      <ns0:c r="F7" s="8" t="inlineStr">
        <ns0:is>
          <ns0:t>Names for two sides of one island</ns0:t>
        </ns0:is>
      </ns0:c>
      <ns0:c r="G7" s="8" t="inlineStr">
        <ns0:is>
          <ns0:t>Both are within Dongdo</ns0:t>
        </ns0:is>
      </ns0:c>
      <ns0:c r="H7" s="8" t="inlineStr">
        <ns0:is>
          <ns0:t>Separate islands with sea between them</ns0:t>
        </ns0:is>
      </ns0:c>
      <ns0:c r="I7" s="8" t="n">
        <ns0:v>3</ns0:v>
      </ns0:c>
      <ns0:c r="J7" s="8" t="inlineStr">
        <ns0:is>
          <ns0:t>Dokdo lies about 87.4 km southeast of Ulleungdo.</ns0:t>
        </ns0:is>
      </ns0:c>
      <ns0:c r="K7" s="8" t="inlineStr">
        <ns0:is>
          <ns0:t>The selected option, “Names for two sides of one island”, does not fit. The answer is “Separate islands with sea between them”. Dokdo lies about 87.4 km southeast of Ulleungdo.</ns0:t>
        </ns0:is>
      </ns0:c>
      <ns0:c r="L7" s="8" t="inlineStr">
        <ns0:is>
          <ns0:t>The selected option, “Both are within Dongdo”, does not fit. The answer is “Separate islands with sea between them”. Dokdo lies about 87.4 km southeast of Ulleungdo.</ns0:t>
        </ns0:is>
      </ns0:c>
      <ns0:c r="M7" s="8" t="inlineStr">
        <ns0:is>
          <ns0:t>Dokdo lies about 87.4 km southeast of Ulleungdo.</ns0:t>
        </ns0:is>
      </ns0:c>
      <ns0:c r="N7" s="8" t="inlineStr"/>
      <ns0:c r="O7" s="8" t="inlineStr">
        <ns0:is>
          <ns0:t>https://dokdo.mofa.go.kr/kor/introduce/location.jsp</ns0:t>
        </ns0:is>
      </ns0:c>
      <ns0:c r="P7" s="5">
        <ns0:f>LEN(E7)+MAX(LEN(F7),LEN(G7),LEN(H7))</ns0:f>
        <ns0:v>89</ns0:v>
      </ns0:c>
      <ns0:c r="Q7" s="9" t="inlineStr">
        <ns0:is>
          <ns0:t>출처 기반 자체 검토 / 독립 승인 전</ns0:t>
        </ns0:is>
      </ns0:c>
    </ns0:row>
    <ns0:row r="8" ht="98" customHeight="1">
      <ns0:c r="A8" s="2" t="n">
        <ns0:v>910007</ns0:v>
      </ns0:c>
      <ns0:c r="B8" s="2" t="n">
        <ns0:v>1</ns0:v>
      </ns0:c>
      <ns0:c r="C8" s="2" t="inlineStr">
        <ns0:is>
          <ns0:t>dk-relative-location</ns0:t>
        </ns0:is>
      </ns0:c>
      <ns0:c r="D8" s="2" t="n">
        <ns0:v>3</ns0:v>
      </ns0:c>
      <ns0:c r="E8" s="6" t="inlineStr">
        <ns0:is>
          <ns0:t>Which place is closer to Dokdo in the supplied data?</ns0:t>
        </ns0:is>
      </ns0:c>
      <ns0:c r="F8" s="6" t="inlineStr">
        <ns0:is>
          <ns0:t>Both are equally far away</ns0:t>
        </ns0:is>
      </ns0:c>
      <ns0:c r="G8" s="6" t="inlineStr">
        <ns0:is>
          <ns0:t>Ulleungdo</ns0:t>
        </ns0:is>
      </ns0:c>
      <ns0:c r="H8" s="6" t="inlineStr">
        <ns0:is>
          <ns0:t>The Oki Islands</ns0:t>
        </ns0:is>
      </ns0:c>
      <ns0:c r="I8" s="6" t="n">
        <ns0:v>2</ns0:v>
      </ns0:c>
      <ns0:c r="J8" s="6" t="inlineStr">
        <ns0:is>
          <ns0:t>Dokdo lies about 87.4 km southeast of Ulleungdo. 87.4 km is shorter than 157.5 km.</ns0:t>
        </ns0:is>
      </ns0:c>
      <ns0:c r="K8" s="6" t="inlineStr">
        <ns0:is>
          <ns0:t>The selected option, “Both are equally far away”, does not fit. The answer is “Ulleungdo”. Dokdo lies about 87.4 km southeast of Ulleungdo. 87.4 km is shorter than 157.5 km.</ns0:t>
        </ns0:is>
      </ns0:c>
      <ns0:c r="L8" s="6" t="inlineStr">
        <ns0:is>
          <ns0:t>Dokdo lies about 87.4 km southeast of Ulleungdo. 87.4 km is shorter than 157.5 km.</ns0:t>
        </ns0:is>
      </ns0:c>
      <ns0:c r="M8" s="6" t="inlineStr">
        <ns0:is>
          <ns0:t>The selected option, “The Oki Islands”, does not fit. The answer is “Ulleungdo”. Dokdo lies about 87.4 km southeast of Ulleungdo. 87.4 km is shorter than 157.5 km.</ns0:t>
        </ns0:is>
      </ns0:c>
      <ns0:c r="N8" s="6" t="inlineStr">
        <ns0:is>
          <ns0:t>Distances from Dokdo: Ulleungdo 87.4 km; Japan’s Oki Islands 157.5 km. Both measurements start at Dokdo.</ns0:t>
        </ns0:is>
      </ns0:c>
      <ns0:c r="O8" s="6" t="inlineStr">
        <ns0:is>
          <ns0:t>https://dokdo.mofa.go.kr/kor/introduce/location.jsp</ns0:t>
        </ns0:is>
      </ns0:c>
      <ns0:c r="P8" s="3">
        <ns0:f>LEN(E8)+MAX(LEN(F8),LEN(G8),LEN(H8))</ns0:f>
        <ns0:v>77</ns0:v>
      </ns0:c>
      <ns0:c r="Q8" s="7" t="inlineStr">
        <ns0:is>
          <ns0:t>출처 기반 자체 검토 / 독립 승인 전</ns0:t>
        </ns0:is>
      </ns0:c>
    </ns0:row>
    <ns0:row r="9" ht="98" customHeight="1">
      <ns0:c r="A9" s="4" t="n">
        <ns0:v>910008</ns0:v>
      </ns0:c>
      <ns0:c r="B9" s="4" t="n">
        <ns0:v>1</ns0:v>
      </ns0:c>
      <ns0:c r="C9" s="4" t="inlineStr">
        <ns0:is>
          <ns0:t>dk-relative-location</ns0:t>
        </ns0:is>
      </ns0:c>
      <ns0:c r="D9" s="4" t="n">
        <ns0:v>4</ns0:v>
      </ns0:c>
      <ns0:c r="E9" s="8" t="inlineStr">
        <ns0:is>
          <ns0:t>Which claim is supported by this distance table alone?</ns0:t>
        </ns0:is>
      </ns0:c>
      <ns0:c r="F9" s="8" t="inlineStr">
        <ns0:is>
          <ns0:t>Ulleungdo is closer to Dokdo than Oki is</ns0:t>
        </ns0:is>
      </ns0:c>
      <ns0:c r="G9" s="8" t="inlineStr">
        <ns0:is>
          <ns0:t>Distance alone determines all territorial history</ns0:t>
        </ns0:is>
      </ns0:c>
      <ns0:c r="H9" s="8" t="inlineStr">
        <ns0:is>
          <ns0:t>Ulleungdo and Dokdo are connected by land</ns0:t>
        </ns0:is>
      </ns0:c>
      <ns0:c r="I9" s="8" t="n">
        <ns0:v>1</ns0:v>
      </ns0:c>
      <ns0:c r="J9" s="8" t="inlineStr">
        <ns0:is>
          <ns0:t>Dokdo lies about 87.4 km southeast of Ulleungdo. A distance comparison is distinct from assessing historical and legal evidence.</ns0:t>
        </ns0:is>
      </ns0:c>
      <ns0:c r="K9" s="8" t="inlineStr">
        <ns0:is>
          <ns0:t>Dokdo lies about 87.4 km southeast of Ulleungdo. A distance comparison is distinct from assessing historical and legal evidence.</ns0:t>
        </ns0:is>
      </ns0:c>
      <ns0:c r="L9" s="8" t="inlineStr">
        <ns0:is>
          <ns0:t>The selected option, “Distance alone determines all territorial history”, does not fit. The answer is “Ulleungdo is closer to Dokdo than Oki is”. Dokdo lies about 87.4 km southeast of Ulleungdo. A distance comparison is distinct from assessing historical and legal evidence.</ns0:t>
        </ns0:is>
      </ns0:c>
      <ns0:c r="M9" s="8" t="inlineStr">
        <ns0:is>
          <ns0:t>The selected option, “Ulleungdo and Dokdo are connected by land”, does not fit. The answer is “Ulleungdo is closer to Dokdo than Oki is”. Dokdo lies about 87.4 km southeast of Ulleungdo. A distance comparison is distinct from assessing historical and legal evidence.</ns0:t>
        </ns0:is>
      </ns0:c>
      <ns0:c r="N9" s="8" t="inlineStr">
        <ns0:is>
          <ns0:t>Distances from Dokdo: Ulleungdo 87.4 km; Japan’s Oki Islands 157.5 km. Both measurements start at Dokdo.</ns0:t>
        </ns0:is>
      </ns0:c>
      <ns0:c r="O9" s="8" t="inlineStr">
        <ns0:is>
          <ns0:t>https://dokdo.mofa.go.kr/kor/introduce/location.jsp</ns0:t>
        </ns0:is>
      </ns0:c>
      <ns0:c r="P9" s="5">
        <ns0:f>LEN(E9)+MAX(LEN(F9),LEN(G9),LEN(H9))</ns0:f>
        <ns0:v>103</ns0:v>
      </ns0:c>
      <ns0:c r="Q9" s="9" t="inlineStr">
        <ns0:is>
          <ns0:t>출처 기반 자체 검토 / 독립 승인 전</ns0:t>
        </ns0:is>
      </ns0:c>
    </ns0:row>
    <ns0:row r="10" ht="98" customHeight="1">
      <ns0:c r="A10" s="2" t="n">
        <ns0:v>910009</ns0:v>
      </ns0:c>
      <ns0:c r="B10" s="2" t="n">
        <ns0:v>1</ns0:v>
      </ns0:c>
      <ns0:c r="C10" s="2" t="inlineStr">
        <ns0:is>
          <ns0:t>dk-orientation</ns0:t>
        </ns0:is>
      </ns0:c>
      <ns0:c r="D10" s="2" t="n">
        <ns0:v>1</ns0:v>
      </ns0:c>
      <ns0:c r="E10" s="6" t="inlineStr">
        <ns0:is>
          <ns0:t>What is Dokdo’s eastern main island called?</ns0:t>
        </ns0:is>
      </ns0:c>
      <ns0:c r="F10" s="6" t="inlineStr">
        <ns0:is>
          <ns0:t>Seodo</ns0:t>
        </ns0:is>
      </ns0:c>
      <ns0:c r="G10" s="6" t="inlineStr">
        <ns0:is>
          <ns0:t>Ulleungdo</ns0:t>
        </ns0:is>
      </ns0:c>
      <ns0:c r="H10" s="6" t="inlineStr">
        <ns0:is>
          <ns0:t>Dongdo</ns0:t>
        </ns0:is>
      </ns0:c>
      <ns0:c r="I10" s="6" t="n">
        <ns0:v>3</ns0:v>
      </ns0:c>
      <ns0:c r="J10" s="6" t="inlineStr">
        <ns0:is>
          <ns0:t>Seodo is the western main island and Dongdo the eastern one. Rotating a map does not change geographic directions.</ns0:t>
        </ns0:is>
      </ns0:c>
      <ns0:c r="K10" s="6" t="inlineStr">
        <ns0:is>
          <ns0:t>The selected option, “Seodo”, does not fit. The answer is “Dongdo”. Seodo is the western main island and Dongdo the eastern one. Rotating a map does not change geographic directions.</ns0:t>
        </ns0:is>
      </ns0:c>
      <ns0:c r="L10" s="6" t="inlineStr">
        <ns0:is>
          <ns0:t>The selected option, “Ulleungdo”, does not fit. The answer is “Dongdo”. Seodo is the western main island and Dongdo the eastern one. Rotating a map does not change geographic directions.</ns0:t>
        </ns0:is>
      </ns0:c>
      <ns0:c r="M10" s="6" t="inlineStr">
        <ns0:is>
          <ns0:t>Seodo is the western main island and Dongdo the eastern one. Rotating a map does not change geographic directions.</ns0:t>
        </ns0:is>
      </ns0:c>
      <ns0:c r="N10" s="6" t="inlineStr"/>
      <ns0:c r="O10" s="6" t="inlineStr">
        <ns0:is>
          <ns0:t>https://dokdo.mofa.go.kr/kor/introduce/location.jsp</ns0:t>
        </ns0:is>
      </ns0:c>
      <ns0:c r="P10" s="3">
        <ns0:f>LEN(E10)+MAX(LEN(F10),LEN(G10),LEN(H10))</ns0:f>
        <ns0:v>52</ns0:v>
      </ns0:c>
      <ns0:c r="Q10" s="7" t="inlineStr">
        <ns0:is>
          <ns0:t>출처 기반 자체 검토 / 독립 승인 전</ns0:t>
        </ns0:is>
      </ns0:c>
    </ns0:row>
    <ns0:row r="11" ht="98" customHeight="1">
      <ns0:c r="A11" s="4" t="n">
        <ns0:v>910010</ns0:v>
      </ns0:c>
      <ns0:c r="B11" s="4" t="n">
        <ns0:v>1</ns0:v>
      </ns0:c>
      <ns0:c r="C11" s="4" t="inlineStr">
        <ns0:is>
          <ns0:t>dk-orientation</ns0:t>
        </ns0:is>
      </ns0:c>
      <ns0:c r="D11" s="4" t="n">
        <ns0:v>2</ns0:v>
      </ns0:c>
      <ns0:c r="E11" s="8" t="inlineStr">
        <ns0:is>
          <ns0:t>Which direction is linked to “seo” in Seodo?</ns0:t>
        </ns0:is>
      </ns0:c>
      <ns0:c r="F11" s="8" t="inlineStr">
        <ns0:is>
          <ns0:t>North</ns0:t>
        </ns0:is>
      </ns0:c>
      <ns0:c r="G11" s="8" t="inlineStr">
        <ns0:is>
          <ns0:t>West</ns0:t>
        </ns0:is>
      </ns0:c>
      <ns0:c r="H11" s="8" t="inlineStr">
        <ns0:is>
          <ns0:t>East</ns0:t>
        </ns0:is>
      </ns0:c>
      <ns0:c r="I11" s="8" t="n">
        <ns0:v>2</ns0:v>
      </ns0:c>
      <ns0:c r="J11" s="8" t="inlineStr">
        <ns0:is>
          <ns0:t>Seodo is the western main island and Dongdo the eastern one. Rotating a map does not change geographic directions.</ns0:t>
        </ns0:is>
      </ns0:c>
      <ns0:c r="K11" s="8" t="inlineStr">
        <ns0:is>
          <ns0:t>The selected option, “North”, does not fit. The answer is “West”. Seodo is the western main island and Dongdo the eastern one. Rotating a map does not change geographic directions.</ns0:t>
        </ns0:is>
      </ns0:c>
      <ns0:c r="L11" s="8" t="inlineStr">
        <ns0:is>
          <ns0:t>Seodo is the western main island and Dongdo the eastern one. Rotating a map does not change geographic directions.</ns0:t>
        </ns0:is>
      </ns0:c>
      <ns0:c r="M11" s="8" t="inlineStr">
        <ns0:is>
          <ns0:t>The selected option, “East”, does not fit. The answer is “West”. Seodo is the western main island and Dongdo the eastern one. Rotating a map does not change geographic directions.</ns0:t>
        </ns0:is>
      </ns0:c>
      <ns0:c r="N11" s="8" t="inlineStr"/>
      <ns0:c r="O11" s="8" t="inlineStr">
        <ns0:is>
          <ns0:t>https://dokdo.mofa.go.kr/kor/introduce/location.jsp</ns0:t>
        </ns0:is>
      </ns0:c>
      <ns0:c r="P11" s="5">
        <ns0:f>LEN(E11)+MAX(LEN(F11),LEN(G11),LEN(H11))</ns0:f>
        <ns0:v>49</ns0:v>
      </ns0:c>
      <ns0:c r="Q11" s="9" t="inlineStr">
        <ns0:is>
          <ns0:t>출처 기반 자체 검토 / 독립 승인 전</ns0:t>
        </ns0:is>
      </ns0:c>
    </ns0:row>
    <ns0:row r="12" ht="98" customHeight="1">
      <ns0:c r="A12" s="2" t="n">
        <ns0:v>910011</ns0:v>
      </ns0:c>
      <ns0:c r="B12" s="2" t="n">
        <ns0:v>1</ns0:v>
      </ns0:c>
      <ns0:c r="C12" s="2" t="inlineStr">
        <ns0:is>
          <ns0:t>dk-orientation</ns0:t>
        </ns0:is>
      </ns0:c>
      <ns0:c r="D12" s="2" t="n">
        <ns0:v>3</ns0:v>
      </ns0:c>
      <ns0:c r="E12" s="6" t="inlineStr">
        <ns0:is>
          <ns0:t>On the supplied schematic, where is Dongdo relative to Seodo?</ns0:t>
        </ns0:is>
      </ns0:c>
      <ns0:c r="F12" s="6" t="inlineStr">
        <ns0:is>
          <ns0:t>To the right</ns0:t>
        </ns0:is>
      </ns0:c>
      <ns0:c r="G12" s="6" t="inlineStr">
        <ns0:is>
          <ns0:t>To the left</ns0:t>
        </ns0:is>
      </ns0:c>
      <ns0:c r="H12" s="6" t="inlineStr">
        <ns0:is>
          <ns0:t>At the same point</ns0:t>
        </ns0:is>
      </ns0:c>
      <ns0:c r="I12" s="6" t="n">
        <ns0:v>1</ns0:v>
      </ns0:c>
      <ns0:c r="J12" s="6" t="inlineStr">
        <ns0:is>
          <ns0:t>Seodo is the western main island and Dongdo the eastern one. Rotating a map does not change geographic directions.</ns0:t>
        </ns0:is>
      </ns0:c>
      <ns0:c r="K12" s="6" t="inlineStr">
        <ns0:is>
          <ns0:t>Seodo is the western main island and Dongdo the eastern one. Rotating a map does not change geographic directions.</ns0:t>
        </ns0:is>
      </ns0:c>
      <ns0:c r="L12" s="6" t="inlineStr">
        <ns0:is>
          <ns0:t>The selected option, “To the left”, does not fit. The answer is “To the right”. Seodo is the western main island and Dongdo the eastern one. Rotating a map does not change geographic directions.</ns0:t>
        </ns0:is>
      </ns0:c>
      <ns0:c r="M12" s="6" t="inlineStr">
        <ns0:is>
          <ns0:t>The selected option, “At the same point”, does not fit. The answer is “To the right”. Seodo is the western main island and Dongdo the eastern one. Rotating a map does not change geographic directions.</ns0:t>
        </ns0:is>
      </ns0:c>
      <ns0:c r="N12" s="6" t="inlineStr">
        <ns0:is>
          <ns0:t>Orientation diagram: north up, west left, east right. Seodo is on the left and Dongdo on the right. This schematic does not measure shorelines or distance.</ns0:t>
        </ns0:is>
      </ns0:c>
      <ns0:c r="O12" s="6" t="inlineStr">
        <ns0:is>
          <ns0:t>https://dokdo.mofa.go.kr/kor/introduce/location.jsp</ns0:t>
        </ns0:is>
      </ns0:c>
      <ns0:c r="P12" s="3">
        <ns0:f>LEN(E12)+MAX(LEN(F12),LEN(G12),LEN(H12))</ns0:f>
        <ns0:v>78</ns0:v>
      </ns0:c>
      <ns0:c r="Q12" s="7" t="inlineStr">
        <ns0:is>
          <ns0:t>출처 기반 자체 검토 / 독립 승인 전</ns0:t>
        </ns0:is>
      </ns0:c>
    </ns0:row>
    <ns0:row r="13" ht="98" customHeight="1">
      <ns0:c r="A13" s="4" t="n">
        <ns0:v>910012</ns0:v>
      </ns0:c>
      <ns0:c r="B13" s="4" t="n">
        <ns0:v>1</ns0:v>
      </ns0:c>
      <ns0:c r="C13" s="4" t="inlineStr">
        <ns0:is>
          <ns0:t>dk-orientation</ns0:t>
        </ns0:is>
      </ns0:c>
      <ns0:c r="D13" s="4" t="n">
        <ns0:v>4</ns0:v>
      </ns0:c>
      <ns0:c r="E13" s="8" t="inlineStr">
        <ns0:is>
          <ns0:t>What if a rotated map shows Dongdo on the left?</ns0:t>
        </ns0:is>
      </ns0:c>
      <ns0:c r="F13" s="8" t="inlineStr">
        <ns0:is>
          <ns0:t>Rename Dongdo as Seodo</ns0:t>
        </ns0:is>
      </ns0:c>
      <ns0:c r="G13" s="8" t="inlineStr">
        <ns0:is>
          <ns0:t>Conclude that the island physically moved</ns0:t>
        </ns0:is>
      </ns0:c>
      <ns0:c r="H13" s="8" t="inlineStr">
        <ns0:is>
          <ns0:t>Use the compass marker to determine east and west</ns0:t>
        </ns0:is>
      </ns0:c>
      <ns0:c r="I13" s="8" t="n">
        <ns0:v>3</ns0:v>
      </ns0:c>
      <ns0:c r="J13" s="8" t="inlineStr">
        <ns0:is>
          <ns0:t>Seodo is the western main island and Dongdo the eastern one. Rotating a map does not change geographic directions. Screen left and right need not correspond to geographic west and east.</ns0:t>
        </ns0:is>
      </ns0:c>
      <ns0:c r="K13" s="8" t="inlineStr">
        <ns0:is>
          <ns0:t>The selected option, “Rename Dongdo as Seodo”, does not fit. The answer is “Use the compass marker to determine east and west”. Seodo is the western main island and Dongdo the eastern one. Rotating a map does not change geographic directions. Screen left and right need not correspond to geographic west and east.</ns0:t>
        </ns0:is>
      </ns0:c>
      <ns0:c r="L13" s="8" t="inlineStr">
        <ns0:is>
          <ns0:t>The selected option, “Conclude that the island physically moved”, does not fit. The answer is “Use the compass marker to determine east and west”. Seodo is the western main island and Dongdo the eastern one. Rotating a map does not change geographic directions. Screen left and right need not correspond to geographic west and east.</ns0:t>
        </ns0:is>
      </ns0:c>
      <ns0:c r="M13" s="8" t="inlineStr">
        <ns0:is>
          <ns0:t>Seodo is the western main island and Dongdo the eastern one. Rotating a map does not change geographic directions. Screen left and right need not correspond to geographic west and east.</ns0:t>
        </ns0:is>
      </ns0:c>
      <ns0:c r="N13" s="8" t="inlineStr">
        <ns0:is>
          <ns0:t>Orientation diagram: north up, west left, east right. Seodo is on the left and Dongdo on the right. This schematic does not measure shorelines or distance.</ns0:t>
        </ns0:is>
      </ns0:c>
      <ns0:c r="O13" s="8" t="inlineStr">
        <ns0:is>
          <ns0:t>https://dokdo.mofa.go.kr/kor/introduce/location.jsp</ns0:t>
        </ns0:is>
      </ns0:c>
      <ns0:c r="P13" s="5">
        <ns0:f>LEN(E13)+MAX(LEN(F13),LEN(G13),LEN(H13))</ns0:f>
        <ns0:v>96</ns0:v>
      </ns0:c>
      <ns0:c r="Q13" s="9" t="inlineStr">
        <ns0:is>
          <ns0:t>출처 기반 자체 검토 / 독립 승인 전</ns0:t>
        </ns0:is>
      </ns0:c>
    </ns0:row>
    <ns0:row r="14" ht="98" customHeight="1">
      <ns0:c r="A14" s="2" t="n">
        <ns0:v>910013</ns0:v>
      </ns0:c>
      <ns0:c r="B14" s="2" t="n">
        <ns0:v>1</ns0:v>
      </ns0:c>
      <ns0:c r="C14" s="2" t="inlineStr">
        <ns0:is>
          <ns0:t>dk-visibility</ns0:t>
        </ns0:is>
      </ns0:c>
      <ns0:c r="D14" s="2" t="n">
        <ns0:v>1</ns0:v>
      </ns0:c>
      <ns0:c r="E14" s="6" t="inlineStr">
        <ns0:is>
          <ns0:t>What weather helps people see Dokdo from Ulleungdo?</ns0:t>
        </ns0:is>
      </ns0:c>
      <ns0:c r="F14" s="6" t="inlineStr">
        <ns0:is>
          <ns0:t>Rain obscuring the view</ns0:t>
        </ns0:is>
      </ns0:c>
      <ns0:c r="G14" s="6" t="inlineStr">
        <ns0:is>
          <ns0:t>A clear day</ns0:t>
        </ns0:is>
      </ns0:c>
      <ns0:c r="H14" s="6" t="inlineStr">
        <ns0:is>
          <ns0:t>Thick fog</ns0:t>
        </ns0:is>
      </ns0:c>
      <ns0:c r="I14" s="6" t="n">
        <ns0:v>2</ns0:v>
      </ns0:c>
      <ns0:c r="J14" s="6" t="inlineStr">
        <ns0:is>
          <ns0:t>Dokdo can be seen from Ulleungdo in clear weather. Fog or rain can obscure the view.</ns0:t>
        </ns0:is>
      </ns0:c>
      <ns0:c r="K14" s="6" t="inlineStr">
        <ns0:is>
          <ns0:t>The selected option, “Rain obscuring the view”, does not fit. The answer is “A clear day”. Dokdo can be seen from Ulleungdo in clear weather. Fog or rain can obscure the view.</ns0:t>
        </ns0:is>
      </ns0:c>
      <ns0:c r="L14" s="6" t="inlineStr">
        <ns0:is>
          <ns0:t>Dokdo can be seen from Ulleungdo in clear weather. Fog or rain can obscure the view.</ns0:t>
        </ns0:is>
      </ns0:c>
      <ns0:c r="M14" s="6" t="inlineStr">
        <ns0:is>
          <ns0:t>The selected option, “Thick fog”, does not fit. The answer is “A clear day”. Dokdo can be seen from Ulleungdo in clear weather. Fog or rain can obscure the view.</ns0:t>
        </ns0:is>
      </ns0:c>
      <ns0:c r="N14" s="6" t="inlineStr"/>
      <ns0:c r="O14" s="6" t="inlineStr">
        <ns0:is>
          <ns0:t>https://dokdo.mofa.go.kr/kor/introduce/location.jsp
https://dokdo.mofa.go.kr/kor/pds/part06_view02.jsp</ns0:t>
        </ns0:is>
      </ns0:c>
      <ns0:c r="P14" s="3">
        <ns0:f>LEN(E14)+MAX(LEN(F14),LEN(G14),LEN(H14))</ns0:f>
        <ns0:v>74</ns0:v>
      </ns0:c>
      <ns0:c r="Q14" s="7" t="inlineStr">
        <ns0:is>
          <ns0:t>출처 기반 자체 검토 / 독립 승인 전</ns0:t>
        </ns0:is>
      </ns0:c>
    </ns0:row>
    <ns0:row r="15" ht="98" customHeight="1">
      <ns0:c r="A15" s="4" t="n">
        <ns0:v>910014</ns0:v>
      </ns0:c>
      <ns0:c r="B15" s="4" t="n">
        <ns0:v>1</ns0:v>
      </ns0:c>
      <ns0:c r="C15" s="4" t="inlineStr">
        <ns0:is>
          <ns0:t>dk-visibility</ns0:t>
        </ns0:is>
      </ns0:c>
      <ns0:c r="D15" s="4" t="n">
        <ns0:v>2</ns0:v>
      </ns0:c>
      <ns0:c r="E15" s="8" t="inlineStr">
        <ns0:is>
          <ns0:t>What should be considered if Dokdo is not visible today?</ns0:t>
        </ns0:is>
      </ns0:c>
      <ns0:c r="F15" s="8" t="inlineStr">
        <ns0:is>
          <ns0:t>Weather conditions such as fog</ns0:t>
        </ns0:is>
      </ns0:c>
      <ns0:c r="G15" s="8" t="inlineStr">
        <ns0:is>
          <ns0:t>A change of island name</ns0:t>
        </ns0:is>
      </ns0:c>
      <ns0:c r="H15" s="8" t="inlineStr">
        <ns0:is>
          <ns0:t>An increase in Seodo’s area</ns0:t>
        </ns0:is>
      </ns0:c>
      <ns0:c r="I15" s="8" t="n">
        <ns0:v>1</ns0:v>
      </ns0:c>
      <ns0:c r="J15" s="8" t="inlineStr">
        <ns0:is>
          <ns0:t>Dokdo can be seen from Ulleungdo in clear weather. Fog or rain can obscure the view.</ns0:t>
        </ns0:is>
      </ns0:c>
      <ns0:c r="K15" s="8" t="inlineStr">
        <ns0:is>
          <ns0:t>Dokdo can be seen from Ulleungdo in clear weather. Fog or rain can obscure the view.</ns0:t>
        </ns0:is>
      </ns0:c>
      <ns0:c r="L15" s="8" t="inlineStr">
        <ns0:is>
          <ns0:t>The selected option, “A change of island name”, does not fit. The answer is “Weather conditions such as fog”. Dokdo can be seen from Ulleungdo in clear weather. Fog or rain can obscure the view.</ns0:t>
        </ns0:is>
      </ns0:c>
      <ns0:c r="M15" s="8" t="inlineStr">
        <ns0:is>
          <ns0:t>The selected option, “An increase in Seodo’s area”, does not fit. The answer is “Weather conditions such as fog”. Dokdo can be seen from Ulleungdo in clear weather. Fog or rain can obscure the view.</ns0:t>
        </ns0:is>
      </ns0:c>
      <ns0:c r="N15" s="8" t="inlineStr"/>
      <ns0:c r="O15" s="8" t="inlineStr">
        <ns0:is>
          <ns0:t>https://dokdo.mofa.go.kr/kor/introduce/location.jsp
https://dokdo.mofa.go.kr/kor/pds/part06_view02.jsp</ns0:t>
        </ns0:is>
      </ns0:c>
      <ns0:c r="P15" s="5">
        <ns0:f>LEN(E15)+MAX(LEN(F15),LEN(G15),LEN(H15))</ns0:f>
        <ns0:v>86</ns0:v>
      </ns0:c>
      <ns0:c r="Q15" s="9" t="inlineStr">
        <ns0:is>
          <ns0:t>출처 기반 자체 검토 / 독립 승인 전</ns0:t>
        </ns0:is>
      </ns0:c>
    </ns0:row>
    <ns0:row r="16" ht="98" customHeight="1">
      <ns0:c r="A16" s="2" t="n">
        <ns0:v>910015</ns0:v>
      </ns0:c>
      <ns0:c r="B16" s="2" t="n">
        <ns0:v>1</ns0:v>
      </ns0:c>
      <ns0:c r="C16" s="2" t="inlineStr">
        <ns0:is>
          <ns0:t>dk-visibility</ns0:t>
        </ns0:is>
      </ns0:c>
      <ns0:c r="D16" s="2" t="n">
        <ns0:v>3</ns0:v>
      </ns0:c>
      <ns0:c r="E16" s="6" t="inlineStr">
        <ns0:is>
          <ns0:t>What condition does the old passage place on visibility?</ns0:t>
        </ns0:is>
      </ns0:c>
      <ns0:c r="F16" s="6" t="inlineStr">
        <ns0:is>
          <ns0:t>Always, in all weather</ns0:t>
        </ns0:is>
      </ns0:c>
      <ns0:c r="G16" s="6" t="inlineStr">
        <ns0:is>
          <ns0:t>Only in winter</ns0:t>
        </ns0:is>
      </ns0:c>
      <ns0:c r="H16" s="6" t="inlineStr">
        <ns0:is>
          <ns0:t>When the weather is clear</ns0:t>
        </ns0:is>
      </ns0:c>
      <ns0:c r="I16" s="6" t="n">
        <ns0:v>3</ns0:v>
      </ns0:c>
      <ns0:c r="J16" s="6" t="inlineStr">
        <ns0:is>
          <ns0:t>Dokdo can be seen from Ulleungdo in clear weather. Fog or rain can obscure the view.</ns0:t>
        </ns0:is>
      </ns0:c>
      <ns0:c r="K16" s="6" t="inlineStr">
        <ns0:is>
          <ns0:t>The selected option, “Always, in all weather”, does not fit. The answer is “When the weather is clear”. Dokdo can be seen from Ulleungdo in clear weather. Fog or rain can obscure the view.</ns0:t>
        </ns0:is>
      </ns0:c>
      <ns0:c r="L16" s="6" t="inlineStr">
        <ns0:is>
          <ns0:t>The selected option, “Only in winter”, does not fit. The answer is “When the weather is clear”. Dokdo can be seen from Ulleungdo in clear weather. Fog or rain can obscure the view.</ns0:t>
        </ns0:is>
      </ns0:c>
      <ns0:c r="M16" s="6" t="inlineStr">
        <ns0:is>
          <ns0:t>Dokdo can be seen from Ulleungdo in clear weather. Fog or rain can obscure the view.</ns0:t>
        </ns0:is>
      </ns0:c>
      <ns0:c r="N16" s="6" t="inlineStr">
        <ns0:is>
          <ns0:t>The MOFA presentation of the geographical appendix to the Annals of Sejong says the islands Usan and Mureung can be seen in clear weather.</ns0:t>
        </ns0:is>
      </ns0:c>
      <ns0:c r="O16" s="6" t="inlineStr">
        <ns0:is>
          <ns0:t>https://dokdo.mofa.go.kr/kor/introduce/location.jsp
https://dokdo.mofa.go.kr/kor/pds/part06_view02.jsp</ns0:t>
        </ns0:is>
      </ns0:c>
      <ns0:c r="P16" s="3">
        <ns0:f>LEN(E16)+MAX(LEN(F16),LEN(G16),LEN(H16))</ns0:f>
        <ns0:v>81</ns0:v>
      </ns0:c>
      <ns0:c r="Q16" s="7" t="inlineStr">
        <ns0:is>
          <ns0:t>출처 기반 자체 검토 / 독립 승인 전</ns0:t>
        </ns0:is>
      </ns0:c>
    </ns0:row>
    <ns0:row r="17" ht="98" customHeight="1">
      <ns0:c r="A17" s="4" t="n">
        <ns0:v>910016</ns0:v>
      </ns0:c>
      <ns0:c r="B17" s="4" t="n">
        <ns0:v>1</ns0:v>
      </ns0:c>
      <ns0:c r="C17" s="4" t="inlineStr">
        <ns0:is>
          <ns0:t>dk-visibility</ns0:t>
        </ns0:is>
      </ns0:c>
      <ns0:c r="D17" s="4" t="n">
        <ns0:v>4</ns0:v>
      </ns0:c>
      <ns0:c r="E17" s="8" t="inlineStr">
        <ns0:is>
          <ns0:t>Is “Dokdo is always visible from Ulleungdo” accurate?</ns0:t>
        </ns0:is>
      </ns0:c>
      <ns0:c r="F17" s="8" t="inlineStr">
        <ns0:is>
          <ns0:t>Weather never affects the visibility of nearby islands</ns0:t>
        </ns0:is>
      </ns0:c>
      <ns0:c r="G17" s="8" t="inlineStr">
        <ns0:is>
          <ns0:t>No; it omits the clear-weather condition</ns0:t>
        </ns0:is>
      </ns0:c>
      <ns0:c r="H17" s="8" t="inlineStr">
        <ns0:is>
          <ns0:t>Yes; the correct island names are sufficient</ns0:t>
        </ns0:is>
      </ns0:c>
      <ns0:c r="I17" s="8" t="n">
        <ns0:v>2</ns0:v>
      </ns0:c>
      <ns0:c r="J17" s="8" t="inlineStr">
        <ns0:is>
          <ns0:t>Dokdo can be seen from Ulleungdo in clear weather. Fog or rain can obscure the view.</ns0:t>
        </ns0:is>
      </ns0:c>
      <ns0:c r="K17" s="8" t="inlineStr">
        <ns0:is>
          <ns0:t>The selected option, “Weather never affects the visibility of nearby islands”, does not fit. The answer is “No; it omits the clear-weather condition”. Dokdo can be seen from Ulleungdo in clear weather. Fog or rain can obscure the view.</ns0:t>
        </ns0:is>
      </ns0:c>
      <ns0:c r="L17" s="8" t="inlineStr">
        <ns0:is>
          <ns0:t>Dokdo can be seen from Ulleungdo in clear weather. Fog or rain can obscure the view.</ns0:t>
        </ns0:is>
      </ns0:c>
      <ns0:c r="M17" s="8" t="inlineStr">
        <ns0:is>
          <ns0:t>The selected option, “Yes; the correct island names are sufficient”, does not fit. The answer is “No; it omits the clear-weather condition”. Dokdo can be seen from Ulleungdo in clear weather. Fog or rain can obscure the view.</ns0:t>
        </ns0:is>
      </ns0:c>
      <ns0:c r="N17" s="8" t="inlineStr">
        <ns0:is>
          <ns0:t>The MOFA presentation of the geographical appendix to the Annals of Sejong says the islands Usan and Mureung can be seen in clear weather.</ns0:t>
        </ns0:is>
      </ns0:c>
      <ns0:c r="O17" s="8" t="inlineStr">
        <ns0:is>
          <ns0:t>https://dokdo.mofa.go.kr/kor/introduce/location.jsp
https://dokdo.mofa.go.kr/kor/pds/part06_view02.jsp</ns0:t>
        </ns0:is>
      </ns0:c>
      <ns0:c r="P17" s="5">
        <ns0:f>LEN(E17)+MAX(LEN(F17),LEN(G17),LEN(H17))</ns0:f>
        <ns0:v>107</ns0:v>
      </ns0:c>
      <ns0:c r="Q17" s="9" t="inlineStr">
        <ns0:is>
          <ns0:t>출처 기반 자체 검토 / 독립 승인 전</ns0:t>
        </ns0:is>
      </ns0:c>
    </ns0:row>
    <ns0:row r="18" ht="98" customHeight="1">
      <ns0:c r="A18" s="2" t="n">
        <ns0:v>910017</ns0:v>
      </ns0:c>
      <ns0:c r="B18" s="2" t="n">
        <ns0:v>1</ns0:v>
      </ns0:c>
      <ns0:c r="C18" s="2" t="inlineStr">
        <ns0:is>
          <ns0:t>dk-islet-count</ns0:t>
        </ns0:is>
      </ns0:c>
      <ns0:c r="D18" s="2" t="n">
        <ns0:v>1</ns0:v>
      </ns0:c>
      <ns0:c r="E18" s="6" t="inlineStr">
        <ns0:is>
          <ns0:t>Are the smaller rocky islets part of Dokdo?</ns0:t>
        </ns0:is>
      </ns0:c>
      <ns0:c r="F18" s="6" t="inlineStr">
        <ns0:is>
          <ns0:t>Yes, they are part of Dokdo</ns0:t>
        </ns0:is>
      </ns0:c>
      <ns0:c r="G18" s="6" t="inlineStr">
        <ns0:is>
          <ns0:t>No, only the main islands are Dokdo</ns0:t>
        </ns0:is>
      </ns0:c>
      <ns0:c r="H18" s="6" t="inlineStr">
        <ns0:is>
          <ns0:t>They all belong to Ulleungdo</ns0:t>
        </ns0:is>
      </ns0:c>
      <ns0:c r="I18" s="6" t="n">
        <ns0:v>1</ns0:v>
      </ns0:c>
      <ns0:c r="J18" s="6" t="inlineStr">
        <ns0:is>
          <ns0:t>Dokdo’s total land area includes the associated islets as well as Dongdo and Seodo.</ns0:t>
        </ns0:is>
      </ns0:c>
      <ns0:c r="K18" s="6" t="inlineStr">
        <ns0:is>
          <ns0:t>Dokdo’s total land area includes the associated islets as well as Dongdo and Seodo.</ns0:t>
        </ns0:is>
      </ns0:c>
      <ns0:c r="L18" s="6" t="inlineStr">
        <ns0:is>
          <ns0:t>The selected option, “No, only the main islands are Dokdo”, does not fit. The answer is “Yes, they are part of Dokdo”. Dokdo’s total land area includes the associated islets as well as Dongdo and Seodo.</ns0:t>
        </ns0:is>
      </ns0:c>
      <ns0:c r="M18" s="6" t="inlineStr">
        <ns0:is>
          <ns0:t>The selected option, “They all belong to Ulleungdo”, does not fit. The answer is “Yes, they are part of Dokdo”. Dokdo’s total land area includes the associated islets as well as Dongdo and Seodo.</ns0:t>
        </ns0:is>
      </ns0:c>
      <ns0:c r="N18" s="6" t="inlineStr"/>
      <ns0:c r="O18" s="6" t="inlineStr">
        <ns0:is>
          <ns0:t>https://dokdo.mofa.go.kr/kor/introduce/location.jsp</ns0:t>
        </ns0:is>
      </ns0:c>
      <ns0:c r="P18" s="3">
        <ns0:f>LEN(E18)+MAX(LEN(F18),LEN(G18),LEN(H18))</ns0:f>
        <ns0:v>78</ns0:v>
      </ns0:c>
      <ns0:c r="Q18" s="7" t="inlineStr">
        <ns0:is>
          <ns0:t>출처 기반 자체 검토 / 독립 승인 전</ns0:t>
        </ns0:is>
      </ns0:c>
    </ns0:row>
    <ns0:row r="19" ht="98" customHeight="1">
      <ns0:c r="A19" s="4" t="n">
        <ns0:v>910018</ns0:v>
      </ns0:c>
      <ns0:c r="B19" s="4" t="n">
        <ns0:v>1</ns0:v>
      </ns0:c>
      <ns0:c r="C19" s="4" t="inlineStr">
        <ns0:is>
          <ns0:t>dk-islet-count</ns0:t>
        </ns0:is>
      </ns0:c>
      <ns0:c r="D19" s="4" t="n">
        <ns0:v>2</ns0:v>
      </ns0:c>
      <ns0:c r="E19" s="8" t="inlineStr">
        <ns0:is>
          <ns0:t>What must be included in Dokdo’s total land area?</ns0:t>
        </ns0:is>
      </ns0:c>
      <ns0:c r="F19" s="8" t="inlineStr">
        <ns0:is>
          <ns0:t>The elevations of the main islands</ns0:t>
        </ns0:is>
      </ns0:c>
      <ns0:c r="G19" s="8" t="inlineStr">
        <ns0:is>
          <ns0:t>The whole area of Ulleungdo</ns0:t>
        </ns0:is>
      </ns0:c>
      <ns0:c r="H19" s="8" t="inlineStr">
        <ns0:is>
          <ns0:t>The main islands and associated islets</ns0:t>
        </ns0:is>
      </ns0:c>
      <ns0:c r="I19" s="8" t="n">
        <ns0:v>3</ns0:v>
      </ns0:c>
      <ns0:c r="J19" s="8" t="inlineStr">
        <ns0:is>
          <ns0:t>Dokdo’s total land area includes the associated islets as well as Dongdo and Seodo.</ns0:t>
        </ns0:is>
      </ns0:c>
      <ns0:c r="K19" s="8" t="inlineStr">
        <ns0:is>
          <ns0:t>The selected option, “The elevations of the main islands”, does not fit. The answer is “The main islands and associated islets”. Dokdo’s total land area includes the associated islets as well as Dongdo and Seodo.</ns0:t>
        </ns0:is>
      </ns0:c>
      <ns0:c r="L19" s="8" t="inlineStr">
        <ns0:is>
          <ns0:t>The selected option, “The whole area of Ulleungdo”, does not fit. The answer is “The main islands and associated islets”. Dokdo’s total land area includes the associated islets as well as Dongdo and Seodo.</ns0:t>
        </ns0:is>
      </ns0:c>
      <ns0:c r="M19" s="8" t="inlineStr">
        <ns0:is>
          <ns0:t>Dokdo’s total land area includes the associated islets as well as Dongdo and Seodo.</ns0:t>
        </ns0:is>
      </ns0:c>
      <ns0:c r="N19" s="8" t="inlineStr"/>
      <ns0:c r="O19" s="8" t="inlineStr">
        <ns0:is>
          <ns0:t>https://dokdo.mofa.go.kr/kor/introduce/location.jsp</ns0:t>
        </ns0:is>
      </ns0:c>
      <ns0:c r="P19" s="5">
        <ns0:f>LEN(E19)+MAX(LEN(F19),LEN(G19),LEN(H19))</ns0:f>
        <ns0:v>87</ns0:v>
      </ns0:c>
      <ns0:c r="Q19" s="9" t="inlineStr">
        <ns0:is>
          <ns0:t>출처 기반 자체 검토 / 독립 승인 전</ns0:t>
        </ns0:is>
      </ns0:c>
    </ns0:row>
    <ns0:row r="20" ht="98" customHeight="1">
      <ns0:c r="A20" s="2" t="n">
        <ns0:v>910019</ns0:v>
      </ns0:c>
      <ns0:c r="B20" s="2" t="n">
        <ns0:v>1</ns0:v>
      </ns0:c>
      <ns0:c r="C20" s="2" t="inlineStr">
        <ns0:is>
          <ns0:t>dk-islet-count</ns0:t>
        </ns0:is>
      </ns0:c>
      <ns0:c r="D20" s="2" t="n">
        <ns0:v>3</ns0:v>
      </ns0:c>
      <ns0:c r="E20" s="6" t="inlineStr">
        <ns0:is>
          <ns0:t>Why is the sum of the two main island areas below the total?</ns0:t>
        </ns0:is>
      </ns0:c>
      <ns0:c r="F20" s="6" t="inlineStr">
        <ns0:is>
          <ns0:t>Elevations were omitted from the area calculation</ns0:t>
        </ns0:is>
      </ns0:c>
      <ns0:c r="G20" s="6" t="inlineStr">
        <ns0:is>
          <ns0:t>Associated islets add land area</ns0:t>
        </ns0:is>
      </ns0:c>
      <ns0:c r="H20" s="6" t="inlineStr">
        <ns0:is>
          <ns0:t>The sea was counted twice</ns0:t>
        </ns0:is>
      </ns0:c>
      <ns0:c r="I20" s="6" t="n">
        <ns0:v>2</ns0:v>
      </ns0:c>
      <ns0:c r="J20" s="6" t="inlineStr">
        <ns0:is>
          <ns0:t>Dokdo’s total land area includes the associated islets as well as Dongdo and Seodo.</ns0:t>
        </ns0:is>
      </ns0:c>
      <ns0:c r="K20" s="6" t="inlineStr">
        <ns0:is>
          <ns0:t>The selected option, “Elevations were omitted from the area calculation”, does not fit. The answer is “Associated islets add land area”. Dokdo’s total land area includes the associated islets as well as Dongdo and Seodo.</ns0:t>
        </ns0:is>
      </ns0:c>
      <ns0:c r="L20" s="6" t="inlineStr">
        <ns0:is>
          <ns0:t>Dokdo’s total land area includes the associated islets as well as Dongdo and Seodo.</ns0:t>
        </ns0:is>
      </ns0:c>
      <ns0:c r="M20" s="6" t="inlineStr">
        <ns0:is>
          <ns0:t>The selected option, “The sea was counted twice”, does not fit. The answer is “Associated islets add land area”. Dokdo’s total land area includes the associated islets as well as Dongdo and Seodo.</ns0:t>
        </ns0:is>
      </ns0:c>
      <ns0:c r="N20" s="6" t="inlineStr">
        <ns0:is>
          <ns0:t>Areas: Dongdo 73,297 m²; Seodo 88,740 m²; Dokdo total 187,554 m². The total includes associated islets.</ns0:t>
        </ns0:is>
      </ns0:c>
      <ns0:c r="O20" s="6" t="inlineStr">
        <ns0:is>
          <ns0:t>https://dokdo.mofa.go.kr/kor/introduce/location.jsp</ns0:t>
        </ns0:is>
      </ns0:c>
      <ns0:c r="P20" s="3">
        <ns0:f>LEN(E20)+MAX(LEN(F20),LEN(G20),LEN(H20))</ns0:f>
        <ns0:v>109</ns0:v>
      </ns0:c>
      <ns0:c r="Q20" s="7" t="inlineStr">
        <ns0:is>
          <ns0:t>출처 기반 자체 검토 / 독립 승인 전</ns0:t>
        </ns0:is>
      </ns0:c>
    </ns0:row>
    <ns0:row r="21" ht="98" customHeight="1">
      <ns0:c r="A21" s="4" t="n">
        <ns0:v>910020</ns0:v>
      </ns0:c>
      <ns0:c r="B21" s="4" t="n">
        <ns0:v>1</ns0:v>
      </ns0:c>
      <ns0:c r="C21" s="4" t="inlineStr">
        <ns0:is>
          <ns0:t>dk-islet-count</ns0:t>
        </ns0:is>
      </ns0:c>
      <ns0:c r="D21" s="4" t="n">
        <ns0:v>4</ns0:v>
      </ns0:c>
      <ns0:c r="E21" s="8" t="inlineStr">
        <ns0:is>
          <ns0:t>What is wrong with using one photo’s rock count as the total?</ns0:t>
        </ns0:is>
      </ns0:c>
      <ns0:c r="F21" s="8" t="inlineStr">
        <ns0:is>
          <ns0:t>It may miss islets outside the frame</ns0:t>
        </ns0:is>
      </ns0:c>
      <ns0:c r="G21" s="8" t="inlineStr">
        <ns0:is>
          <ns0:t>None of the photographed rocks is part of Dokdo</ns0:t>
        </ns0:is>
      </ns0:c>
      <ns0:c r="H21" s="8" t="inlineStr">
        <ns0:is>
          <ns0:t>A photograph necessarily shows the whole group</ns0:t>
        </ns0:is>
      </ns0:c>
      <ns0:c r="I21" s="8" t="n">
        <ns0:v>1</ns0:v>
      </ns0:c>
      <ns0:c r="J21" s="8" t="inlineStr">
        <ns0:is>
          <ns0:t>Dokdo’s total land area includes the associated islets as well as Dongdo and Seodo.</ns0:t>
        </ns0:is>
      </ns0:c>
      <ns0:c r="K21" s="8" t="inlineStr">
        <ns0:is>
          <ns0:t>Dokdo’s total land area includes the associated islets as well as Dongdo and Seodo.</ns0:t>
        </ns0:is>
      </ns0:c>
      <ns0:c r="L21" s="8" t="inlineStr">
        <ns0:is>
          <ns0:t>The selected option, “None of the photographed rocks is part of Dokdo”, does not fit. The answer is “It may miss islets outside the frame”. Dokdo’s total land area includes the associated islets as well as Dongdo and Seodo.</ns0:t>
        </ns0:is>
      </ns0:c>
      <ns0:c r="M21" s="8" t="inlineStr">
        <ns0:is>
          <ns0:t>The selected option, “A photograph necessarily shows the whole group”, does not fit. The answer is “It may miss islets outside the frame”. Dokdo’s total land area includes the associated islets as well as Dongdo and Seodo.</ns0:t>
        </ns0:is>
      </ns0:c>
      <ns0:c r="N21" s="8" t="inlineStr">
        <ns0:is>
          <ns0:t>Areas: Dongdo 73,297 m²; Seodo 88,740 m²; Dokdo total 187,554 m². The total includes associated islets.</ns0:t>
        </ns0:is>
      </ns0:c>
      <ns0:c r="O21" s="8" t="inlineStr">
        <ns0:is>
          <ns0:t>https://dokdo.mofa.go.kr/kor/introduce/location.jsp</ns0:t>
        </ns0:is>
      </ns0:c>
      <ns0:c r="P21" s="5">
        <ns0:f>LEN(E21)+MAX(LEN(F21),LEN(G21),LEN(H21))</ns0:f>
        <ns0:v>108</ns0:v>
      </ns0:c>
      <ns0:c r="Q21" s="9" t="inlineStr">
        <ns0:is>
          <ns0:t>출처 기반 자체 검토 / 독립 승인 전</ns0:t>
        </ns0:is>
      </ns0:c>
    </ns0:row>
    <ns0:row r="22" ht="98" customHeight="1">
      <ns0:c r="A22" s="2" t="n">
        <ns0:v>910021</ns0:v>
      </ns0:c>
      <ns0:c r="B22" s="2" t="n">
        <ns0:v>2</ns0:v>
      </ns0:c>
      <ns0:c r="C22" s="2" t="inlineStr">
        <ns0:is>
          <ns0:t>dk-heights</ns0:t>
        </ns0:is>
      </ns0:c>
      <ns0:c r="D22" s="2" t="n">
        <ns0:v>1</ns0:v>
      </ns0:c>
      <ns0:c r="E22" s="6" t="inlineStr">
        <ns0:is>
          <ns0:t>Which main island is higher?</ns0:t>
        </ns0:is>
      </ns0:c>
      <ns0:c r="F22" s="6" t="inlineStr">
        <ns0:is>
          <ns0:t>Dongdo</ns0:t>
        </ns0:is>
      </ns0:c>
      <ns0:c r="G22" s="6" t="inlineStr">
        <ns0:is>
          <ns0:t>They are equally high</ns0:t>
        </ns0:is>
      </ns0:c>
      <ns0:c r="H22" s="6" t="inlineStr">
        <ns0:is>
          <ns0:t>Seodo</ns0:t>
        </ns0:is>
      </ns0:c>
      <ns0:c r="I22" s="6" t="n">
        <ns0:v>3</ns0:v>
      </ns0:c>
      <ns0:c r="J22" s="6" t="inlineStr">
        <ns0:is>
          <ns0:t>Seodo’s maximum elevation is 168.5 m; Dongdo’s is 98.6 m. Seodo is higher.</ns0:t>
        </ns0:is>
      </ns0:c>
      <ns0:c r="K22" s="6" t="inlineStr">
        <ns0:is>
          <ns0:t>The selected option, “Dongdo”, does not fit. The answer is “Seodo”. Seodo’s maximum elevation is 168.5 m; Dongdo’s is 98.6 m. Seodo is higher.</ns0:t>
        </ns0:is>
      </ns0:c>
      <ns0:c r="L22" s="6" t="inlineStr">
        <ns0:is>
          <ns0:t>The selected option, “They are equally high”, does not fit. The answer is “Seodo”. Seodo’s maximum elevation is 168.5 m; Dongdo’s is 98.6 m. Seodo is higher.</ns0:t>
        </ns0:is>
      </ns0:c>
      <ns0:c r="M22" s="6" t="inlineStr">
        <ns0:is>
          <ns0:t>Seodo’s maximum elevation is 168.5 m; Dongdo’s is 98.6 m. Seodo is higher.</ns0:t>
        </ns0:is>
      </ns0:c>
      <ns0:c r="N22" s="6" t="inlineStr"/>
      <ns0:c r="O22" s="6" t="inlineStr">
        <ns0:is>
          <ns0:t>https://dokdo.mofa.go.kr/kor/introduce/location.jsp</ns0:t>
        </ns0:is>
      </ns0:c>
      <ns0:c r="P22" s="3">
        <ns0:f>LEN(E22)+MAX(LEN(F22),LEN(G22),LEN(H22))</ns0:f>
        <ns0:v>49</ns0:v>
      </ns0:c>
      <ns0:c r="Q22" s="7" t="inlineStr">
        <ns0:is>
          <ns0:t>출처 기반 자체 검토 / 독립 승인 전</ns0:t>
        </ns0:is>
      </ns0:c>
    </ns0:row>
    <ns0:row r="23" ht="98" customHeight="1">
      <ns0:c r="A23" s="4" t="n">
        <ns0:v>910022</ns0:v>
      </ns0:c>
      <ns0:c r="B23" s="4" t="n">
        <ns0:v>2</ns0:v>
      </ns0:c>
      <ns0:c r="C23" s="4" t="inlineStr">
        <ns0:is>
          <ns0:t>dk-heights</ns0:t>
        </ns0:is>
      </ns0:c>
      <ns0:c r="D23" s="4" t="n">
        <ns0:v>2</ns0:v>
      </ns0:c>
      <ns0:c r="E23" s="8" t="inlineStr">
        <ns0:is>
          <ns0:t>Which elevation pairing is correct?</ns0:t>
        </ns0:is>
      </ns0:c>
      <ns0:c r="F23" s="8" t="inlineStr">
        <ns0:is>
          <ns0:t>Both 168.5 m</ns0:t>
        </ns0:is>
      </ns0:c>
      <ns0:c r="G23" s="8" t="inlineStr">
        <ns0:is>
          <ns0:t>Seodo 168.5 m; Dongdo 98.6 m</ns0:t>
        </ns0:is>
      </ns0:c>
      <ns0:c r="H23" s="8" t="inlineStr">
        <ns0:is>
          <ns0:t>Seodo 98.6 m; Dongdo 168.5 m</ns0:t>
        </ns0:is>
      </ns0:c>
      <ns0:c r="I23" s="8" t="n">
        <ns0:v>2</ns0:v>
      </ns0:c>
      <ns0:c r="J23" s="8" t="inlineStr">
        <ns0:is>
          <ns0:t>Seodo’s maximum elevation is 168.5 m; Dongdo’s is 98.6 m. Seodo is higher.</ns0:t>
        </ns0:is>
      </ns0:c>
      <ns0:c r="K23" s="8" t="inlineStr">
        <ns0:is>
          <ns0:t>The selected option, “Both 168.5 m”, does not fit. The answer is “Seodo 168.5 m; Dongdo 98.6 m”. Seodo’s maximum elevation is 168.5 m; Dongdo’s is 98.6 m. Seodo is higher.</ns0:t>
        </ns0:is>
      </ns0:c>
      <ns0:c r="L23" s="8" t="inlineStr">
        <ns0:is>
          <ns0:t>Seodo’s maximum elevation is 168.5 m; Dongdo’s is 98.6 m. Seodo is higher.</ns0:t>
        </ns0:is>
      </ns0:c>
      <ns0:c r="M23" s="8" t="inlineStr">
        <ns0:is>
          <ns0:t>The selected option, “Seodo 98.6 m; Dongdo 168.5 m”, does not fit. The answer is “Seodo 168.5 m; Dongdo 98.6 m”. Seodo’s maximum elevation is 168.5 m; Dongdo’s is 98.6 m. Seodo is higher.</ns0:t>
        </ns0:is>
      </ns0:c>
      <ns0:c r="N23" s="8" t="inlineStr"/>
      <ns0:c r="O23" s="8" t="inlineStr">
        <ns0:is>
          <ns0:t>https://dokdo.mofa.go.kr/kor/introduce/location.jsp</ns0:t>
        </ns0:is>
      </ns0:c>
      <ns0:c r="P23" s="5">
        <ns0:f>LEN(E23)+MAX(LEN(F23),LEN(G23),LEN(H23))</ns0:f>
        <ns0:v>63</ns0:v>
      </ns0:c>
      <ns0:c r="Q23" s="9" t="inlineStr">
        <ns0:is>
          <ns0:t>출처 기반 자체 검토 / 독립 승인 전</ns0:t>
        </ns0:is>
      </ns0:c>
    </ns0:row>
    <ns0:row r="24" ht="98" customHeight="1">
      <ns0:c r="A24" s="2" t="n">
        <ns0:v>910023</ns0:v>
      </ns0:c>
      <ns0:c r="B24" s="2" t="n">
        <ns0:v>2</ns0:v>
      </ns0:c>
      <ns0:c r="C24" s="2" t="inlineStr">
        <ns0:is>
          <ns0:t>dk-heights</ns0:t>
        </ns0:is>
      </ns0:c>
      <ns0:c r="D24" s="2" t="n">
        <ns0:v>3</ns0:v>
      </ns0:c>
      <ns0:c r="E24" s="6" t="inlineStr">
        <ns0:is>
          <ns0:t>What is the difference in the listed maximum elevations?</ns0:t>
        </ns0:is>
      </ns0:c>
      <ns0:c r="F24" s="6" t="inlineStr">
        <ns0:is>
          <ns0:t>69.9 m</ns0:t>
        </ns0:is>
      </ns0:c>
      <ns0:c r="G24" s="6" t="inlineStr">
        <ns0:is>
          <ns0:t>267.1 m</ns0:t>
        </ns0:is>
      </ns0:c>
      <ns0:c r="H24" s="6" t="inlineStr">
        <ns0:is>
          <ns0:t>87.4 m</ns0:t>
        </ns0:is>
      </ns0:c>
      <ns0:c r="I24" s="6" t="n">
        <ns0:v>1</ns0:v>
      </ns0:c>
      <ns0:c r="J24" s="6" t="inlineStr">
        <ns0:is>
          <ns0:t>Seodo’s maximum elevation is 168.5 m; Dongdo’s is 98.6 m. Seodo is higher. 168.5 minus 98.6 is 69.9 m. This asks for a difference, not a sum.</ns0:t>
        </ns0:is>
      </ns0:c>
      <ns0:c r="K24" s="6" t="inlineStr">
        <ns0:is>
          <ns0:t>Seodo’s maximum elevation is 168.5 m; Dongdo’s is 98.6 m. Seodo is higher. 168.5 minus 98.6 is 69.9 m. This asks for a difference, not a sum.</ns0:t>
        </ns0:is>
      </ns0:c>
      <ns0:c r="L24" s="6" t="inlineStr">
        <ns0:is>
          <ns0:t>The selected option, “267.1 m”, does not fit. The answer is “69.9 m”. Seodo’s maximum elevation is 168.5 m; Dongdo’s is 98.6 m. Seodo is higher. 168.5 minus 98.6 is 69.9 m. This asks for a difference, not a sum.</ns0:t>
        </ns0:is>
      </ns0:c>
      <ns0:c r="M24" s="6" t="inlineStr">
        <ns0:is>
          <ns0:t>The selected option, “87.4 m”, does not fit. The answer is “69.9 m”. Seodo’s maximum elevation is 168.5 m; Dongdo’s is 98.6 m. Seodo is higher. 168.5 minus 98.6 is 69.9 m. This asks for a difference, not a sum.</ns0:t>
        </ns0:is>
      </ns0:c>
      <ns0:c r="N24" s="6" t="inlineStr">
        <ns0:is>
          <ns0:t>Elevations above sea level: Seodo 168.5 m; Dongdo 98.6 m.</ns0:t>
        </ns0:is>
      </ns0:c>
      <ns0:c r="O24" s="6" t="inlineStr">
        <ns0:is>
          <ns0:t>https://dokdo.mofa.go.kr/kor/introduce/location.jsp</ns0:t>
        </ns0:is>
      </ns0:c>
      <ns0:c r="P24" s="3">
        <ns0:f>LEN(E24)+MAX(LEN(F24),LEN(G24),LEN(H24))</ns0:f>
        <ns0:v>63</ns0:v>
      </ns0:c>
      <ns0:c r="Q24" s="7" t="inlineStr">
        <ns0:is>
          <ns0:t>출처 기반 자체 검토 / 독립 승인 전</ns0:t>
        </ns0:is>
      </ns0:c>
    </ns0:row>
    <ns0:row r="25" ht="98" customHeight="1">
      <ns0:c r="A25" s="4" t="n">
        <ns0:v>910024</ns0:v>
      </ns0:c>
      <ns0:c r="B25" s="4" t="n">
        <ns0:v>2</ns0:v>
      </ns0:c>
      <ns0:c r="C25" s="4" t="inlineStr">
        <ns0:is>
          <ns0:t>dk-heights</ns0:t>
        </ns0:is>
      </ns0:c>
      <ns0:c r="D25" s="4" t="n">
        <ns0:v>4</ns0:v>
      </ns0:c>
      <ns0:c r="E25" s="8" t="inlineStr">
        <ns0:is>
          <ns0:t>What if Dongdo looks larger in a photograph?</ns0:t>
        </ns0:is>
      </ns0:c>
      <ns0:c r="F25" s="8" t="inlineStr">
        <ns0:is>
          <ns0:t>Use image size alone to call Dongdo higher</ns0:t>
        </ns0:is>
      </ns0:c>
      <ns0:c r="G25" s="8" t="inlineStr">
        <ns0:is>
          <ns0:t>Assume actual elevation changes with each photo</ns0:t>
        </ns0:is>
      </ns0:c>
      <ns0:c r="H25" s="8" t="inlineStr">
        <ns0:is>
          <ns0:t>Consider perspective and measured elevation</ns0:t>
        </ns0:is>
      </ns0:c>
      <ns0:c r="I25" s="8" t="n">
        <ns0:v>3</ns0:v>
      </ns0:c>
      <ns0:c r="J25" s="8" t="inlineStr">
        <ns0:is>
          <ns0:t>Seodo’s maximum elevation is 168.5 m; Dongdo’s is 98.6 m. Seodo is higher.</ns0:t>
        </ns0:is>
      </ns0:c>
      <ns0:c r="K25" s="8" t="inlineStr">
        <ns0:is>
          <ns0:t>The selected option, “Use image size alone to call Dongdo higher”, does not fit. The answer is “Consider perspective and measured elevation”. Seodo’s maximum elevation is 168.5 m; Dongdo’s is 98.6 m. Seodo is higher.</ns0:t>
        </ns0:is>
      </ns0:c>
      <ns0:c r="L25" s="8" t="inlineStr">
        <ns0:is>
          <ns0:t>The selected option, “Assume actual elevation changes with each photo”, does not fit. The answer is “Consider perspective and measured elevation”. Seodo’s maximum elevation is 168.5 m; Dongdo’s is 98.6 m. Seodo is higher.</ns0:t>
        </ns0:is>
      </ns0:c>
      <ns0:c r="M25" s="8" t="inlineStr">
        <ns0:is>
          <ns0:t>Seodo’s maximum elevation is 168.5 m; Dongdo’s is 98.6 m. Seodo is higher.</ns0:t>
        </ns0:is>
      </ns0:c>
      <ns0:c r="N25" s="8" t="inlineStr">
        <ns0:is>
          <ns0:t>Elevations above sea level: Seodo 168.5 m; Dongdo 98.6 m.</ns0:t>
        </ns0:is>
      </ns0:c>
      <ns0:c r="O25" s="8" t="inlineStr">
        <ns0:is>
          <ns0:t>https://dokdo.mofa.go.kr/kor/introduce/location.jsp</ns0:t>
        </ns0:is>
      </ns0:c>
      <ns0:c r="P25" s="5">
        <ns0:f>LEN(E25)+MAX(LEN(F25),LEN(G25),LEN(H25))</ns0:f>
        <ns0:v>91</ns0:v>
      </ns0:c>
      <ns0:c r="Q25" s="9" t="inlineStr">
        <ns0:is>
          <ns0:t>출처 기반 자체 검토 / 독립 승인 전</ns0:t>
        </ns0:is>
      </ns0:c>
    </ns0:row>
    <ns0:row r="26" ht="98" customHeight="1">
      <ns0:c r="A26" s="2" t="n">
        <ns0:v>910025</ns0:v>
      </ns0:c>
      <ns0:c r="B26" s="2" t="n">
        <ns0:v>2</ns0:v>
      </ns0:c>
      <ns0:c r="C26" s="2" t="inlineStr">
        <ns0:is>
          <ns0:t>dk-area</ns0:t>
        </ns0:is>
      </ns0:c>
      <ns0:c r="D26" s="2" t="n">
        <ns0:v>1</ns0:v>
      </ns0:c>
      <ns0:c r="E26" s="6" t="inlineStr">
        <ns0:is>
          <ns0:t>Which main island has the larger land area?</ns0:t>
        </ns0:is>
      </ns0:c>
      <ns0:c r="F26" s="6" t="inlineStr">
        <ns0:is>
          <ns0:t>They have equal land areas</ns0:t>
        </ns0:is>
      </ns0:c>
      <ns0:c r="G26" s="6" t="inlineStr">
        <ns0:is>
          <ns0:t>Seodo</ns0:t>
        </ns0:is>
      </ns0:c>
      <ns0:c r="H26" s="6" t="inlineStr">
        <ns0:is>
          <ns0:t>Dongdo</ns0:t>
        </ns0:is>
      </ns0:c>
      <ns0:c r="I26" s="6" t="n">
        <ns0:v>2</ns0:v>
      </ns0:c>
      <ns0:c r="J26" s="6" t="inlineStr">
        <ns0:is>
          <ns0:t>Seodo has a larger land area than Dongdo. Elevation and area are different measurements.</ns0:t>
        </ns0:is>
      </ns0:c>
      <ns0:c r="K26" s="6" t="inlineStr">
        <ns0:is>
          <ns0:t>The selected option, “They have equal land areas”, does not fit. The answer is “Seodo”. Seodo has a larger land area than Dongdo. Elevation and area are different measurements.</ns0:t>
        </ns0:is>
      </ns0:c>
      <ns0:c r="L26" s="6" t="inlineStr">
        <ns0:is>
          <ns0:t>Seodo has a larger land area than Dongdo. Elevation and area are different measurements.</ns0:t>
        </ns0:is>
      </ns0:c>
      <ns0:c r="M26" s="6" t="inlineStr">
        <ns0:is>
          <ns0:t>The selected option, “Dongdo”, does not fit. The answer is “Seodo”. Seodo has a larger land area than Dongdo. Elevation and area are different measurements.</ns0:t>
        </ns0:is>
      </ns0:c>
      <ns0:c r="N26" s="6" t="inlineStr"/>
      <ns0:c r="O26" s="6" t="inlineStr">
        <ns0:is>
          <ns0:t>https://dokdo.mofa.go.kr/kor/introduce/location.jsp</ns0:t>
        </ns0:is>
      </ns0:c>
      <ns0:c r="P26" s="3">
        <ns0:f>LEN(E26)+MAX(LEN(F26),LEN(G26),LEN(H26))</ns0:f>
        <ns0:v>69</ns0:v>
      </ns0:c>
      <ns0:c r="Q26" s="7" t="inlineStr">
        <ns0:is>
          <ns0:t>출처 기반 자체 검토 / 독립 승인 전</ns0:t>
        </ns0:is>
      </ns0:c>
    </ns0:row>
    <ns0:row r="27" ht="98" customHeight="1">
      <ns0:c r="A27" s="4" t="n">
        <ns0:v>910026</ns0:v>
      </ns0:c>
      <ns0:c r="B27" s="4" t="n">
        <ns0:v>2</ns0:v>
      </ns0:c>
      <ns0:c r="C27" s="4" t="inlineStr">
        <ns0:is>
          <ns0:t>dk-area</ns0:t>
        </ns0:is>
      </ns0:c>
      <ns0:c r="D27" s="4" t="n">
        <ns0:v>2</ns0:v>
      </ns0:c>
      <ns0:c r="E27" s="8" t="inlineStr">
        <ns0:is>
          <ns0:t>What does “Seodo has a larger area” compare?</ns0:t>
        </ns0:is>
      </ns0:c>
      <ns0:c r="F27" s="8" t="inlineStr">
        <ns0:is>
          <ns0:t>The extent of land</ns0:t>
        </ns0:is>
      </ns0:c>
      <ns0:c r="G27" s="8" t="inlineStr">
        <ns0:is>
          <ns0:t>Sea depth</ns0:t>
        </ns0:is>
      </ns0:c>
      <ns0:c r="H27" s="8" t="inlineStr">
        <ns0:is>
          <ns0:t>Lighthouse height</ns0:t>
        </ns0:is>
      </ns0:c>
      <ns0:c r="I27" s="8" t="n">
        <ns0:v>1</ns0:v>
      </ns0:c>
      <ns0:c r="J27" s="8" t="inlineStr">
        <ns0:is>
          <ns0:t>Seodo has a larger land area than Dongdo. Elevation and area are different measurements.</ns0:t>
        </ns0:is>
      </ns0:c>
      <ns0:c r="K27" s="8" t="inlineStr">
        <ns0:is>
          <ns0:t>Seodo has a larger land area than Dongdo. Elevation and area are different measurements.</ns0:t>
        </ns0:is>
      </ns0:c>
      <ns0:c r="L27" s="8" t="inlineStr">
        <ns0:is>
          <ns0:t>The selected option, “Sea depth”, does not fit. The answer is “The extent of land”. Seodo has a larger land area than Dongdo. Elevation and area are different measurements.</ns0:t>
        </ns0:is>
      </ns0:c>
      <ns0:c r="M27" s="8" t="inlineStr">
        <ns0:is>
          <ns0:t>The selected option, “Lighthouse height”, does not fit. The answer is “The extent of land”. Seodo has a larger land area than Dongdo. Elevation and area are different measurements.</ns0:t>
        </ns0:is>
      </ns0:c>
      <ns0:c r="N27" s="8" t="inlineStr"/>
      <ns0:c r="O27" s="8" t="inlineStr">
        <ns0:is>
          <ns0:t>https://dokdo.mofa.go.kr/kor/introduce/location.jsp</ns0:t>
        </ns0:is>
      </ns0:c>
      <ns0:c r="P27" s="5">
        <ns0:f>LEN(E27)+MAX(LEN(F27),LEN(G27),LEN(H27))</ns0:f>
        <ns0:v>62</ns0:v>
      </ns0:c>
      <ns0:c r="Q27" s="9" t="inlineStr">
        <ns0:is>
          <ns0:t>출처 기반 자체 검토 / 독립 승인 전</ns0:t>
        </ns0:is>
      </ns0:c>
    </ns0:row>
    <ns0:row r="28" ht="98" customHeight="1">
      <ns0:c r="A28" s="2" t="n">
        <ns0:v>910027</ns0:v>
      </ns0:c>
      <ns0:c r="B28" s="2" t="n">
        <ns0:v>2</ns0:v>
      </ns0:c>
      <ns0:c r="C28" s="2" t="inlineStr">
        <ns0:is>
          <ns0:t>dk-area</ns0:t>
        </ns0:is>
      </ns0:c>
      <ns0:c r="D28" s="2" t="n">
        <ns0:v>3</ns0:v>
      </ns0:c>
      <ns0:c r="E28" s="6" t="inlineStr">
        <ns0:is>
          <ns0:t>Which values should be used to compare land area?</ns0:t>
        </ns0:is>
      </ns0:c>
      <ns0:c r="F28" s="6" t="inlineStr">
        <ns0:is>
          <ns0:t>168.5 m and 98.6 m</ns0:t>
        </ns0:is>
      </ns0:c>
      <ns0:c r="G28" s="6" t="inlineStr">
        <ns0:is>
          <ns0:t>87.4 km and 151 m</ns0:t>
        </ns0:is>
      </ns0:c>
      <ns0:c r="H28" s="6" t="inlineStr">
        <ns0:is>
          <ns0:t>88,740 m² and 73,297 m²</ns0:t>
        </ns0:is>
      </ns0:c>
      <ns0:c r="I28" s="6" t="n">
        <ns0:v>3</ns0:v>
      </ns0:c>
      <ns0:c r="J28" s="6" t="inlineStr">
        <ns0:is>
          <ns0:t>Seodo has a larger land area than Dongdo. Elevation and area are different measurements.</ns0:t>
        </ns0:is>
      </ns0:c>
      <ns0:c r="K28" s="6" t="inlineStr">
        <ns0:is>
          <ns0:t>The selected option, “168.5 m and 98.6 m”, does not fit. The answer is “88,740 m² and 73,297 m²”. Seodo has a larger land area than Dongdo. Elevation and area are different measurements.</ns0:t>
        </ns0:is>
      </ns0:c>
      <ns0:c r="L28" s="6" t="inlineStr">
        <ns0:is>
          <ns0:t>The selected option, “87.4 km and 151 m”, does not fit. The answer is “88,740 m² and 73,297 m²”. Seodo has a larger land area than Dongdo. Elevation and area are different measurements.</ns0:t>
        </ns0:is>
      </ns0:c>
      <ns0:c r="M28" s="6" t="inlineStr">
        <ns0:is>
          <ns0:t>Seodo has a larger land area than Dongdo. Elevation and area are different measurements.</ns0:t>
        </ns0:is>
      </ns0:c>
      <ns0:c r="N28" s="6" t="inlineStr">
        <ns0:is>
          <ns0:t>Seodo area: 88,740 m²; Dongdo area: 73,297 m². Elevation uses metres; area uses square metres.</ns0:t>
        </ns0:is>
      </ns0:c>
      <ns0:c r="O28" s="6" t="inlineStr">
        <ns0:is>
          <ns0:t>https://dokdo.mofa.go.kr/kor/introduce/location.jsp</ns0:t>
        </ns0:is>
      </ns0:c>
      <ns0:c r="P28" s="3">
        <ns0:f>LEN(E28)+MAX(LEN(F28),LEN(G28),LEN(H28))</ns0:f>
        <ns0:v>72</ns0:v>
      </ns0:c>
      <ns0:c r="Q28" s="7" t="inlineStr">
        <ns0:is>
          <ns0:t>출처 기반 자체 검토 / 독립 승인 전</ns0:t>
        </ns0:is>
      </ns0:c>
    </ns0:row>
    <ns0:row r="29" ht="98" customHeight="1">
      <ns0:c r="A29" s="4" t="n">
        <ns0:v>910028</ns0:v>
      </ns0:c>
      <ns0:c r="B29" s="4" t="n">
        <ns0:v>2</ns0:v>
      </ns0:c>
      <ns0:c r="C29" s="4" t="inlineStr">
        <ns0:is>
          <ns0:t>dk-area</ns0:t>
        </ns0:is>
      </ns0:c>
      <ns0:c r="D29" s="4" t="n">
        <ns0:v>4</ns0:v>
      </ns0:c>
      <ns0:c r="E29" s="8" t="inlineStr">
        <ns0:is>
          <ns0:t>Evaluate “Seodo is higher, so it must have a larger area.”</ns0:t>
        </ns0:is>
      </ns0:c>
      <ns0:c r="F29" s="8" t="inlineStr">
        <ns0:is>
          <ns0:t>A higher island always has a smaller area</ns0:t>
        </ns0:is>
      </ns0:c>
      <ns0:c r="G29" s="8" t="inlineStr">
        <ns0:is>
          <ns0:t>Area must be checked with separate area data</ns0:t>
        </ns0:is>
      </ns0:c>
      <ns0:c r="H29" s="8" t="inlineStr">
        <ns0:is>
          <ns0:t>Correct, because adding heights produces area</ns0:t>
        </ns0:is>
      </ns0:c>
      <ns0:c r="I29" s="8" t="n">
        <ns0:v>2</ns0:v>
      </ns0:c>
      <ns0:c r="J29" s="8" t="inlineStr">
        <ns0:is>
          <ns0:t>Seodo has a larger land area than Dongdo. Elevation and area are different measurements. Both are greater for Seodo in this case, but elevation alone does not establish area.</ns0:t>
        </ns0:is>
      </ns0:c>
      <ns0:c r="K29" s="8" t="inlineStr">
        <ns0:is>
          <ns0:t>The selected option, “A higher island always has a smaller area”, does not fit. The answer is “Area must be checked with separate area data”. Seodo has a larger land area than Dongdo. Elevation and area are different measurements. Both are greater for Seodo in this case, but elevation alone does not establish area.</ns0:t>
        </ns0:is>
      </ns0:c>
      <ns0:c r="L29" s="8" t="inlineStr">
        <ns0:is>
          <ns0:t>Seodo has a larger land area than Dongdo. Elevation and area are different measurements. Both are greater for Seodo in this case, but elevation alone does not establish area.</ns0:t>
        </ns0:is>
      </ns0:c>
      <ns0:c r="M29" s="8" t="inlineStr">
        <ns0:is>
          <ns0:t>The selected option, “Correct, because adding heights produces area”, does not fit. The answer is “Area must be checked with separate area data”. Seodo has a larger land area than Dongdo. Elevation and area are different measurements. Both are greater for Seodo in this case, but elevation alone does not establish area.</ns0:t>
        </ns0:is>
      </ns0:c>
      <ns0:c r="N29" s="8" t="inlineStr">
        <ns0:is>
          <ns0:t>Seodo area: 88,740 m²; Dongdo area: 73,297 m². Elevation uses metres; area uses square metres.</ns0:t>
        </ns0:is>
      </ns0:c>
      <ns0:c r="O29" s="8" t="inlineStr">
        <ns0:is>
          <ns0:t>https://dokdo.mofa.go.kr/kor/introduce/location.jsp</ns0:t>
        </ns0:is>
      </ns0:c>
      <ns0:c r="P29" s="5">
        <ns0:f>LEN(E29)+MAX(LEN(F29),LEN(G29),LEN(H29))</ns0:f>
        <ns0:v>103</ns0:v>
      </ns0:c>
      <ns0:c r="Q29" s="9" t="inlineStr">
        <ns0:is>
          <ns0:t>출처 기반 자체 검토 / 독립 승인 전</ns0:t>
        </ns0:is>
      </ns0:c>
    </ns0:row>
    <ns0:row r="30" ht="98" customHeight="1">
      <ns0:c r="A30" s="2" t="n">
        <ns0:v>910029</ns0:v>
      </ns0:c>
      <ns0:c r="B30" s="2" t="n">
        <ns0:v>2</ns0:v>
      </ns0:c>
      <ns0:c r="C30" s="2" t="inlineStr">
        <ns0:is>
          <ns0:t>dk-shore-gap</ns0:t>
        </ns0:is>
      </ns0:c>
      <ns0:c r="D30" s="2" t="n">
        <ns0:v>1</ns0:v>
      </ns0:c>
      <ns0:c r="E30" s="6" t="inlineStr">
        <ns0:is>
          <ns0:t>What fills the gap between Dongdo and Seodo?</ns0:t>
        </ns0:is>
      </ns0:c>
      <ns0:c r="F30" s="6" t="inlineStr">
        <ns0:is>
          <ns0:t>Seawater</ns0:t>
        </ns0:is>
      </ns0:c>
      <ns0:c r="G30" s="6" t="inlineStr">
        <ns0:is>
          <ns0:t>An above-water land bridge</ns0:t>
        </ns0:is>
      </ns0:c>
      <ns0:c r="H30" s="6" t="inlineStr">
        <ns0:is>
          <ns0:t>A mountain on Ulleungdo</ns0:t>
        </ns0:is>
      </ns0:c>
      <ns0:c r="I30" s="6" t="n">
        <ns0:v>1</ns0:v>
      </ns0:c>
      <ns0:c r="J30" s="6" t="inlineStr">
        <ns0:is>
          <ns0:t>Dongdo and Seodo are separated by water, with about 151 m between their nearest shores.</ns0:t>
        </ns0:is>
      </ns0:c>
      <ns0:c r="K30" s="6" t="inlineStr">
        <ns0:is>
          <ns0:t>Dongdo and Seodo are separated by water, with about 151 m between their nearest shores.</ns0:t>
        </ns0:is>
      </ns0:c>
      <ns0:c r="L30" s="6" t="inlineStr">
        <ns0:is>
          <ns0:t>The selected option, “An above-water land bridge”, does not fit. The answer is “Seawater”. Dongdo and Seodo are separated by water, with about 151 m between their nearest shores.</ns0:t>
        </ns0:is>
      </ns0:c>
      <ns0:c r="M30" s="6" t="inlineStr">
        <ns0:is>
          <ns0:t>The selected option, “A mountain on Ulleungdo”, does not fit. The answer is “Seawater”. Dongdo and Seodo are separated by water, with about 151 m between their nearest shores.</ns0:t>
        </ns0:is>
      </ns0:c>
      <ns0:c r="N30" s="6" t="inlineStr"/>
      <ns0:c r="O30" s="6" t="inlineStr">
        <ns0:is>
          <ns0:t>https://www.dokdo.re.kr/home/cms/cmsCont.do?cntnts_sn=66</ns0:t>
        </ns0:is>
      </ns0:c>
      <ns0:c r="P30" s="3">
        <ns0:f>LEN(E30)+MAX(LEN(F30),LEN(G30),LEN(H30))</ns0:f>
        <ns0:v>70</ns0:v>
      </ns0:c>
      <ns0:c r="Q30" s="7" t="inlineStr">
        <ns0:is>
          <ns0:t>출처 기반 자체 검토 / 독립 승인 전</ns0:t>
        </ns0:is>
      </ns0:c>
    </ns0:row>
    <ns0:row r="31" ht="98" customHeight="1">
      <ns0:c r="A31" s="4" t="n">
        <ns0:v>910030</ns0:v>
      </ns0:c>
      <ns0:c r="B31" s="4" t="n">
        <ns0:v>2</ns0:v>
      </ns0:c>
      <ns0:c r="C31" s="4" t="inlineStr">
        <ns0:is>
          <ns0:t>dk-shore-gap</ns0:t>
        </ns0:is>
      </ns0:c>
      <ns0:c r="D31" s="4" t="n">
        <ns0:v>2</ns0:v>
      </ns0:c>
      <ns0:c r="E31" s="8" t="inlineStr">
        <ns0:is>
          <ns0:t>Which measurement is linked to 151 m?</ns0:t>
        </ns0:is>
      </ns0:c>
      <ns0:c r="F31" s="8" t="inlineStr">
        <ns0:is>
          <ns0:t>Seodo’s maximum elevation</ns0:t>
        </ns0:is>
      </ns0:c>
      <ns0:c r="G31" s="8" t="inlineStr">
        <ns0:is>
          <ns0:t>The distance from Ulleungdo to Dokdo</ns0:t>
        </ns0:is>
      </ns0:c>
      <ns0:c r="H31" s="8" t="inlineStr">
        <ns0:is>
          <ns0:t>The shortest shore-to-shore distance</ns0:t>
        </ns0:is>
      </ns0:c>
      <ns0:c r="I31" s="8" t="n">
        <ns0:v>3</ns0:v>
      </ns0:c>
      <ns0:c r="J31" s="8" t="inlineStr">
        <ns0:is>
          <ns0:t>Dongdo and Seodo are separated by water, with about 151 m between their nearest shores.</ns0:t>
        </ns0:is>
      </ns0:c>
      <ns0:c r="K31" s="8" t="inlineStr">
        <ns0:is>
          <ns0:t>The selected option, “Seodo’s maximum elevation”, does not fit. The answer is “The shortest shore-to-shore distance”. Dongdo and Seodo are separated by water, with about 151 m between their nearest shores.</ns0:t>
        </ns0:is>
      </ns0:c>
      <ns0:c r="L31" s="8" t="inlineStr">
        <ns0:is>
          <ns0:t>The selected option, “The distance from Ulleungdo to Dokdo”, does not fit. The answer is “The shortest shore-to-shore distance”. Dongdo and Seodo are separated by water, with about 151 m between their nearest shores.</ns0:t>
        </ns0:is>
      </ns0:c>
      <ns0:c r="M31" s="8" t="inlineStr">
        <ns0:is>
          <ns0:t>Dongdo and Seodo are separated by water, with about 151 m between their nearest shores.</ns0:t>
        </ns0:is>
      </ns0:c>
      <ns0:c r="N31" s="8" t="inlineStr"/>
      <ns0:c r="O31" s="8" t="inlineStr">
        <ns0:is>
          <ns0:t>https://www.dokdo.re.kr/home/cms/cmsCont.do?cntnts_sn=66</ns0:t>
        </ns0:is>
      </ns0:c>
      <ns0:c r="P31" s="5">
        <ns0:f>LEN(E31)+MAX(LEN(F31),LEN(G31),LEN(H31))</ns0:f>
        <ns0:v>73</ns0:v>
      </ns0:c>
      <ns0:c r="Q31" s="9" t="inlineStr">
        <ns0:is>
          <ns0:t>출처 기반 자체 검토 / 독립 승인 전</ns0:t>
        </ns0:is>
      </ns0:c>
    </ns0:row>
    <ns0:row r="32" ht="98" customHeight="1">
      <ns0:c r="A32" s="2" t="n">
        <ns0:v>910031</ns0:v>
      </ns0:c>
      <ns0:c r="B32" s="2" t="n">
        <ns0:v>2</ns0:v>
      </ns0:c>
      <ns0:c r="C32" s="2" t="inlineStr">
        <ns0:is>
          <ns0:t>dk-shore-gap</ns0:t>
        </ns0:is>
      </ns0:c>
      <ns0:c r="D32" s="2" t="n">
        <ns0:v>3</ns0:v>
      </ns0:c>
      <ns0:c r="E32" s="6" t="inlineStr">
        <ns0:is>
          <ns0:t>Which endpoints suit the 151 m annotation?</ns0:t>
        </ns0:is>
      </ns0:c>
      <ns0:c r="F32" s="6" t="inlineStr">
        <ns0:is>
          <ns0:t>The centres of Ulleungdo and Seodo</ns0:t>
        </ns0:is>
      </ns0:c>
      <ns0:c r="G32" s="6" t="inlineStr">
        <ns0:is>
          <ns0:t>The nearest points on the two shores</ns0:t>
        </ns0:is>
      </ns0:c>
      <ns0:c r="H32" s="6" t="inlineStr">
        <ns0:is>
          <ns0:t>The two summits</ns0:t>
        </ns0:is>
      </ns0:c>
      <ns0:c r="I32" s="6" t="n">
        <ns0:v>2</ns0:v>
      </ns0:c>
      <ns0:c r="J32" s="6" t="inlineStr">
        <ns0:is>
          <ns0:t>Dongdo and Seodo are separated by water, with about 151 m between their nearest shores.</ns0:t>
        </ns0:is>
      </ns0:c>
      <ns0:c r="K32" s="6" t="inlineStr">
        <ns0:is>
          <ns0:t>The selected option, “The centres of Ulleungdo and Seodo”, does not fit. The answer is “The nearest points on the two shores”. Dongdo and Seodo are separated by water, with about 151 m between their nearest shores.</ns0:t>
        </ns0:is>
      </ns0:c>
      <ns0:c r="L32" s="6" t="inlineStr">
        <ns0:is>
          <ns0:t>Dongdo and Seodo are separated by water, with about 151 m between their nearest shores.</ns0:t>
        </ns0:is>
      </ns0:c>
      <ns0:c r="M32" s="6" t="inlineStr">
        <ns0:is>
          <ns0:t>The selected option, “The two summits”, does not fit. The answer is “The nearest points on the two shores”. Dongdo and Seodo are separated by water, with about 151 m between their nearest shores.</ns0:t>
        </ns0:is>
      </ns0:c>
      <ns0:c r="N32" s="6" t="inlineStr">
        <ns0:is>
          <ns0:t>The 151 m figure describes the gap between the nearest shores, not between the summits or island centres.</ns0:t>
        </ns0:is>
      </ns0:c>
      <ns0:c r="O32" s="6" t="inlineStr">
        <ns0:is>
          <ns0:t>https://www.dokdo.re.kr/home/cms/cmsCont.do?cntnts_sn=66</ns0:t>
        </ns0:is>
      </ns0:c>
      <ns0:c r="P32" s="3">
        <ns0:f>LEN(E32)+MAX(LEN(F32),LEN(G32),LEN(H32))</ns0:f>
        <ns0:v>78</ns0:v>
      </ns0:c>
      <ns0:c r="Q32" s="7" t="inlineStr">
        <ns0:is>
          <ns0:t>출처 기반 자체 검토 / 독립 승인 전</ns0:t>
        </ns0:is>
      </ns0:c>
    </ns0:row>
    <ns0:row r="33" ht="98" customHeight="1">
      <ns0:c r="A33" s="4" t="n">
        <ns0:v>910032</ns0:v>
      </ns0:c>
      <ns0:c r="B33" s="4" t="n">
        <ns0:v>2</ns0:v>
      </ns0:c>
      <ns0:c r="C33" s="4" t="inlineStr">
        <ns0:is>
          <ns0:t>dk-shore-gap</ns0:t>
        </ns0:is>
      </ns0:c>
      <ns0:c r="D33" s="4" t="n">
        <ns0:v>4</ns0:v>
      </ns0:c>
      <ns0:c r="E33" s="8" t="inlineStr">
        <ns0:is>
          <ns0:t>What if 151 m labels a line between the summits?</ns0:t>
        </ns0:is>
      </ns0:c>
      <ns0:c r="F33" s="8" t="inlineStr">
        <ns0:is>
          <ns0:t>Correct it: the endpoints differ from the source</ns0:t>
        </ns0:is>
      </ns0:c>
      <ns0:c r="G33" s="8" t="inlineStr">
        <ns0:is>
          <ns0:t>Any points on the same two islands are acceptable</ns0:t>
        </ns0:is>
      </ns0:c>
      <ns0:c r="H33" s="8" t="inlineStr">
        <ns0:is>
          <ns0:t>Remove it because 151 m is an area</ns0:t>
        </ns0:is>
      </ns0:c>
      <ns0:c r="I33" s="8" t="n">
        <ns0:v>1</ns0:v>
      </ns0:c>
      <ns0:c r="J33" s="8" t="inlineStr">
        <ns0:is>
          <ns0:t>Dongdo and Seodo are separated by water, with about 151 m between their nearest shores. Both the number and the endpoints must match the measurement.</ns0:t>
        </ns0:is>
      </ns0:c>
      <ns0:c r="K33" s="8" t="inlineStr">
        <ns0:is>
          <ns0:t>Dongdo and Seodo are separated by water, with about 151 m between their nearest shores. Both the number and the endpoints must match the measurement.</ns0:t>
        </ns0:is>
      </ns0:c>
      <ns0:c r="L33" s="8" t="inlineStr">
        <ns0:is>
          <ns0:t>The selected option, “Any points on the same two islands are acceptable”, does not fit. The answer is “Correct it: the endpoints differ from the source”. Dongdo and Seodo are separated by water, with about 151 m between their nearest shores. Both the number and the endpoints must match the measurement.</ns0:t>
        </ns0:is>
      </ns0:c>
      <ns0:c r="M33" s="8" t="inlineStr">
        <ns0:is>
          <ns0:t>The selected option, “Remove it because 151 m is an area”, does not fit. The answer is “Correct it: the endpoints differ from the source”. Dongdo and Seodo are separated by water, with about 151 m between their nearest shores. Both the number and the endpoints must match the measurement.</ns0:t>
        </ns0:is>
      </ns0:c>
      <ns0:c r="N33" s="8" t="inlineStr">
        <ns0:is>
          <ns0:t>The 151 m figure describes the gap between the nearest shores, not between the summits or island centres.</ns0:t>
        </ns0:is>
      </ns0:c>
      <ns0:c r="O33" s="8" t="inlineStr">
        <ns0:is>
          <ns0:t>https://www.dokdo.re.kr/home/cms/cmsCont.do?cntnts_sn=66</ns0:t>
        </ns0:is>
      </ns0:c>
      <ns0:c r="P33" s="5">
        <ns0:f>LEN(E33)+MAX(LEN(F33),LEN(G33),LEN(H33))</ns0:f>
        <ns0:v>97</ns0:v>
      </ns0:c>
      <ns0:c r="Q33" s="9" t="inlineStr">
        <ns0:is>
          <ns0:t>출처 기반 자체 검토 / 독립 승인 전</ns0:t>
        </ns0:is>
      </ns0:c>
    </ns0:row>
    <ns0:row r="34" ht="98" customHeight="1">
      <ns0:c r="A34" s="2" t="n">
        <ns0:v>910033</ns0:v>
      </ns0:c>
      <ns0:c r="B34" s="2" t="n">
        <ns0:v>2</ns0:v>
      </ns0:c>
      <ns0:c r="C34" s="2" t="inlineStr">
        <ns0:is>
          <ns0:t>dk-terrain-contrast</ns0:t>
        </ns0:is>
      </ns0:c>
      <ns0:c r="D34" s="2" t="n">
        <ns0:v>1</ns0:v>
      </ns0:c>
      <ns0:c r="E34" s="6" t="inlineStr">
        <ns0:is>
          <ns0:t>Which island is especially steep and pointed?</ns0:t>
        </ns0:is>
      </ns0:c>
      <ns0:c r="F34" s="6" t="inlineStr">
        <ns0:is>
          <ns0:t>Dongdo</ns0:t>
        </ns0:is>
      </ns0:c>
      <ns0:c r="G34" s="6" t="inlineStr">
        <ns0:is>
          <ns0:t>Both islands are entirely flat</ns0:t>
        </ns0:is>
      </ns0:c>
      <ns0:c r="H34" s="6" t="inlineStr">
        <ns0:is>
          <ns0:t>Seodo</ns0:t>
        </ns0:is>
      </ns0:c>
      <ns0:c r="I34" s="6" t="n">
        <ns0:v>3</ns0:v>
      </ns0:c>
      <ns0:c r="J34" s="6" t="inlineStr">
        <ns0:is>
          <ns0:t>Seodo rises steeply, while Dongdo has a comparatively level upper area.</ns0:t>
        </ns0:is>
      </ns0:c>
      <ns0:c r="K34" s="6" t="inlineStr">
        <ns0:is>
          <ns0:t>The selected option, “Dongdo”, does not fit. The answer is “Seodo”. Seodo rises steeply, while Dongdo has a comparatively level upper area.</ns0:t>
        </ns0:is>
      </ns0:c>
      <ns0:c r="L34" s="6" t="inlineStr">
        <ns0:is>
          <ns0:t>The selected option, “Both islands are entirely flat”, does not fit. The answer is “Seodo”. Seodo rises steeply, while Dongdo has a comparatively level upper area.</ns0:t>
        </ns0:is>
      </ns0:c>
      <ns0:c r="M34" s="6" t="inlineStr">
        <ns0:is>
          <ns0:t>Seodo rises steeply, while Dongdo has a comparatively level upper area.</ns0:t>
        </ns0:is>
      </ns0:c>
      <ns0:c r="N34" s="6" t="inlineStr"/>
      <ns0:c r="O34" s="6" t="inlineStr">
        <ns0:is>
          <ns0:t>https://www.heritage.go.kr/heri/cul/culSelectDetail.do?VdkVgwKey=16%2C03360000%2C37&amp;pageNo=1_1_2_0
https://www.jbe.go.kr/dokdo/assets/sub/picture.html</ns0:t>
        </ns0:is>
      </ns0:c>
      <ns0:c r="P34" s="3">
        <ns0:f>LEN(E34)+MAX(LEN(F34),LEN(G34),LEN(H34))</ns0:f>
        <ns0:v>75</ns0:v>
      </ns0:c>
      <ns0:c r="Q34" s="7" t="inlineStr">
        <ns0:is>
          <ns0:t>출처 기반 자체 검토 / 독립 승인 전</ns0:t>
        </ns0:is>
      </ns0:c>
    </ns0:row>
    <ns0:row r="35" ht="98" customHeight="1">
      <ns0:c r="A35" s="4" t="n">
        <ns0:v>910034</ns0:v>
      </ns0:c>
      <ns0:c r="B35" s="4" t="n">
        <ns0:v>2</ns0:v>
      </ns0:c>
      <ns0:c r="C35" s="4" t="inlineStr">
        <ns0:is>
          <ns0:t>dk-terrain-contrast</ns0:t>
        </ns0:is>
      </ns0:c>
      <ns0:c r="D35" s="4" t="n">
        <ns0:v>2</ns0:v>
      </ns0:c>
      <ns0:c r="E35" s="8" t="inlineStr">
        <ns0:is>
          <ns0:t>Which description fits the upper part of Dongdo?</ns0:t>
        </ns0:is>
      </ns0:c>
      <ns0:c r="F35" s="8" t="inlineStr">
        <ns0:is>
          <ns0:t>An entirely sandy plain</ns0:t>
        </ns0:is>
      </ns0:c>
      <ns0:c r="G35" s="8" t="inlineStr">
        <ns0:is>
          <ns0:t>A comparatively level area</ns0:t>
        </ns0:is>
      </ns0:c>
      <ns0:c r="H35" s="8" t="inlineStr">
        <ns0:is>
          <ns0:t>Only peaks higher than Seodo</ns0:t>
        </ns0:is>
      </ns0:c>
      <ns0:c r="I35" s="8" t="n">
        <ns0:v>2</ns0:v>
      </ns0:c>
      <ns0:c r="J35" s="8" t="inlineStr">
        <ns0:is>
          <ns0:t>Seodo rises steeply, while Dongdo has a comparatively level upper area.</ns0:t>
        </ns0:is>
      </ns0:c>
      <ns0:c r="K35" s="8" t="inlineStr">
        <ns0:is>
          <ns0:t>The selected option, “An entirely sandy plain”, does not fit. The answer is “A comparatively level area”. Seodo rises steeply, while Dongdo has a comparatively level upper area.</ns0:t>
        </ns0:is>
      </ns0:c>
      <ns0:c r="L35" s="8" t="inlineStr">
        <ns0:is>
          <ns0:t>Seodo rises steeply, while Dongdo has a comparatively level upper area.</ns0:t>
        </ns0:is>
      </ns0:c>
      <ns0:c r="M35" s="8" t="inlineStr">
        <ns0:is>
          <ns0:t>The selected option, “Only peaks higher than Seodo”, does not fit. The answer is “A comparatively level area”. Seodo rises steeply, while Dongdo has a comparatively level upper area.</ns0:t>
        </ns0:is>
      </ns0:c>
      <ns0:c r="N35" s="8" t="inlineStr"/>
      <ns0:c r="O35" s="8" t="inlineStr">
        <ns0:is>
          <ns0:t>https://www.heritage.go.kr/heri/cul/culSelectDetail.do?VdkVgwKey=16%2C03360000%2C37&amp;pageNo=1_1_2_0
https://www.jbe.go.kr/dokdo/assets/sub/picture.html</ns0:t>
        </ns0:is>
      </ns0:c>
      <ns0:c r="P35" s="5">
        <ns0:f>LEN(E35)+MAX(LEN(F35),LEN(G35),LEN(H35))</ns0:f>
        <ns0:v>76</ns0:v>
      </ns0:c>
      <ns0:c r="Q35" s="9" t="inlineStr">
        <ns0:is>
          <ns0:t>출처 기반 자체 검토 / 독립 승인 전</ns0:t>
        </ns0:is>
      </ns0:c>
    </ns0:row>
    <ns0:row r="36" ht="98" customHeight="1">
      <ns0:c r="A36" s="2" t="n">
        <ns0:v>910035</ns0:v>
      </ns0:c>
      <ns0:c r="B36" s="2" t="n">
        <ns0:v>2</ns0:v>
      </ns0:c>
      <ns0:c r="C36" s="2" t="inlineStr">
        <ns0:is>
          <ns0:t>dk-terrain-contrast</ns0:t>
        </ns0:is>
      </ns0:c>
      <ns0:c r="D36" s="2" t="n">
        <ns0:v>3</ns0:v>
      </ns0:c>
      <ns0:c r="E36" s="6" t="inlineStr">
        <ns0:is>
          <ns0:t>Which comparison matches the supplied source?</ns0:t>
        </ns0:is>
      </ns0:c>
      <ns0:c r="F36" s="6" t="inlineStr">
        <ns0:is>
          <ns0:t>Seodo is steep; Dongdo’s upper area is relatively level</ns0:t>
        </ns0:is>
      </ns0:c>
      <ns0:c r="G36" s="6" t="inlineStr">
        <ns0:is>
          <ns0:t>Dongdo is higher and sharper than Seodo</ns0:t>
        </ns0:is>
      </ns0:c>
      <ns0:c r="H36" s="6" t="inlineStr">
        <ns0:is>
          <ns0:t>Both have the same shape and elevation</ns0:t>
        </ns0:is>
      </ns0:c>
      <ns0:c r="I36" s="6" t="n">
        <ns0:v>1</ns0:v>
      </ns0:c>
      <ns0:c r="J36" s="6" t="inlineStr">
        <ns0:is>
          <ns0:t>Seodo rises steeply, while Dongdo has a comparatively level upper area.</ns0:t>
        </ns0:is>
      </ns0:c>
      <ns0:c r="K36" s="6" t="inlineStr">
        <ns0:is>
          <ns0:t>Seodo rises steeply, while Dongdo has a comparatively level upper area.</ns0:t>
        </ns0:is>
      </ns0:c>
      <ns0:c r="L36" s="6" t="inlineStr">
        <ns0:is>
          <ns0:t>The selected option, “Dongdo is higher and sharper than Seodo”, does not fit. The answer is “Seodo is steep; Dongdo’s upper area is relatively level”. Seodo rises steeply, while Dongdo has a comparatively level upper area.</ns0:t>
        </ns0:is>
      </ns0:c>
      <ns0:c r="M36" s="6" t="inlineStr">
        <ns0:is>
          <ns0:t>The selected option, “Both have the same shape and elevation”, does not fit. The answer is “Seodo is steep; Dongdo’s upper area is relatively level”. Seodo rises steeply, while Dongdo has a comparatively level upper area.</ns0:t>
        </ns0:is>
      </ns0:c>
      <ns0:c r="N36" s="6" t="inlineStr">
        <ns0:is>
          <ns0:t>The heritage description and aerial photographs distinguish steep Seodo from Dongdo’s comparatively level upper area. Dongdo still has ridges and coastal cliffs.</ns0:t>
        </ns0:is>
      </ns0:c>
      <ns0:c r="O36" s="6" t="inlineStr">
        <ns0:is>
          <ns0:t>https://www.heritage.go.kr/heri/cul/culSelectDetail.do?VdkVgwKey=16%2C03360000%2C37&amp;pageNo=1_1_2_0
https://www.jbe.go.kr/dokdo/assets/sub/picture.html</ns0:t>
        </ns0:is>
      </ns0:c>
      <ns0:c r="P36" s="3">
        <ns0:f>LEN(E36)+MAX(LEN(F36),LEN(G36),LEN(H36))</ns0:f>
        <ns0:v>100</ns0:v>
      </ns0:c>
      <ns0:c r="Q36" s="7" t="inlineStr">
        <ns0:is>
          <ns0:t>출처 기반 자체 검토 / 독립 승인 전</ns0:t>
        </ns0:is>
      </ns0:c>
    </ns0:row>
    <ns0:row r="37" ht="98" customHeight="1">
      <ns0:c r="A37" s="4" t="n">
        <ns0:v>910036</ns0:v>
      </ns0:c>
      <ns0:c r="B37" s="4" t="n">
        <ns0:v>2</ns0:v>
      </ns0:c>
      <ns0:c r="C37" s="4" t="inlineStr">
        <ns0:is>
          <ns0:t>dk-terrain-contrast</ns0:t>
        </ns0:is>
      </ns0:c>
      <ns0:c r="D37" s="4" t="n">
        <ns0:v>4</ns0:v>
      </ns0:c>
      <ns0:c r="E37" s="8" t="inlineStr">
        <ns0:is>
          <ns0:t>What is wrong with drawing Dongdo as a completely flat plate?</ns0:t>
        </ns0:is>
      </ns0:c>
      <ns0:c r="F37" s="8" t="inlineStr">
        <ns0:is>
          <ns0:t>Facilities prove a flat plate is accurate</ns0:t>
        </ns0:is>
      </ns0:c>
      <ns0:c r="G37" s="8" t="inlineStr">
        <ns0:is>
          <ns0:t>An island lower than Seodo cannot have cliffs</ns0:t>
        </ns0:is>
      </ns0:c>
      <ns0:c r="H37" s="8" t="inlineStr">
        <ns0:is>
          <ns0:t>It extends a relative upper-area feature to the whole island</ns0:t>
        </ns0:is>
      </ns0:c>
      <ns0:c r="I37" s="8" t="n">
        <ns0:v>3</ns0:v>
      </ns0:c>
      <ns0:c r="J37" s="8" t="inlineStr">
        <ns0:is>
          <ns0:t>Seodo rises steeply, while Dongdo has a comparatively level upper area.</ns0:t>
        </ns0:is>
      </ns0:c>
      <ns0:c r="K37" s="8" t="inlineStr">
        <ns0:is>
          <ns0:t>The selected option, “Facilities prove a flat plate is accurate”, does not fit. The answer is “It extends a relative upper-area feature to the whole island”. Seodo rises steeply, while Dongdo has a comparatively level upper area.</ns0:t>
        </ns0:is>
      </ns0:c>
      <ns0:c r="L37" s="8" t="inlineStr">
        <ns0:is>
          <ns0:t>The selected option, “An island lower than Seodo cannot have cliffs”, does not fit. The answer is “It extends a relative upper-area feature to the whole island”. Seodo rises steeply, while Dongdo has a comparatively level upper area.</ns0:t>
        </ns0:is>
      </ns0:c>
      <ns0:c r="M37" s="8" t="inlineStr">
        <ns0:is>
          <ns0:t>Seodo rises steeply, while Dongdo has a comparatively level upper area.</ns0:t>
        </ns0:is>
      </ns0:c>
      <ns0:c r="N37" s="8" t="inlineStr">
        <ns0:is>
          <ns0:t>The heritage description and aerial photographs distinguish steep Seodo from Dongdo’s comparatively level upper area. Dongdo still has ridges and coastal cliffs.</ns0:t>
        </ns0:is>
      </ns0:c>
      <ns0:c r="O37" s="8" t="inlineStr">
        <ns0:is>
          <ns0:t>https://www.heritage.go.kr/heri/cul/culSelectDetail.do?VdkVgwKey=16%2C03360000%2C37&amp;pageNo=1_1_2_0
https://www.jbe.go.kr/dokdo/assets/sub/picture.html</ns0:t>
        </ns0:is>
      </ns0:c>
      <ns0:c r="P37" s="5">
        <ns0:f>LEN(E37)+MAX(LEN(F37),LEN(G37),LEN(H37))</ns0:f>
        <ns0:v>121</ns0:v>
      </ns0:c>
      <ns0:c r="Q37" s="9" t="inlineStr">
        <ns0:is>
          <ns0:t>출처 기반 자체 검토 / 독립 승인 전</ns0:t>
        </ns0:is>
      </ns0:c>
    </ns0:row>
    <ns0:row r="38" ht="98" customHeight="1">
      <ns0:c r="A38" s="2" t="n">
        <ns0:v>910037</ns0:v>
      </ns0:c>
      <ns0:c r="B38" s="2" t="n">
        <ns0:v>2</ns0:v>
      </ns0:c>
      <ns0:c r="C38" s="2" t="inlineStr">
        <ns0:is>
          <ns0:t>dk-above-below</ns0:t>
        </ns0:is>
      </ns0:c>
      <ns0:c r="D38" s="2" t="n">
        <ns0:v>1</ns0:v>
      </ns0:c>
      <ns0:c r="E38" s="6" t="inlineStr">
        <ns0:is>
          <ns0:t>Does Dokdo’s landform continue underwater?</ns0:t>
        </ns0:is>
      </ns0:c>
      <ns0:c r="F38" s="6" t="inlineStr">
        <ns0:is>
          <ns0:t>It rests on a boat</ns0:t>
        </ns0:is>
      </ns0:c>
      <ns0:c r="G38" s="6" t="inlineStr">
        <ns0:is>
          <ns0:t>Yes, it continues underwater</ns0:t>
        </ns0:is>
      </ns0:c>
      <ns0:c r="H38" s="6" t="inlineStr">
        <ns0:is>
          <ns0:t>No, it floats on the surface</ns0:t>
        </ns0:is>
      </ns0:c>
      <ns0:c r="I38" s="6" t="n">
        <ns0:v>2</ns0:v>
      </ns0:c>
      <ns0:c r="J38" s="6" t="inlineStr">
        <ns0:is>
          <ns0:t>The islands are exposed parts of a larger underwater volcanic structure. Their terrain continues below the sea.</ns0:t>
        </ns0:is>
      </ns0:c>
      <ns0:c r="K38" s="6" t="inlineStr">
        <ns0:is>
          <ns0:t>The selected option, “It rests on a boat”, does not fit. The answer is “Yes, it continues underwater”. The islands are exposed parts of a larger underwater volcanic structure. Their terrain continues below the sea.</ns0:t>
        </ns0:is>
      </ns0:c>
      <ns0:c r="L38" s="6" t="inlineStr">
        <ns0:is>
          <ns0:t>The islands are exposed parts of a larger underwater volcanic structure. Their terrain continues below the sea.</ns0:t>
        </ns0:is>
      </ns0:c>
      <ns0:c r="M38" s="6" t="inlineStr">
        <ns0:is>
          <ns0:t>The selected option, “No, it floats on the surface”, does not fit. The answer is “Yes, it continues underwater”. The islands are exposed parts of a larger underwater volcanic structure. Their terrain continues below the sea.</ns0:t>
        </ns0:is>
      </ns0:c>
      <ns0:c r="N38" s="6" t="inlineStr"/>
      <ns0:c r="O38" s="6" t="inlineStr">
        <ns0:is>
          <ns0:t>https://www.dokdo.re.kr/home/cms/cmsCont.do?cntnts_sn=66</ns0:t>
        </ns0:is>
      </ns0:c>
      <ns0:c r="P38" s="3">
        <ns0:f>LEN(E38)+MAX(LEN(F38),LEN(G38),LEN(H38))</ns0:f>
        <ns0:v>70</ns0:v>
      </ns0:c>
      <ns0:c r="Q38" s="7" t="inlineStr">
        <ns0:is>
          <ns0:t>출처 기반 자체 검토 / 독립 승인 전</ns0:t>
        </ns0:is>
      </ns0:c>
    </ns0:row>
    <ns0:row r="39" ht="98" customHeight="1">
      <ns0:c r="A39" s="4" t="n">
        <ns0:v>910038</ns0:v>
      </ns0:c>
      <ns0:c r="B39" s="4" t="n">
        <ns0:v>2</ns0:v>
      </ns0:c>
      <ns0:c r="C39" s="4" t="inlineStr">
        <ns0:is>
          <ns0:t>dk-above-below</ns0:t>
        </ns0:is>
      </ns0:c>
      <ns0:c r="D39" s="4" t="n">
        <ns0:v>2</ns0:v>
      </ns0:c>
      <ns0:c r="E39" s="8" t="inlineStr">
        <ns0:is>
          <ns0:t>What else is needed to understand the whole Dokdo volcano?</ns0:t>
        </ns0:is>
      </ns0:c>
      <ns0:c r="F39" s="8" t="inlineStr">
        <ns0:is>
          <ns0:t>Its underwater portion</ns0:t>
        </ns0:is>
      </ns0:c>
      <ns0:c r="G39" s="8" t="inlineStr">
        <ns0:is>
          <ns0:t>Only the lighthouse roof</ns0:t>
        </ns0:is>
      </ns0:c>
      <ns0:c r="H39" s="8" t="inlineStr">
        <ns0:is>
          <ns0:t>Only Dongdo’s buildings</ns0:t>
        </ns0:is>
      </ns0:c>
      <ns0:c r="I39" s="8" t="n">
        <ns0:v>1</ns0:v>
      </ns0:c>
      <ns0:c r="J39" s="8" t="inlineStr">
        <ns0:is>
          <ns0:t>The islands are exposed parts of a larger underwater volcanic structure. Their terrain continues below the sea.</ns0:t>
        </ns0:is>
      </ns0:c>
      <ns0:c r="K39" s="8" t="inlineStr">
        <ns0:is>
          <ns0:t>The islands are exposed parts of a larger underwater volcanic structure. Their terrain continues below the sea.</ns0:t>
        </ns0:is>
      </ns0:c>
      <ns0:c r="L39" s="8" t="inlineStr">
        <ns0:is>
          <ns0:t>The selected option, “Only the lighthouse roof”, does not fit. The answer is “Its underwater portion”. The islands are exposed parts of a larger underwater volcanic structure. Their terrain continues below the sea.</ns0:t>
        </ns0:is>
      </ns0:c>
      <ns0:c r="M39" s="8" t="inlineStr">
        <ns0:is>
          <ns0:t>The selected option, “Only Dongdo’s buildings”, does not fit. The answer is “Its underwater portion”. The islands are exposed parts of a larger underwater volcanic structure. Their terrain continues below the sea.</ns0:t>
        </ns0:is>
      </ns0:c>
      <ns0:c r="N39" s="8" t="inlineStr"/>
      <ns0:c r="O39" s="8" t="inlineStr">
        <ns0:is>
          <ns0:t>https://www.dokdo.re.kr/home/cms/cmsCont.do?cntnts_sn=66</ns0:t>
        </ns0:is>
      </ns0:c>
      <ns0:c r="P39" s="5">
        <ns0:f>LEN(E39)+MAX(LEN(F39),LEN(G39),LEN(H39))</ns0:f>
        <ns0:v>82</ns0:v>
      </ns0:c>
      <ns0:c r="Q39" s="9" t="inlineStr">
        <ns0:is>
          <ns0:t>출처 기반 자체 검토 / 독립 승인 전</ns0:t>
        </ns0:is>
      </ns0:c>
    </ns0:row>
    <ns0:row r="40" ht="98" customHeight="1">
      <ns0:c r="A40" s="2" t="n">
        <ns0:v>910039</ns0:v>
      </ns0:c>
      <ns0:c r="B40" s="2" t="n">
        <ns0:v>2</ns0:v>
      </ns0:c>
      <ns0:c r="C40" s="2" t="inlineStr">
        <ns0:is>
          <ns0:t>dk-above-below</ns0:t>
        </ns0:is>
      </ns0:c>
      <ns0:c r="D40" s="2" t="n">
        <ns0:v>3</ns0:v>
      </ns0:c>
      <ns0:c r="E40" s="6" t="inlineStr">
        <ns0:is>
          <ns0:t>Why can 168.5 m and about 2,300 m both be used?</ns0:t>
        </ns0:is>
      </ns0:c>
      <ns0:c r="F40" s="6" t="inlineStr">
        <ns0:is>
          <ns0:t>Seodo’s height changes drastically each day</ns0:t>
        </ns0:is>
      </ns0:c>
      <ns0:c r="G40" s="6" t="inlineStr">
        <ns0:is>
          <ns0:t>Both values measure land area</ns0:t>
        </ns0:is>
      </ns0:c>
      <ns0:c r="H40" s="6" t="inlineStr">
        <ns0:is>
          <ns0:t>They use sea level and the submarine base respectively</ns0:t>
        </ns0:is>
      </ns0:c>
      <ns0:c r="I40" s="6" t="n">
        <ns0:v>3</ns0:v>
      </ns0:c>
      <ns0:c r="J40" s="6" t="inlineStr">
        <ns0:is>
          <ns0:t>The islands are exposed parts of a larger underwater volcanic structure. Their terrain continues below the sea.</ns0:t>
        </ns0:is>
      </ns0:c>
      <ns0:c r="K40" s="6" t="inlineStr">
        <ns0:is>
          <ns0:t>The selected option, “Seodo’s height changes drastically each day”, does not fit. The answer is “They use sea level and the submarine base respectively”. The islands are exposed parts of a larger underwater volcanic structure. Their terrain continues below the sea.</ns0:t>
        </ns0:is>
      </ns0:c>
      <ns0:c r="L40" s="6" t="inlineStr">
        <ns0:is>
          <ns0:t>The selected option, “Both values measure land area”, does not fit. The answer is “They use sea level and the submarine base respectively”. The islands are exposed parts of a larger underwater volcanic structure. Their terrain continues below the sea.</ns0:t>
        </ns0:is>
      </ns0:c>
      <ns0:c r="M40" s="6" t="inlineStr">
        <ns0:is>
          <ns0:t>The islands are exposed parts of a larger underwater volcanic structure. Their terrain continues below the sea.</ns0:t>
        </ns0:is>
      </ns0:c>
      <ns0:c r="N40" s="6" t="inlineStr">
        <ns0:is>
          <ns0:t>Above-sea-level maxima: Seodo 168.5 m; Dongdo 98.6 m. The whole volcano rises about 2,300 m from its submarine base. The reference levels differ.</ns0:t>
        </ns0:is>
      </ns0:c>
      <ns0:c r="O40" s="6" t="inlineStr">
        <ns0:is>
          <ns0:t>https://www.dokdo.re.kr/home/cms/cmsCont.do?cntnts_sn=66</ns0:t>
        </ns0:is>
      </ns0:c>
      <ns0:c r="P40" s="3">
        <ns0:f>LEN(E40)+MAX(LEN(F40),LEN(G40),LEN(H40))</ns0:f>
        <ns0:v>101</ns0:v>
      </ns0:c>
      <ns0:c r="Q40" s="7" t="inlineStr">
        <ns0:is>
          <ns0:t>출처 기반 자체 검토 / 독립 승인 전</ns0:t>
        </ns0:is>
      </ns0:c>
    </ns0:row>
    <ns0:row r="41" ht="98" customHeight="1">
      <ns0:c r="A41" s="4" t="n">
        <ns0:v>910040</ns0:v>
      </ns0:c>
      <ns0:c r="B41" s="4" t="n">
        <ns0:v>2</ns0:v>
      </ns0:c>
      <ns0:c r="C41" s="4" t="inlineStr">
        <ns0:is>
          <ns0:t>dk-above-below</ns0:t>
        </ns0:is>
      </ns0:c>
      <ns0:c r="D41" s="4" t="n">
        <ns0:v>4</ns0:v>
      </ns0:c>
      <ns0:c r="E41" s="8" t="inlineStr">
        <ns0:is>
          <ns0:t>How should “Dokdo rises 2,300 m above the sea” be corrected?</ns0:t>
        </ns0:is>
      </ns0:c>
      <ns0:c r="F41" s="8" t="inlineStr">
        <ns0:is>
          <ns0:t>Add 2,300 m to 168.5 m</ns0:t>
        </ns0:is>
      </ns0:c>
      <ns0:c r="G41" s="8" t="inlineStr">
        <ns0:is>
          <ns0:t>Specify that 2,300 m uses the submarine base</ns0:t>
        </ns0:is>
      </ns0:c>
      <ns0:c r="H41" s="8" t="inlineStr">
        <ns0:is>
          <ns0:t>Change Dongdo’s elevation to 2,300 m</ns0:t>
        </ns0:is>
      </ns0:c>
      <ns0:c r="I41" s="8" t="n">
        <ns0:v>2</ns0:v>
      </ns0:c>
      <ns0:c r="J41" s="8" t="inlineStr">
        <ns0:is>
          <ns0:t>The islands are exposed parts of a larger underwater volcanic structure. Their terrain continues below the sea.</ns0:t>
        </ns0:is>
      </ns0:c>
      <ns0:c r="K41" s="8" t="inlineStr">
        <ns0:is>
          <ns0:t>The selected option, “Add 2,300 m to 168.5 m”, does not fit. The answer is “Specify that 2,300 m uses the submarine base”. The islands are exposed parts of a larger underwater volcanic structure. Their terrain continues below the sea.</ns0:t>
        </ns0:is>
      </ns0:c>
      <ns0:c r="L41" s="8" t="inlineStr">
        <ns0:is>
          <ns0:t>The islands are exposed parts of a larger underwater volcanic structure. Their terrain continues below the sea.</ns0:t>
        </ns0:is>
      </ns0:c>
      <ns0:c r="M41" s="8" t="inlineStr">
        <ns0:is>
          <ns0:t>The selected option, “Change Dongdo’s elevation to 2,300 m”, does not fit. The answer is “Specify that 2,300 m uses the submarine base”. The islands are exposed parts of a larger underwater volcanic structure. Their terrain continues below the sea.</ns0:t>
        </ns0:is>
      </ns0:c>
      <ns0:c r="N41" s="8" t="inlineStr">
        <ns0:is>
          <ns0:t>Above-sea-level maxima: Seodo 168.5 m; Dongdo 98.6 m. The whole volcano rises about 2,300 m from its submarine base. The reference levels differ.</ns0:t>
        </ns0:is>
      </ns0:c>
      <ns0:c r="O41" s="8" t="inlineStr">
        <ns0:is>
          <ns0:t>https://www.dokdo.re.kr/home/cms/cmsCont.do?cntnts_sn=66</ns0:t>
        </ns0:is>
      </ns0:c>
      <ns0:c r="P41" s="5">
        <ns0:f>LEN(E41)+MAX(LEN(F41),LEN(G41),LEN(H41))</ns0:f>
        <ns0:v>104</ns0:v>
      </ns0:c>
      <ns0:c r="Q41" s="9" t="inlineStr">
        <ns0:is>
          <ns0:t>출처 기반 자체 검토 / 독립 승인 전</ns0:t>
        </ns0:is>
      </ns0:c>
    </ns0:row>
    <ns0:row r="42" ht="98" customHeight="1">
      <ns0:c r="A42" s="2" t="n">
        <ns0:v>910041</ns0:v>
      </ns0:c>
      <ns0:c r="B42" s="2" t="n">
        <ns0:v>3</ns0:v>
      </ns0:c>
      <ns0:c r="C42" s="2" t="inlineStr">
        <ns0:is>
          <ns0:t>dk-volcano</ns0:t>
        </ns0:is>
      </ns0:c>
      <ns0:c r="D42" s="2" t="n">
        <ns0:v>1</ns0:v>
      </ns0:c>
      <ns0:c r="E42" s="6" t="inlineStr">
        <ns0:is>
          <ns0:t>Which activity is linked to Dokdo’s formation?</ns0:t>
        </ns0:is>
      </ns0:c>
      <ns0:c r="F42" s="6" t="inlineStr">
        <ns0:is>
          <ns0:t>Underwater volcanic activity</ns0:t>
        </ns0:is>
      </ns0:c>
      <ns0:c r="G42" s="6" t="inlineStr">
        <ns0:is>
          <ns0:t>Sand deposition at a river mouth</ns0:t>
        </ns0:is>
      </ns0:c>
      <ns0:c r="H42" s="6" t="inlineStr">
        <ns0:is>
          <ns0:t>Icebergs drifting at sea</ns0:t>
        </ns0:is>
      </ns0:c>
      <ns0:c r="I42" s="6" t="n">
        <ns0:v>1</ns0:v>
      </ns0:c>
      <ns0:c r="J42" s="6" t="inlineStr">
        <ns0:is>
          <ns0:t>Dokdo formed through underwater volcanic activity. Erupted material accumulated and hardened into rock.</ns0:t>
        </ns0:is>
      </ns0:c>
      <ns0:c r="K42" s="6" t="inlineStr">
        <ns0:is>
          <ns0:t>Dokdo formed through underwater volcanic activity. Erupted material accumulated and hardened into rock.</ns0:t>
        </ns0:is>
      </ns0:c>
      <ns0:c r="L42" s="6" t="inlineStr">
        <ns0:is>
          <ns0:t>The selected option, “Sand deposition at a river mouth”, does not fit. The answer is “Underwater volcanic activity”. Dokdo formed through underwater volcanic activity. Erupted material accumulated and hardened into rock.</ns0:t>
        </ns0:is>
      </ns0:c>
      <ns0:c r="M42" s="6" t="inlineStr">
        <ns0:is>
          <ns0:t>The selected option, “Icebergs drifting at sea”, does not fit. The answer is “Underwater volcanic activity”. Dokdo formed through underwater volcanic activity. Erupted material accumulated and hardened into rock.</ns0:t>
        </ns0:is>
      </ns0:c>
      <ns0:c r="N42" s="6" t="inlineStr"/>
      <ns0:c r="O42" s="6" t="inlineStr">
        <ns0:is>
          <ns0:t>https://www.dokdo.re.kr/home/cms/cmsCont.do?cntnts_sn=66</ns0:t>
        </ns0:is>
      </ns0:c>
      <ns0:c r="P42" s="3">
        <ns0:f>LEN(E42)+MAX(LEN(F42),LEN(G42),LEN(H42))</ns0:f>
        <ns0:v>78</ns0:v>
      </ns0:c>
      <ns0:c r="Q42" s="7" t="inlineStr">
        <ns0:is>
          <ns0:t>출처 기반 자체 검토 / 독립 승인 전</ns0:t>
        </ns0:is>
      </ns0:c>
    </ns0:row>
    <ns0:row r="43" ht="98" customHeight="1">
      <ns0:c r="A43" s="4" t="n">
        <ns0:v>910042</ns0:v>
      </ns0:c>
      <ns0:c r="B43" s="4" t="n">
        <ns0:v>3</ns0:v>
      </ns0:c>
      <ns0:c r="C43" s="4" t="inlineStr">
        <ns0:is>
          <ns0:t>dk-volcano</ns0:t>
        </ns0:is>
      </ns0:c>
      <ns0:c r="D43" s="4" t="n">
        <ns0:v>2</ns0:v>
      </ns0:c>
      <ns0:c r="E43" s="8" t="inlineStr">
        <ns0:is>
          <ns0:t>How is erupted material related to Dokdo’s rock?</ns0:t>
        </ns0:is>
      </ns0:c>
      <ns0:c r="F43" s="8" t="inlineStr">
        <ns0:is>
          <ns0:t>It was material produced by the lighthouse</ns0:t>
        </ns0:is>
      </ns0:c>
      <ns0:c r="G43" s="8" t="inlineStr">
        <ns0:is>
          <ns0:t>It is frozen seawater</ns0:t>
        </ns0:is>
      </ns0:c>
      <ns0:c r="H43" s="8" t="inlineStr">
        <ns0:is>
          <ns0:t>It accumulated and hardened into rock</ns0:t>
        </ns0:is>
      </ns0:c>
      <ns0:c r="I43" s="8" t="n">
        <ns0:v>3</ns0:v>
      </ns0:c>
      <ns0:c r="J43" s="8" t="inlineStr">
        <ns0:is>
          <ns0:t>Dokdo formed through underwater volcanic activity. Erupted material accumulated and hardened into rock.</ns0:t>
        </ns0:is>
      </ns0:c>
      <ns0:c r="K43" s="8" t="inlineStr">
        <ns0:is>
          <ns0:t>The selected option, “It was material produced by the lighthouse”, does not fit. The answer is “It accumulated and hardened into rock”. Dokdo formed through underwater volcanic activity. Erupted material accumulated and hardened into rock.</ns0:t>
        </ns0:is>
      </ns0:c>
      <ns0:c r="L43" s="8" t="inlineStr">
        <ns0:is>
          <ns0:t>The selected option, “It is frozen seawater”, does not fit. The answer is “It accumulated and hardened into rock”. Dokdo formed through underwater volcanic activity. Erupted material accumulated and hardened into rock.</ns0:t>
        </ns0:is>
      </ns0:c>
      <ns0:c r="M43" s="8" t="inlineStr">
        <ns0:is>
          <ns0:t>Dokdo formed through underwater volcanic activity. Erupted material accumulated and hardened into rock.</ns0:t>
        </ns0:is>
      </ns0:c>
      <ns0:c r="N43" s="8" t="inlineStr"/>
      <ns0:c r="O43" s="8" t="inlineStr">
        <ns0:is>
          <ns0:t>https://www.dokdo.re.kr/home/cms/cmsCont.do?cntnts_sn=66</ns0:t>
        </ns0:is>
      </ns0:c>
      <ns0:c r="P43" s="5">
        <ns0:f>LEN(E43)+MAX(LEN(F43),LEN(G43),LEN(H43))</ns0:f>
        <ns0:v>90</ns0:v>
      </ns0:c>
      <ns0:c r="Q43" s="9" t="inlineStr">
        <ns0:is>
          <ns0:t>출처 기반 자체 검토 / 독립 승인 전</ns0:t>
        </ns0:is>
      </ns0:c>
    </ns0:row>
    <ns0:row r="44" ht="98" customHeight="1">
      <ns0:c r="A44" s="2" t="n">
        <ns0:v>910043</ns0:v>
      </ns0:c>
      <ns0:c r="B44" s="2" t="n">
        <ns0:v>3</ns0:v>
      </ns0:c>
      <ns0:c r="C44" s="2" t="inlineStr">
        <ns0:is>
          <ns0:t>dk-volcano</ns0:t>
        </ns0:is>
      </ns0:c>
      <ns0:c r="D44" s="2" t="n">
        <ns0:v>3</ns0:v>
      </ns0:c>
      <ns0:c r="E44" s="6" t="inlineStr">
        <ns0:is>
          <ns0:t>What supports describing Dokdo as volcanic?</ns0:t>
        </ns0:is>
      </ns0:c>
      <ns0:c r="F44" s="6" t="inlineStr">
        <ns0:is>
          <ns0:t>The names of current facilities</ns0:t>
        </ns0:is>
      </ns0:c>
      <ns0:c r="G44" s="6" t="inlineStr">
        <ns0:is>
          <ns0:t>Submarine eruption and volcanic rock composition</ns0:t>
        </ns0:is>
      </ns0:c>
      <ns0:c r="H44" s="6" t="inlineStr">
        <ns0:is>
          <ns0:t>The size of vessels at the dock</ns0:t>
        </ns0:is>
      </ns0:c>
      <ns0:c r="I44" s="6" t="n">
        <ns0:v>2</ns0:v>
      </ns0:c>
      <ns0:c r="J44" s="6" t="inlineStr">
        <ns0:is>
          <ns0:t>Dokdo formed through underwater volcanic activity. Erupted material accumulated and hardened into rock.</ns0:t>
        </ns0:is>
      </ns0:c>
      <ns0:c r="K44" s="6" t="inlineStr">
        <ns0:is>
          <ns0:t>The selected option, “The names of current facilities”, does not fit. The answer is “Submarine eruption and volcanic rock composition”. Dokdo formed through underwater volcanic activity. Erupted material accumulated and hardened into rock.</ns0:t>
        </ns0:is>
      </ns0:c>
      <ns0:c r="L44" s="6" t="inlineStr">
        <ns0:is>
          <ns0:t>Dokdo formed through underwater volcanic activity. Erupted material accumulated and hardened into rock.</ns0:t>
        </ns0:is>
      </ns0:c>
      <ns0:c r="M44" s="6" t="inlineStr">
        <ns0:is>
          <ns0:t>The selected option, “The size of vessels at the dock”, does not fit. The answer is “Submarine eruption and volcanic rock composition”. Dokdo formed through underwater volcanic activity. Erupted material accumulated and hardened into rock.</ns0:t>
        </ns0:is>
      </ns0:c>
      <ns0:c r="N44" s="6" t="inlineStr">
        <ns0:is>
          <ns0:t>KIOST describes Dokdo as a volcanic structure formed by submarine eruptions, with rocks including trachyandesite and tuff. Focus on formation rather than memorising rock names.</ns0:t>
        </ns0:is>
      </ns0:c>
      <ns0:c r="O44" s="6" t="inlineStr">
        <ns0:is>
          <ns0:t>https://www.dokdo.re.kr/home/cms/cmsCont.do?cntnts_sn=66</ns0:t>
        </ns0:is>
      </ns0:c>
      <ns0:c r="P44" s="3">
        <ns0:f>LEN(E44)+MAX(LEN(F44),LEN(G44),LEN(H44))</ns0:f>
        <ns0:v>91</ns0:v>
      </ns0:c>
      <ns0:c r="Q44" s="7" t="inlineStr">
        <ns0:is>
          <ns0:t>출처 기반 자체 검토 / 독립 승인 전</ns0:t>
        </ns0:is>
      </ns0:c>
    </ns0:row>
    <ns0:row r="45" ht="98" customHeight="1">
      <ns0:c r="A45" s="4" t="n">
        <ns0:v>910044</ns0:v>
      </ns0:c>
      <ns0:c r="B45" s="4" t="n">
        <ns0:v>3</ns0:v>
      </ns0:c>
      <ns0:c r="C45" s="4" t="inlineStr">
        <ns0:is>
          <ns0:t>dk-volcano</ns0:t>
        </ns0:is>
      </ns0:c>
      <ns0:c r="D45" s="4" t="n">
        <ns0:v>4</ns0:v>
      </ns0:c>
      <ns0:c r="E45" s="8" t="inlineStr">
        <ns0:is>
          <ns0:t>Does memorising rock names alone explain Dokdo’s formation?</ns0:t>
        </ns0:is>
      </ns0:c>
      <ns0:c r="F45" s="8" t="inlineStr">
        <ns0:is>
          <ns0:t>No; relate eruption, deposition and hardening</ns0:t>
        </ns0:is>
      </ns0:c>
      <ns0:c r="G45" s="8" t="inlineStr">
        <ns0:is>
          <ns0:t>Many names automatically prove the sequence</ns0:t>
        </ns0:is>
      </ns0:c>
      <ns0:c r="H45" s="8" t="inlineStr">
        <ns0:is>
          <ns0:t>Facility construction gives the volcanic sequence</ns0:t>
        </ns0:is>
      </ns0:c>
      <ns0:c r="I45" s="8" t="n">
        <ns0:v>1</ns0:v>
      </ns0:c>
      <ns0:c r="J45" s="8" t="inlineStr">
        <ns0:is>
          <ns0:t>Dokdo formed through underwater volcanic activity. Erupted material accumulated and hardened into rock.</ns0:t>
        </ns0:is>
      </ns0:c>
      <ns0:c r="K45" s="8" t="inlineStr">
        <ns0:is>
          <ns0:t>Dokdo formed through underwater volcanic activity. Erupted material accumulated and hardened into rock.</ns0:t>
        </ns0:is>
      </ns0:c>
      <ns0:c r="L45" s="8" t="inlineStr">
        <ns0:is>
          <ns0:t>The selected option, “Many names automatically prove the sequence”, does not fit. The answer is “No; relate eruption, deposition and hardening”. Dokdo formed through underwater volcanic activity. Erupted material accumulated and hardened into rock.</ns0:t>
        </ns0:is>
      </ns0:c>
      <ns0:c r="M45" s="8" t="inlineStr">
        <ns0:is>
          <ns0:t>The selected option, “Facility construction gives the volcanic sequence”, does not fit. The answer is “No; relate eruption, deposition and hardening”. Dokdo formed through underwater volcanic activity. Erupted material accumulated and hardened into rock.</ns0:t>
        </ns0:is>
      </ns0:c>
      <ns0:c r="N45" s="8" t="inlineStr">
        <ns0:is>
          <ns0:t>KIOST describes Dokdo as a volcanic structure formed by submarine eruptions, with rocks including trachyandesite and tuff. Focus on formation rather than memorising rock names.</ns0:t>
        </ns0:is>
      </ns0:c>
      <ns0:c r="O45" s="8" t="inlineStr">
        <ns0:is>
          <ns0:t>https://www.dokdo.re.kr/home/cms/cmsCont.do?cntnts_sn=66</ns0:t>
        </ns0:is>
      </ns0:c>
      <ns0:c r="P45" s="5">
        <ns0:f>LEN(E45)+MAX(LEN(F45),LEN(G45),LEN(H45))</ns0:f>
        <ns0:v>108</ns0:v>
      </ns0:c>
      <ns0:c r="Q45" s="9" t="inlineStr">
        <ns0:is>
          <ns0:t>출처 기반 자체 검토 / 독립 승인 전</ns0:t>
        </ns0:is>
      </ns0:c>
    </ns0:row>
    <ns0:row r="46" ht="98" customHeight="1">
      <ns0:c r="A46" s="2" t="n">
        <ns0:v>910045</ns0:v>
      </ns0:c>
      <ns0:c r="B46" s="2" t="n">
        <ns0:v>3</ns0:v>
      </ns0:c>
      <ns0:c r="C46" s="2" t="inlineStr">
        <ns0:is>
          <ns0:t>dk-formation-time</ns0:t>
        </ns0:is>
      </ns0:c>
      <ns0:c r="D46" s="2" t="n">
        <ns0:v>1</ns0:v>
      </ns0:c>
      <ns0:c r="E46" s="6" t="inlineStr">
        <ns0:is>
          <ns0:t>How did Dokdo form?</ns0:t>
        </ns0:is>
      </ns0:c>
      <ns0:c r="F46" s="6" t="inlineStr">
        <ns0:is>
          <ns0:t>On the day the lighthouse was built</ns0:t>
        </ns0:is>
      </ns0:c>
      <ns0:c r="G46" s="6" t="inlineStr">
        <ns0:is>
          <ns0:t>At the moment the first boat arrived</ns0:t>
        </ns0:is>
      </ns0:c>
      <ns0:c r="H46" s="6" t="inlineStr">
        <ns0:is>
          <ns0:t>Over a long period</ns0:t>
        </ns0:is>
      </ns0:c>
      <ns0:c r="I46" s="6" t="n">
        <ns0:v>3</ns0:v>
      </ns0:c>
      <ns0:c r="J46" s="6" t="inlineStr">
        <ns0:is>
          <ns0:t>Dokdo formed and changed over a long period, growing underwater before emerging above the surface.</ns0:t>
        </ns0:is>
      </ns0:c>
      <ns0:c r="K46" s="6" t="inlineStr">
        <ns0:is>
          <ns0:t>The selected option, “On the day the lighthouse was built”, does not fit. The answer is “Over a long period”. Dokdo formed and changed over a long period, growing underwater before emerging above the surface.</ns0:t>
        </ns0:is>
      </ns0:c>
      <ns0:c r="L46" s="6" t="inlineStr">
        <ns0:is>
          <ns0:t>The selected option, “At the moment the first boat arrived”, does not fit. The answer is “Over a long period”. Dokdo formed and changed over a long period, growing underwater before emerging above the surface.</ns0:t>
        </ns0:is>
      </ns0:c>
      <ns0:c r="M46" s="6" t="inlineStr">
        <ns0:is>
          <ns0:t>Dokdo formed and changed over a long period, growing underwater before emerging above the surface.</ns0:t>
        </ns0:is>
      </ns0:c>
      <ns0:c r="N46" s="6" t="inlineStr"/>
      <ns0:c r="O46" s="6" t="inlineStr">
        <ns0:is>
          <ns0:t>https://www.dokdo.re.kr/home/cms/cmsCont.do?cntnts_sn=66</ns0:t>
        </ns0:is>
      </ns0:c>
      <ns0:c r="P46" s="3">
        <ns0:f>LEN(E46)+MAX(LEN(F46),LEN(G46),LEN(H46))</ns0:f>
        <ns0:v>55</ns0:v>
      </ns0:c>
      <ns0:c r="Q46" s="7" t="inlineStr">
        <ns0:is>
          <ns0:t>출처 기반 자체 검토 / 독립 승인 전</ns0:t>
        </ns0:is>
      </ns0:c>
    </ns0:row>
    <ns0:row r="47" ht="98" customHeight="1">
      <ns0:c r="A47" s="4" t="n">
        <ns0:v>910046</ns0:v>
      </ns0:c>
      <ns0:c r="B47" s="4" t="n">
        <ns0:v>3</ns0:v>
      </ns0:c>
      <ns0:c r="C47" s="4" t="inlineStr">
        <ns0:is>
          <ns0:t>dk-formation-time</ns0:t>
        </ns0:is>
      </ns0:c>
      <ns0:c r="D47" s="4" t="n">
        <ns0:v>2</ns0:v>
      </ns0:c>
      <ns0:c r="E47" s="8" t="inlineStr">
        <ns0:is>
          <ns0:t>Which sequence fits Dokdo’s formation?</ns0:t>
        </ns0:is>
      </ns0:c>
      <ns0:c r="F47" s="8" t="inlineStr">
        <ns0:is>
          <ns0:t>Dock construction → first rock formation</ns0:t>
        </ns0:is>
      </ns0:c>
      <ns0:c r="G47" s="8" t="inlineStr">
        <ns0:is>
          <ns0:t>Underwater growth → emergence</ns0:t>
        </ns0:is>
      </ns0:c>
      <ns0:c r="H47" s="8" t="inlineStr">
        <ns0:is>
          <ns0:t>Lighthouse construction → volcanism</ns0:t>
        </ns0:is>
      </ns0:c>
      <ns0:c r="I47" s="8" t="n">
        <ns0:v>2</ns0:v>
      </ns0:c>
      <ns0:c r="J47" s="8" t="inlineStr">
        <ns0:is>
          <ns0:t>Dokdo formed and changed over a long period, growing underwater before emerging above the surface.</ns0:t>
        </ns0:is>
      </ns0:c>
      <ns0:c r="K47" s="8" t="inlineStr">
        <ns0:is>
          <ns0:t>The selected option, “Dock construction → first rock formation”, does not fit. The answer is “Underwater growth → emergence”. Dokdo formed and changed over a long period, growing underwater before emerging above the surface.</ns0:t>
        </ns0:is>
      </ns0:c>
      <ns0:c r="L47" s="8" t="inlineStr">
        <ns0:is>
          <ns0:t>Dokdo formed and changed over a long period, growing underwater before emerging above the surface.</ns0:t>
        </ns0:is>
      </ns0:c>
      <ns0:c r="M47" s="8" t="inlineStr">
        <ns0:is>
          <ns0:t>The selected option, “Lighthouse construction → volcanism”, does not fit. The answer is “Underwater growth → emergence”. Dokdo formed and changed over a long period, growing underwater before emerging above the surface.</ns0:t>
        </ns0:is>
      </ns0:c>
      <ns0:c r="N47" s="8" t="inlineStr"/>
      <ns0:c r="O47" s="8" t="inlineStr">
        <ns0:is>
          <ns0:t>https://www.dokdo.re.kr/home/cms/cmsCont.do?cntnts_sn=66</ns0:t>
        </ns0:is>
      </ns0:c>
      <ns0:c r="P47" s="5">
        <ns0:f>LEN(E47)+MAX(LEN(F47),LEN(G47),LEN(H47))</ns0:f>
        <ns0:v>78</ns0:v>
      </ns0:c>
      <ns0:c r="Q47" s="9" t="inlineStr">
        <ns0:is>
          <ns0:t>출처 기반 자체 검토 / 독립 승인 전</ns0:t>
        </ns0:is>
      </ns0:c>
    </ns0:row>
    <ns0:row r="48" ht="98" customHeight="1">
      <ns0:c r="A48" s="2" t="n">
        <ns0:v>910047</ns0:v>
      </ns0:c>
      <ns0:c r="B48" s="2" t="n">
        <ns0:v>3</ns0:v>
      </ns0:c>
      <ns0:c r="C48" s="2" t="inlineStr">
        <ns0:is>
          <ns0:t>dk-formation-time</ns0:t>
        </ns0:is>
      </ns0:c>
      <ns0:c r="D48" s="2" t="n">
        <ns0:v>3</ns0:v>
      </ns0:c>
      <ns0:c r="E48" s="6" t="inlineStr">
        <ns0:is>
          <ns0:t>Which event came first in the supplied chronology?</ns0:t>
        </ns0:is>
      </ns0:c>
      <ns0:c r="F48" s="6" t="inlineStr">
        <ns0:is>
          <ns0:t>The start of submarine volcanism</ns0:t>
        </ns0:is>
      </ns0:c>
      <ns0:c r="G48" s="6" t="inlineStr">
        <ns0:is>
          <ns0:t>Emergence above the sea</ns0:t>
        </ns0:is>
      </ns0:c>
      <ns0:c r="H48" s="6" t="inlineStr">
        <ns0:is>
          <ns0:t>Installation of today’s lighthouse</ns0:t>
        </ns0:is>
      </ns0:c>
      <ns0:c r="I48" s="6" t="n">
        <ns0:v>1</ns0:v>
      </ns0:c>
      <ns0:c r="J48" s="6" t="inlineStr">
        <ns0:is>
          <ns0:t>Dokdo formed and changed over a long period, growing underwater before emerging above the surface.</ns0:t>
        </ns0:is>
      </ns0:c>
      <ns0:c r="K48" s="6" t="inlineStr">
        <ns0:is>
          <ns0:t>Dokdo formed and changed over a long period, growing underwater before emerging above the surface.</ns0:t>
        </ns0:is>
      </ns0:c>
      <ns0:c r="L48" s="6" t="inlineStr">
        <ns0:is>
          <ns0:t>The selected option, “Emergence above the sea”, does not fit. The answer is “The start of submarine volcanism”. Dokdo formed and changed over a long period, growing underwater before emerging above the surface.</ns0:t>
        </ns0:is>
      </ns0:c>
      <ns0:c r="M48" s="6" t="inlineStr">
        <ns0:is>
          <ns0:t>The selected option, “Installation of today’s lighthouse”, does not fit. The answer is “The start of submarine volcanism”. Dokdo formed and changed over a long period, growing underwater before emerging above the surface.</ns0:t>
        </ns0:is>
      </ns0:c>
      <ns0:c r="N48" s="6" t="inlineStr">
        <ns0:is>
          <ns0:t>Approximate chronology: underwater volcanic activity from about 4.6 million years ago, emergence from around 2.5 million years ago, followed by predominantly erosional change. Read the sequence rather than memorising dates.</ns0:t>
        </ns0:is>
      </ns0:c>
      <ns0:c r="O48" s="6" t="inlineStr">
        <ns0:is>
          <ns0:t>https://www.dokdo.re.kr/home/cms/cmsCont.do?cntnts_sn=66</ns0:t>
        </ns0:is>
      </ns0:c>
      <ns0:c r="P48" s="3">
        <ns0:f>LEN(E48)+MAX(LEN(F48),LEN(G48),LEN(H48))</ns0:f>
        <ns0:v>84</ns0:v>
      </ns0:c>
      <ns0:c r="Q48" s="7" t="inlineStr">
        <ns0:is>
          <ns0:t>출처 기반 자체 검토 / 독립 승인 전</ns0:t>
        </ns0:is>
      </ns0:c>
    </ns0:row>
    <ns0:row r="49" ht="98" customHeight="1">
      <ns0:c r="A49" s="4" t="n">
        <ns0:v>910048</ns0:v>
      </ns0:c>
      <ns0:c r="B49" s="4" t="n">
        <ns0:v>3</ns0:v>
      </ns0:c>
      <ns0:c r="C49" s="4" t="inlineStr">
        <ns0:is>
          <ns0:t>dk-formation-time</ns0:t>
        </ns0:is>
      </ns0:c>
      <ns0:c r="D49" s="4" t="n">
        <ns0:v>4</ns0:v>
      </ns0:c>
      <ns0:c r="E49" s="8" t="inlineStr">
        <ns0:is>
          <ns0:t>Evaluate “Dokdo was completed in its current form 4.6 million years ago.”</ns0:t>
        </ns0:is>
      </ns0:c>
      <ns0:c r="F49" s="8" t="inlineStr">
        <ns0:is>
          <ns0:t>The starting form must equal the present form</ns0:t>
        </ns0:is>
      </ns0:c>
      <ns0:c r="G49" s="8" t="inlineStr">
        <ns0:is>
          <ns0:t>No volcanic structure existed before emergence</ns0:t>
        </ns0:is>
      </ns0:c>
      <ns0:c r="H49" s="8" t="inlineStr">
        <ns0:is>
          <ns0:t>It omits later erosion and change</ns0:t>
        </ns0:is>
      </ns0:c>
      <ns0:c r="I49" s="8" t="n">
        <ns0:v>3</ns0:v>
      </ns0:c>
      <ns0:c r="J49" s="8" t="inlineStr">
        <ns0:is>
          <ns0:t>Dokdo formed and changed over a long period, growing underwater before emerging above the surface.</ns0:t>
        </ns0:is>
      </ns0:c>
      <ns0:c r="K49" s="8" t="inlineStr">
        <ns0:is>
          <ns0:t>The selected option, “The starting form must equal the present form”, does not fit. The answer is “It omits later erosion and change”. Dokdo formed and changed over a long period, growing underwater before emerging above the surface.</ns0:t>
        </ns0:is>
      </ns0:c>
      <ns0:c r="L49" s="8" t="inlineStr">
        <ns0:is>
          <ns0:t>The selected option, “No volcanic structure existed before emergence”, does not fit. The answer is “It omits later erosion and change”. Dokdo formed and changed over a long period, growing underwater before emerging above the surface.</ns0:t>
        </ns0:is>
      </ns0:c>
      <ns0:c r="M49" s="8" t="inlineStr">
        <ns0:is>
          <ns0:t>Dokdo formed and changed over a long period, growing underwater before emerging above the surface.</ns0:t>
        </ns0:is>
      </ns0:c>
      <ns0:c r="N49" s="8" t="inlineStr">
        <ns0:is>
          <ns0:t>Approximate chronology: underwater volcanic activity from about 4.6 million years ago, emergence from around 2.5 million years ago, followed by predominantly erosional change. Read the sequence rather than memorising dates.</ns0:t>
        </ns0:is>
      </ns0:c>
      <ns0:c r="O49" s="8" t="inlineStr">
        <ns0:is>
          <ns0:t>https://www.dokdo.re.kr/home/cms/cmsCont.do?cntnts_sn=66</ns0:t>
        </ns0:is>
      </ns0:c>
      <ns0:c r="P49" s="5">
        <ns0:f>LEN(E49)+MAX(LEN(F49),LEN(G49),LEN(H49))</ns0:f>
        <ns0:v>119</ns0:v>
      </ns0:c>
      <ns0:c r="Q49" s="9" t="inlineStr">
        <ns0:is>
          <ns0:t>출처 기반 자체 검토 / 독립 승인 전</ns0:t>
        </ns0:is>
      </ns0:c>
    </ns0:row>
    <ns0:row r="50" ht="98" customHeight="1">
      <ns0:c r="A50" s="2" t="n">
        <ns0:v>910049</ns0:v>
      </ns0:c>
      <ns0:c r="B50" s="2" t="n">
        <ns0:v>3</ns0:v>
      </ns0:c>
      <ns0:c r="C50" s="2" t="inlineStr">
        <ns0:is>
          <ns0:t>dk-wave-erosion</ns0:t>
        </ns0:is>
      </ns0:c>
      <ns0:c r="D50" s="2" t="n">
        <ns0:v>1</ns0:v>
      </ns0:c>
      <ns0:c r="E50" s="6" t="inlineStr">
        <ns0:is>
          <ns0:t>What erodes rock along Dokdo’s coast?</ns0:t>
        </ns0:is>
      </ns0:c>
      <ns0:c r="F50" s="6" t="inlineStr">
        <ns0:is>
          <ns0:t>Helipad markings</ns0:t>
        </ns0:is>
      </ns0:c>
      <ns0:c r="G50" s="6" t="inlineStr">
        <ns0:is>
          <ns0:t>Waves</ns0:t>
        </ns0:is>
      </ns0:c>
      <ns0:c r="H50" s="6" t="inlineStr">
        <ns0:is>
          <ns0:t>Lighthouse light</ns0:t>
        </ns0:is>
      </ns0:c>
      <ns0:c r="I50" s="6" t="n">
        <ns0:v>2</ns0:v>
      </ns0:c>
      <ns0:c r="J50" s="6" t="inlineStr">
        <ns0:is>
          <ns0:t>Waves erode Dokdo’s coastal rock and help form cliffs, caves and rock arches.</ns0:t>
        </ns0:is>
      </ns0:c>
      <ns0:c r="K50" s="6" t="inlineStr">
        <ns0:is>
          <ns0:t>The selected option, “Helipad markings”, does not fit. The answer is “Waves”. Waves erode Dokdo’s coastal rock and help form cliffs, caves and rock arches.</ns0:t>
        </ns0:is>
      </ns0:c>
      <ns0:c r="L50" s="6" t="inlineStr">
        <ns0:is>
          <ns0:t>Waves erode Dokdo’s coastal rock and help form cliffs, caves and rock arches.</ns0:t>
        </ns0:is>
      </ns0:c>
      <ns0:c r="M50" s="6" t="inlineStr">
        <ns0:is>
          <ns0:t>The selected option, “Lighthouse light”, does not fit. The answer is “Waves”. Waves erode Dokdo’s coastal rock and help form cliffs, caves and rock arches.</ns0:t>
        </ns0:is>
      </ns0:c>
      <ns0:c r="N50" s="6" t="inlineStr"/>
      <ns0:c r="O50" s="6" t="inlineStr">
        <ns0:is>
          <ns0:t>https://www.dokdo.re.kr/home/cms/cmsCont.do?cntnts_sn=66
https://korean.visitkorea.or.kr/detail/ms_detail.do?cotid=0fe4eeb6-3f6a-48b1-ab75-c8d4ab6b43be</ns0:t>
        </ns0:is>
      </ns0:c>
      <ns0:c r="P50" s="3">
        <ns0:f>LEN(E50)+MAX(LEN(F50),LEN(G50),LEN(H50))</ns0:f>
        <ns0:v>53</ns0:v>
      </ns0:c>
      <ns0:c r="Q50" s="7" t="inlineStr">
        <ns0:is>
          <ns0:t>출처 기반 자체 검토 / 독립 승인 전</ns0:t>
        </ns0:is>
      </ns0:c>
    </ns0:row>
    <ns0:row r="51" ht="98" customHeight="1">
      <ns0:c r="A51" s="4" t="n">
        <ns0:v>910050</ns0:v>
      </ns0:c>
      <ns0:c r="B51" s="4" t="n">
        <ns0:v>3</ns0:v>
      </ns0:c>
      <ns0:c r="C51" s="4" t="inlineStr">
        <ns0:is>
          <ns0:t>dk-wave-erosion</ns0:t>
        </ns0:is>
      </ns0:c>
      <ns0:c r="D51" s="4" t="n">
        <ns0:v>2</ns0:v>
      </ns0:c>
      <ns0:c r="E51" s="8" t="inlineStr">
        <ns0:is>
          <ns0:t>Which process is linked to sea caves?</ns0:t>
        </ns0:is>
      </ns0:c>
      <ns0:c r="F51" s="8" t="inlineStr">
        <ns0:is>
          <ns0:t>Waves eroding rock</ns0:t>
        </ns0:is>
      </ns0:c>
      <ns0:c r="G51" s="8" t="inlineStr">
        <ns0:is>
          <ns0:t>Seawater freezing into piles</ns0:t>
        </ns0:is>
      </ns0:c>
      <ns0:c r="H51" s="8" t="inlineStr">
        <ns0:is>
          <ns0:t>Lighthouse beams accumulating</ns0:t>
        </ns0:is>
      </ns0:c>
      <ns0:c r="I51" s="8" t="n">
        <ns0:v>1</ns0:v>
      </ns0:c>
      <ns0:c r="J51" s="8" t="inlineStr">
        <ns0:is>
          <ns0:t>Waves erode Dokdo’s coastal rock and help form cliffs, caves and rock arches.</ns0:t>
        </ns0:is>
      </ns0:c>
      <ns0:c r="K51" s="8" t="inlineStr">
        <ns0:is>
          <ns0:t>Waves erode Dokdo’s coastal rock and help form cliffs, caves and rock arches.</ns0:t>
        </ns0:is>
      </ns0:c>
      <ns0:c r="L51" s="8" t="inlineStr">
        <ns0:is>
          <ns0:t>The selected option, “Seawater freezing into piles”, does not fit. The answer is “Waves eroding rock”. Waves erode Dokdo’s coastal rock and help form cliffs, caves and rock arches.</ns0:t>
        </ns0:is>
      </ns0:c>
      <ns0:c r="M51" s="8" t="inlineStr">
        <ns0:is>
          <ns0:t>The selected option, “Lighthouse beams accumulating”, does not fit. The answer is “Waves eroding rock”. Waves erode Dokdo’s coastal rock and help form cliffs, caves and rock arches.</ns0:t>
        </ns0:is>
      </ns0:c>
      <ns0:c r="N51" s="8" t="inlineStr"/>
      <ns0:c r="O51" s="8" t="inlineStr">
        <ns0:is>
          <ns0:t>https://www.dokdo.re.kr/home/cms/cmsCont.do?cntnts_sn=66
https://korean.visitkorea.or.kr/detail/ms_detail.do?cotid=0fe4eeb6-3f6a-48b1-ab75-c8d4ab6b43be</ns0:t>
        </ns0:is>
      </ns0:c>
      <ns0:c r="P51" s="5">
        <ns0:f>LEN(E51)+MAX(LEN(F51),LEN(G51),LEN(H51))</ns0:f>
        <ns0:v>66</ns0:v>
      </ns0:c>
      <ns0:c r="Q51" s="9" t="inlineStr">
        <ns0:is>
          <ns0:t>출처 기반 자체 검토 / 독립 승인 전</ns0:t>
        </ns0:is>
      </ns0:c>
    </ns0:row>
    <ns0:row r="52" ht="98" customHeight="1">
      <ns0:c r="A52" s="2" t="n">
        <ns0:v>910051</ns0:v>
      </ns0:c>
      <ns0:c r="B52" s="2" t="n">
        <ns0:v>3</ns0:v>
      </ns0:c>
      <ns0:c r="C52" s="2" t="inlineStr">
        <ns0:is>
          <ns0:t>dk-wave-erosion</ns0:t>
        </ns0:is>
      </ns0:c>
      <ns0:c r="D52" s="2" t="n">
        <ns0:v>3</ns0:v>
      </ns0:c>
      <ns0:c r="E52" s="6" t="inlineStr">
        <ns0:is>
          <ns0:t>Which term describes a wave-eroded cliff?</ns0:t>
        </ns0:is>
      </ns0:c>
      <ns0:c r="F52" s="6" t="inlineStr">
        <ns0:is>
          <ns0:t>Sea cave</ns0:t>
        </ns0:is>
      </ns0:c>
      <ns0:c r="G52" s="6" t="inlineStr">
        <ns0:is>
          <ns0:t>Sea arch</ns0:t>
        </ns0:is>
      </ns0:c>
      <ns0:c r="H52" s="6" t="inlineStr">
        <ns0:is>
          <ns0:t>Sea cliff</ns0:t>
        </ns0:is>
      </ns0:c>
      <ns0:c r="I52" s="6" t="n">
        <ns0:v>3</ns0:v>
      </ns0:c>
      <ns0:c r="J52" s="6" t="inlineStr">
        <ns0:is>
          <ns0:t>Waves erode Dokdo’s coastal rock and help form cliffs, caves and rock arches. All three concern coastal landforms, but their structures differ.</ns0:t>
        </ns0:is>
      </ns0:c>
      <ns0:c r="K52" s="6" t="inlineStr">
        <ns0:is>
          <ns0:t>The selected option, “Sea cave”, does not fit. The answer is “Sea cliff”. Waves erode Dokdo’s coastal rock and help form cliffs, caves and rock arches. All three concern coastal landforms, but their structures differ.</ns0:t>
        </ns0:is>
      </ns0:c>
      <ns0:c r="L52" s="6" t="inlineStr">
        <ns0:is>
          <ns0:t>The selected option, “Sea arch”, does not fit. The answer is “Sea cliff”. Waves erode Dokdo’s coastal rock and help form cliffs, caves and rock arches. All three concern coastal landforms, but their structures differ.</ns0:t>
        </ns0:is>
      </ns0:c>
      <ns0:c r="M52" s="6" t="inlineStr">
        <ns0:is>
          <ns0:t>Waves erode Dokdo’s coastal rock and help form cliffs, caves and rock arches. All three concern coastal landforms, but their structures differ.</ns0:t>
        </ns0:is>
      </ns0:c>
      <ns0:c r="N52" s="6" t="inlineStr">
        <ns0:is>
          <ns0:t>A sea cliff, sea cave and sea arch are different coastal erosion features found on Dokdo.</ns0:t>
        </ns0:is>
      </ns0:c>
      <ns0:c r="O52" s="6" t="inlineStr">
        <ns0:is>
          <ns0:t>https://www.dokdo.re.kr/home/cms/cmsCont.do?cntnts_sn=66
https://korean.visitkorea.or.kr/detail/ms_detail.do?cotid=0fe4eeb6-3f6a-48b1-ab75-c8d4ab6b43be</ns0:t>
        </ns0:is>
      </ns0:c>
      <ns0:c r="P52" s="3">
        <ns0:f>LEN(E52)+MAX(LEN(F52),LEN(G52),LEN(H52))</ns0:f>
        <ns0:v>50</ns0:v>
      </ns0:c>
      <ns0:c r="Q52" s="7" t="inlineStr">
        <ns0:is>
          <ns0:t>출처 기반 자체 검토 / 독립 승인 전</ns0:t>
        </ns0:is>
      </ns0:c>
    </ns0:row>
    <ns0:row r="53" ht="98" customHeight="1">
      <ns0:c r="A53" s="4" t="n">
        <ns0:v>910052</ns0:v>
      </ns0:c>
      <ns0:c r="B53" s="4" t="n">
        <ns0:v>3</ns0:v>
      </ns0:c>
      <ns0:c r="C53" s="4" t="inlineStr">
        <ns0:is>
          <ns0:t>dk-wave-erosion</ns0:t>
        </ns0:is>
      </ns0:c>
      <ns0:c r="D53" s="4" t="n">
        <ns0:v>4</ns0:v>
      </ns0:c>
      <ns0:c r="E53" s="8" t="inlineStr">
        <ns0:is>
          <ns0:t>What is wrong with interpreting a rock arch as a built gate?</ns0:t>
        </ns0:is>
      </ns0:c>
      <ns0:c r="F53" s="8" t="inlineStr">
        <ns0:is>
          <ns0:t>Erosion does not occur at coasts</ns0:t>
        </ns0:is>
      </ns0:c>
      <ns0:c r="G53" s="8" t="inlineStr">
        <ns0:is>
          <ns0:t>It confuses resemblance with formation</ns0:t>
        </ns0:is>
      </ns0:c>
      <ns0:c r="H53" s="8" t="inlineStr">
        <ns0:is>
          <ns0:t>Anything gate-shaped is a building</ns0:t>
        </ns0:is>
      </ns0:c>
      <ns0:c r="I53" s="8" t="n">
        <ns0:v>2</ns0:v>
      </ns0:c>
      <ns0:c r="J53" s="8" t="inlineStr">
        <ns0:is>
          <ns0:t>Waves erode Dokdo’s coastal rock and help form cliffs, caves and rock arches.</ns0:t>
        </ns0:is>
      </ns0:c>
      <ns0:c r="K53" s="8" t="inlineStr">
        <ns0:is>
          <ns0:t>The selected option, “Erosion does not occur at coasts”, does not fit. The answer is “It confuses resemblance with formation”. Waves erode Dokdo’s coastal rock and help form cliffs, caves and rock arches.</ns0:t>
        </ns0:is>
      </ns0:c>
      <ns0:c r="L53" s="8" t="inlineStr">
        <ns0:is>
          <ns0:t>Waves erode Dokdo’s coastal rock and help form cliffs, caves and rock arches.</ns0:t>
        </ns0:is>
      </ns0:c>
      <ns0:c r="M53" s="8" t="inlineStr">
        <ns0:is>
          <ns0:t>The selected option, “Anything gate-shaped is a building”, does not fit. The answer is “It confuses resemblance with formation”. Waves erode Dokdo’s coastal rock and help form cliffs, caves and rock arches.</ns0:t>
        </ns0:is>
      </ns0:c>
      <ns0:c r="N53" s="8" t="inlineStr">
        <ns0:is>
          <ns0:t>A sea cliff, sea cave and sea arch are different coastal erosion features found on Dokdo.</ns0:t>
        </ns0:is>
      </ns0:c>
      <ns0:c r="O53" s="8" t="inlineStr">
        <ns0:is>
          <ns0:t>https://www.dokdo.re.kr/home/cms/cmsCont.do?cntnts_sn=66
https://korean.visitkorea.or.kr/detail/ms_detail.do?cotid=0fe4eeb6-3f6a-48b1-ab75-c8d4ab6b43be</ns0:t>
        </ns0:is>
      </ns0:c>
      <ns0:c r="P53" s="5">
        <ns0:f>LEN(E53)+MAX(LEN(F53),LEN(G53),LEN(H53))</ns0:f>
        <ns0:v>98</ns0:v>
      </ns0:c>
      <ns0:c r="Q53" s="9" t="inlineStr">
        <ns0:is>
          <ns0:t>출처 기반 자체 검토 / 독립 승인 전</ns0:t>
        </ns0:is>
      </ns0:c>
    </ns0:row>
    <ns0:row r="54" ht="98" customHeight="1">
      <ns0:c r="A54" s="2" t="n">
        <ns0:v>910053</ns0:v>
      </ns0:c>
      <ns0:c r="B54" s="2" t="n">
        <ns0:v>3</ns0:v>
      </ns0:c>
      <ns0:c r="C54" s="2" t="inlineStr">
        <ns0:is>
          <ns0:t>dk-weathering</ns0:t>
        </ns0:is>
      </ns0:c>
      <ns0:c r="D54" s="2" t="n">
        <ns0:v>1</ns0:v>
      </ns0:c>
      <ns0:c r="E54" s="6" t="inlineStr">
        <ns0:is>
          <ns0:t>What can happen to Dokdo’s rocks over time?</ns0:t>
        </ns0:is>
      </ns0:c>
      <ns0:c r="F54" s="6" t="inlineStr">
        <ns0:is>
          <ns0:t>They can change gradually</ns0:t>
        </ns0:is>
      </ns0:c>
      <ns0:c r="G54" s="6" t="inlineStr">
        <ns0:is>
          <ns0:t>No part can ever change</ns0:t>
        </ns0:is>
      </ns0:c>
      <ns0:c r="H54" s="6" t="inlineStr">
        <ns0:is>
          <ns0:t>Their form is determined only by lighthouse colour</ns0:t>
        </ns0:is>
      </ns0:c>
      <ns0:c r="I54" s="6" t="n">
        <ns0:v>1</ns0:v>
      </ns0:c>
      <ns0:c r="J54" s="6" t="inlineStr">
        <ns0:is>
          <ns0:t>Dokdo’s rocks weather and erode under exposure to wind and waves, making continued monitoring valuable.</ns0:t>
        </ns0:is>
      </ns0:c>
      <ns0:c r="K54" s="6" t="inlineStr">
        <ns0:is>
          <ns0:t>Dokdo’s rocks weather and erode under exposure to wind and waves, making continued monitoring valuable.</ns0:t>
        </ns0:is>
      </ns0:c>
      <ns0:c r="L54" s="6" t="inlineStr">
        <ns0:is>
          <ns0:t>The selected option, “No part can ever change”, does not fit. The answer is “They can change gradually”. Dokdo’s rocks weather and erode under exposure to wind and waves, making continued monitoring valuable.</ns0:t>
        </ns0:is>
      </ns0:c>
      <ns0:c r="M54" s="6" t="inlineStr">
        <ns0:is>
          <ns0:t>The selected option, “Their form is determined only by lighthouse colour”, does not fit. The answer is “They can change gradually”. Dokdo’s rocks weather and erode under exposure to wind and waves, making continued monitoring valuable.</ns0:t>
        </ns0:is>
      </ns0:c>
      <ns0:c r="N54" s="6" t="inlineStr"/>
      <ns0:c r="O54" s="6" t="inlineStr">
        <ns0:is>
          <ns0:t>https://www.dokdo.re.kr/home/cms/cmsCont.do?cntnts_sn=66</ns0:t>
        </ns0:is>
      </ns0:c>
      <ns0:c r="P54" s="3">
        <ns0:f>LEN(E54)+MAX(LEN(F54),LEN(G54),LEN(H54))</ns0:f>
        <ns0:v>93</ns0:v>
      </ns0:c>
      <ns0:c r="Q54" s="7" t="inlineStr">
        <ns0:is>
          <ns0:t>출처 기반 자체 검토 / 독립 승인 전</ns0:t>
        </ns0:is>
      </ns0:c>
    </ns0:row>
    <ns0:row r="55" ht="98" customHeight="1">
      <ns0:c r="A55" s="4" t="n">
        <ns0:v>910054</ns0:v>
      </ns0:c>
      <ns0:c r="B55" s="4" t="n">
        <ns0:v>3</ns0:v>
      </ns0:c>
      <ns0:c r="C55" s="4" t="inlineStr">
        <ns0:is>
          <ns0:t>dk-weathering</ns0:t>
        </ns0:is>
      </ns0:c>
      <ns0:c r="D55" s="4" t="n">
        <ns0:v>2</ns0:v>
      </ns0:c>
      <ns0:c r="E55" s="8" t="inlineStr">
        <ns0:is>
          <ns0:t>Why survey Dokdo over several years?</ns0:t>
        </ns0:is>
      </ns0:c>
      <ns0:c r="F55" s="8" t="inlineStr">
        <ns0:is>
          <ns0:t>To rename the islands yearly</ns0:t>
        </ns0:is>
      </ns0:c>
      <ns0:c r="G55" s="8" t="inlineStr">
        <ns0:is>
          <ns0:t>To force the rock count to increase</ns0:t>
        </ns0:is>
      </ns0:c>
      <ns0:c r="H55" s="8" t="inlineStr">
        <ns0:is>
          <ns0:t>To track coastal and rock changes</ns0:t>
        </ns0:is>
      </ns0:c>
      <ns0:c r="I55" s="8" t="n">
        <ns0:v>3</ns0:v>
      </ns0:c>
      <ns0:c r="J55" s="8" t="inlineStr">
        <ns0:is>
          <ns0:t>Dokdo’s rocks weather and erode under exposure to wind and waves, making continued monitoring valuable.</ns0:t>
        </ns0:is>
      </ns0:c>
      <ns0:c r="K55" s="8" t="inlineStr">
        <ns0:is>
          <ns0:t>The selected option, “To rename the islands yearly”, does not fit. The answer is “To track coastal and rock changes”. Dokdo’s rocks weather and erode under exposure to wind and waves, making continued monitoring valuable.</ns0:t>
        </ns0:is>
      </ns0:c>
      <ns0:c r="L55" s="8" t="inlineStr">
        <ns0:is>
          <ns0:t>The selected option, “To force the rock count to increase”, does not fit. The answer is “To track coastal and rock changes”. Dokdo’s rocks weather and erode under exposure to wind and waves, making continued monitoring valuable.</ns0:t>
        </ns0:is>
      </ns0:c>
      <ns0:c r="M55" s="8" t="inlineStr">
        <ns0:is>
          <ns0:t>Dokdo’s rocks weather and erode under exposure to wind and waves, making continued monitoring valuable.</ns0:t>
        </ns0:is>
      </ns0:c>
      <ns0:c r="N55" s="8" t="inlineStr"/>
      <ns0:c r="O55" s="8" t="inlineStr">
        <ns0:is>
          <ns0:t>https://www.dokdo.re.kr/home/cms/cmsCont.do?cntnts_sn=66</ns0:t>
        </ns0:is>
      </ns0:c>
      <ns0:c r="P55" s="5">
        <ns0:f>LEN(E55)+MAX(LEN(F55),LEN(G55),LEN(H55))</ns0:f>
        <ns0:v>71</ns0:v>
      </ns0:c>
      <ns0:c r="Q55" s="9" t="inlineStr">
        <ns0:is>
          <ns0:t>출처 기반 자체 검토 / 독립 승인 전</ns0:t>
        </ns0:is>
      </ns0:c>
    </ns0:row>
    <ns0:row r="56" ht="98" customHeight="1">
      <ns0:c r="A56" s="2" t="n">
        <ns0:v>910055</ns0:v>
      </ns0:c>
      <ns0:c r="B56" s="2" t="n">
        <ns0:v>3</ns0:v>
      </ns0:c>
      <ns0:c r="C56" s="2" t="inlineStr">
        <ns0:is>
          <ns0:t>dk-weathering</ns0:t>
        </ns0:is>
      </ns0:c>
      <ns0:c r="D56" s="2" t="n">
        <ns0:v>3</ns0:v>
      </ns0:c>
      <ns0:c r="E56" s="6" t="inlineStr">
        <ns0:is>
          <ns0:t>Which data best support a comparison of terrain change?</ns0:t>
        </ns0:is>
      </ns0:c>
      <ns0:c r="F56" s="6" t="inlineStr">
        <ns0:is>
          <ns0:t>A table listing only nicknames</ns0:t>
        </ns0:is>
      </ns0:c>
      <ns0:c r="G56" s="6" t="inlineStr">
        <ns0:is>
          <ns0:t>Repeated surveys with aligned references</ns0:t>
        </ns0:is>
      </ns0:c>
      <ns0:c r="H56" s="6" t="inlineStr">
        <ns0:is>
          <ns0:t>One undated drawing</ns0:t>
        </ns0:is>
      </ns0:c>
      <ns0:c r="I56" s="6" t="n">
        <ns0:v>2</ns0:v>
      </ns0:c>
      <ns0:c r="J56" s="6" t="inlineStr">
        <ns0:is>
          <ns0:t>Dokdo’s rocks weather and erode under exposure to wind and waves, making continued monitoring valuable.</ns0:t>
        </ns0:is>
      </ns0:c>
      <ns0:c r="K56" s="6" t="inlineStr">
        <ns0:is>
          <ns0:t>The selected option, “A table listing only nicknames”, does not fit. The answer is “Repeated surveys with aligned references”. Dokdo’s rocks weather and erode under exposure to wind and waves, making continued monitoring valuable.</ns0:t>
        </ns0:is>
      </ns0:c>
      <ns0:c r="L56" s="6" t="inlineStr">
        <ns0:is>
          <ns0:t>Dokdo’s rocks weather and erode under exposure to wind and waves, making continued monitoring valuable.</ns0:t>
        </ns0:is>
      </ns0:c>
      <ns0:c r="M56" s="6" t="inlineStr">
        <ns0:is>
          <ns0:t>The selected option, “One undated drawing”, does not fit. The answer is “Repeated surveys with aligned references”. Dokdo’s rocks weather and erode under exposure to wind and waves, making continued monitoring valuable.</ns0:t>
        </ns0:is>
      </ns0:c>
      <ns0:c r="N56" s="6" t="inlineStr">
        <ns0:is>
          <ns0:t>Dokdo terrain studies observe rockfall, soil loss and coastal change. Repeated surveys help when they use consistent references.</ns0:t>
        </ns0:is>
      </ns0:c>
      <ns0:c r="O56" s="6" t="inlineStr">
        <ns0:is>
          <ns0:t>https://www.dokdo.re.kr/home/cms/cmsCont.do?cntnts_sn=66</ns0:t>
        </ns0:is>
      </ns0:c>
      <ns0:c r="P56" s="3">
        <ns0:f>LEN(E56)+MAX(LEN(F56),LEN(G56),LEN(H56))</ns0:f>
        <ns0:v>95</ns0:v>
      </ns0:c>
      <ns0:c r="Q56" s="7" t="inlineStr">
        <ns0:is>
          <ns0:t>출처 기반 자체 검토 / 독립 승인 전</ns0:t>
        </ns0:is>
      </ns0:c>
    </ns0:row>
    <ns0:row r="57" ht="98" customHeight="1">
      <ns0:c r="A57" s="4" t="n">
        <ns0:v>910056</ns0:v>
      </ns0:c>
      <ns0:c r="B57" s="4" t="n">
        <ns0:v>3</ns0:v>
      </ns0:c>
      <ns0:c r="C57" s="4" t="inlineStr">
        <ns0:is>
          <ns0:t>dk-weathering</ns0:t>
        </ns0:is>
      </ns0:c>
      <ns0:c r="D57" s="4" t="n">
        <ns0:v>4</ns0:v>
      </ns0:c>
      <ns0:c r="E57" s="8" t="inlineStr">
        <ns0:is>
          <ns0:t>Can every difference between two photos be called rockfall?</ns0:t>
        </ns0:is>
      </ns0:c>
      <ns0:c r="F57" s="8" t="inlineStr">
        <ns0:is>
          <ns0:t>Compare viewpoints and dates first</ns0:t>
        </ns0:is>
      </ns0:c>
      <ns0:c r="G57" s="8" t="inlineStr">
        <ns0:is>
          <ns0:t>Viewpoint is irrelevant for Dokdo photos</ns0:t>
        </ns0:is>
      </ns0:c>
      <ns0:c r="H57" s="8" t="inlineStr">
        <ns0:is>
          <ns0:t>Every shadow is rockfall</ns0:t>
        </ns0:is>
      </ns0:c>
      <ns0:c r="I57" s="8" t="n">
        <ns0:v>1</ns0:v>
      </ns0:c>
      <ns0:c r="J57" s="8" t="inlineStr">
        <ns0:is>
          <ns0:t>Dokdo’s rocks weather and erode under exposure to wind and waves, making continued monitoring valuable.</ns0:t>
        </ns0:is>
      </ns0:c>
      <ns0:c r="K57" s="8" t="inlineStr">
        <ns0:is>
          <ns0:t>Dokdo’s rocks weather and erode under exposure to wind and waves, making continued monitoring valuable.</ns0:t>
        </ns0:is>
      </ns0:c>
      <ns0:c r="L57" s="8" t="inlineStr">
        <ns0:is>
          <ns0:t>The selected option, “Viewpoint is irrelevant for Dokdo photos”, does not fit. The answer is “Compare viewpoints and dates first”. Dokdo’s rocks weather and erode under exposure to wind and waves, making continued monitoring valuable.</ns0:t>
        </ns0:is>
      </ns0:c>
      <ns0:c r="M57" s="8" t="inlineStr">
        <ns0:is>
          <ns0:t>The selected option, “Every shadow is rockfall”, does not fit. The answer is “Compare viewpoints and dates first”. Dokdo’s rocks weather and erode under exposure to wind and waves, making continued monitoring valuable.</ns0:t>
        </ns0:is>
      </ns0:c>
      <ns0:c r="N57" s="8" t="inlineStr">
        <ns0:is>
          <ns0:t>Dokdo terrain studies observe rockfall, soil loss and coastal change. Repeated surveys help when they use consistent references.</ns0:t>
        </ns0:is>
      </ns0:c>
      <ns0:c r="O57" s="8" t="inlineStr">
        <ns0:is>
          <ns0:t>https://www.dokdo.re.kr/home/cms/cmsCont.do?cntnts_sn=66</ns0:t>
        </ns0:is>
      </ns0:c>
      <ns0:c r="P57" s="5">
        <ns0:f>LEN(E57)+MAX(LEN(F57),LEN(G57),LEN(H57))</ns0:f>
        <ns0:v>99</ns0:v>
      </ns0:c>
      <ns0:c r="Q57" s="9" t="inlineStr">
        <ns0:is>
          <ns0:t>출처 기반 자체 검토 / 독립 승인 전</ns0:t>
        </ns0:is>
      </ns0:c>
    </ns0:row>
    <ns0:row r="58" ht="98" customHeight="1">
      <ns0:c r="A58" s="2" t="n">
        <ns0:v>910057</ns0:v>
      </ns0:c>
      <ns0:c r="B58" s="2" t="n">
        <ns0:v>3</ns0:v>
      </ns0:c>
      <ns0:c r="C58" s="2" t="inlineStr">
        <ns0:is>
          <ns0:t>dk-mulgol</ns0:t>
        </ns0:is>
      </ns0:c>
      <ns0:c r="D58" s="2" t="n">
        <ns0:v>1</ns0:v>
      </ns0:c>
      <ns0:c r="E58" s="6" t="inlineStr">
        <ns0:is>
          <ns0:t>Which main island contains Mulgol?</ns0:t>
        </ns0:is>
      </ns0:c>
      <ns0:c r="F58" s="6" t="inlineStr">
        <ns0:is>
          <ns0:t>Dongdo</ns0:t>
        </ns0:is>
      </ns0:c>
      <ns0:c r="G58" s="6" t="inlineStr">
        <ns0:is>
          <ns0:t>Ulleungdo</ns0:t>
        </ns0:is>
      </ns0:c>
      <ns0:c r="H58" s="6" t="inlineStr">
        <ns0:is>
          <ns0:t>Seodo</ns0:t>
        </ns0:is>
      </ns0:c>
      <ns0:c r="I58" s="6" t="n">
        <ns0:v>3</ns0:v>
      </ns0:c>
      <ns0:c r="J58" s="6" t="inlineStr">
        <ns0:is>
          <ns0:t>Mulgol on Seodo contains dripping water and was used as a water source before desalination facilities.</ns0:t>
        </ns0:is>
      </ns0:c>
      <ns0:c r="K58" s="6" t="inlineStr">
        <ns0:is>
          <ns0:t>The selected option, “Dongdo”, does not fit. The answer is “Seodo”. Mulgol on Seodo contains dripping water and was used as a water source before desalination facilities.</ns0:t>
        </ns0:is>
      </ns0:c>
      <ns0:c r="L58" s="6" t="inlineStr">
        <ns0:is>
          <ns0:t>The selected option, “Ulleungdo”, does not fit. The answer is “Seodo”. Mulgol on Seodo contains dripping water and was used as a water source before desalination facilities.</ns0:t>
        </ns0:is>
      </ns0:c>
      <ns0:c r="M58" s="6" t="inlineStr">
        <ns0:is>
          <ns0:t>Mulgol on Seodo contains dripping water and was used as a water source before desalination facilities.</ns0:t>
        </ns0:is>
      </ns0:c>
      <ns0:c r="N58" s="6" t="inlineStr"/>
      <ns0:c r="O58" s="6" t="inlineStr">
        <ns0:is>
          <ns0:t>https://www.dokdo.re.kr/home/cms/cmsCont.do?cntnts_sn=66</ns0:t>
        </ns0:is>
      </ns0:c>
      <ns0:c r="P58" s="3">
        <ns0:f>LEN(E58)+MAX(LEN(F58),LEN(G58),LEN(H58))</ns0:f>
        <ns0:v>43</ns0:v>
      </ns0:c>
      <ns0:c r="Q58" s="7" t="inlineStr">
        <ns0:is>
          <ns0:t>출처 기반 자체 검토 / 독립 승인 전</ns0:t>
        </ns0:is>
      </ns0:c>
    </ns0:row>
    <ns0:row r="59" ht="98" customHeight="1">
      <ns0:c r="A59" s="4" t="n">
        <ns0:v>910058</ns0:v>
      </ns0:c>
      <ns0:c r="B59" s="4" t="n">
        <ns0:v>3</ns0:v>
      </ns0:c>
      <ns0:c r="C59" s="4" t="inlineStr">
        <ns0:is>
          <ns0:t>dk-mulgol</ns0:t>
        </ns0:is>
      </ns0:c>
      <ns0:c r="D59" s="4" t="n">
        <ns0:v>2</ns0:v>
      </ns0:c>
      <ns0:c r="E59" s="8" t="inlineStr">
        <ns0:is>
          <ns0:t>How was Mulgol linked to earlier life on Dokdo?</ns0:t>
        </ns0:is>
      </ns0:c>
      <ns0:c r="F59" s="8" t="inlineStr">
        <ns0:is>
          <ns0:t>A navigation lighthouse</ns0:t>
        </ns0:is>
      </ns0:c>
      <ns0:c r="G59" s="8" t="inlineStr">
        <ns0:is>
          <ns0:t>A place to obtain water</ns0:t>
        </ns0:is>
      </ns0:c>
      <ns0:c r="H59" s="8" t="inlineStr">
        <ns0:is>
          <ns0:t>A helipad</ns0:t>
        </ns0:is>
      </ns0:c>
      <ns0:c r="I59" s="8" t="n">
        <ns0:v>2</ns0:v>
      </ns0:c>
      <ns0:c r="J59" s="8" t="inlineStr">
        <ns0:is>
          <ns0:t>Mulgol on Seodo contains dripping water and was used as a water source before desalination facilities.</ns0:t>
        </ns0:is>
      </ns0:c>
      <ns0:c r="K59" s="8" t="inlineStr">
        <ns0:is>
          <ns0:t>The selected option, “A navigation lighthouse”, does not fit. The answer is “A place to obtain water”. Mulgol on Seodo contains dripping water and was used as a water source before desalination facilities.</ns0:t>
        </ns0:is>
      </ns0:c>
      <ns0:c r="L59" s="8" t="inlineStr">
        <ns0:is>
          <ns0:t>Mulgol on Seodo contains dripping water and was used as a water source before desalination facilities.</ns0:t>
        </ns0:is>
      </ns0:c>
      <ns0:c r="M59" s="8" t="inlineStr">
        <ns0:is>
          <ns0:t>The selected option, “A helipad”, does not fit. The answer is “A place to obtain water”. Mulgol on Seodo contains dripping water and was used as a water source before desalination facilities.</ns0:t>
        </ns0:is>
      </ns0:c>
      <ns0:c r="N59" s="8" t="inlineStr"/>
      <ns0:c r="O59" s="8" t="inlineStr">
        <ns0:is>
          <ns0:t>https://www.dokdo.re.kr/home/cms/cmsCont.do?cntnts_sn=66</ns0:t>
        </ns0:is>
      </ns0:c>
      <ns0:c r="P59" s="5">
        <ns0:f>LEN(E59)+MAX(LEN(F59),LEN(G59),LEN(H59))</ns0:f>
        <ns0:v>70</ns0:v>
      </ns0:c>
      <ns0:c r="Q59" s="9" t="inlineStr">
        <ns0:is>
          <ns0:t>출처 기반 자체 검토 / 독립 승인 전</ns0:t>
        </ns0:is>
      </ns0:c>
    </ns0:row>
    <ns0:row r="60" ht="98" customHeight="1">
      <ns0:c r="A60" s="2" t="n">
        <ns0:v>910059</ns0:v>
      </ns0:c>
      <ns0:c r="B60" s="2" t="n">
        <ns0:v>3</ns0:v>
      </ns0:c>
      <ns0:c r="C60" s="2" t="inlineStr">
        <ns0:is>
          <ns0:t>dk-mulgol</ns0:t>
        </ns0:is>
      </ns0:c>
      <ns0:c r="D60" s="2" t="n">
        <ns0:v>3</ns0:v>
      </ns0:c>
      <ns0:c r="E60" s="6" t="inlineStr">
        <ns0:is>
          <ns0:t>Which role of Mulgol is supported by the source?</ns0:t>
        </ns0:is>
      </ns0:c>
      <ns0:c r="F60" s="6" t="inlineStr">
        <ns0:is>
          <ns0:t>A water source before desalination facilities</ns0:t>
        </ns0:is>
      </ns0:c>
      <ns0:c r="G60" s="6" t="inlineStr">
        <ns0:is>
          <ns0:t>The sole present source of all water</ns0:t>
        </ns0:is>
      </ns0:c>
      <ns0:c r="H60" s="6" t="inlineStr">
        <ns0:is>
          <ns0:t>An airfield fuel store</ns0:t>
        </ns0:is>
      </ns0:c>
      <ns0:c r="I60" s="6" t="n">
        <ns0:v>1</ns0:v>
      </ns0:c>
      <ns0:c r="J60" s="6" t="inlineStr">
        <ns0:is>
          <ns0:t>Mulgol on Seodo contains dripping water and was used as a water source before desalination facilities.</ns0:t>
        </ns0:is>
      </ns0:c>
      <ns0:c r="K60" s="6" t="inlineStr">
        <ns0:is>
          <ns0:t>Mulgol on Seodo contains dripping water and was used as a water source before desalination facilities.</ns0:t>
        </ns0:is>
      </ns0:c>
      <ns0:c r="L60" s="6" t="inlineStr">
        <ns0:is>
          <ns0:t>The selected option, “The sole present source of all water”, does not fit. The answer is “A water source before desalination facilities”. Mulgol on Seodo contains dripping water and was used as a water source before desalination facilities.</ns0:t>
        </ns0:is>
      </ns0:c>
      <ns0:c r="M60" s="6" t="inlineStr">
        <ns0:is>
          <ns0:t>The selected option, “An airfield fuel store”, does not fit. The answer is “A water source before desalination facilities”. Mulgol on Seodo contains dripping water and was used as a water source before desalination facilities.</ns0:t>
        </ns0:is>
      </ns0:c>
      <ns0:c r="N60" s="6" t="inlineStr">
        <ns0:is>
          <ns0:t>KIOST describes Mulgol as a cave on Seodo’s northwestern coast whose dripping water was used before desalination facilities were installed.</ns0:t>
        </ns0:is>
      </ns0:c>
      <ns0:c r="O60" s="6" t="inlineStr">
        <ns0:is>
          <ns0:t>https://www.dokdo.re.kr/home/cms/cmsCont.do?cntnts_sn=66</ns0:t>
        </ns0:is>
      </ns0:c>
      <ns0:c r="P60" s="3">
        <ns0:f>LEN(E60)+MAX(LEN(F60),LEN(G60),LEN(H60))</ns0:f>
        <ns0:v>93</ns0:v>
      </ns0:c>
      <ns0:c r="Q60" s="7" t="inlineStr">
        <ns0:is>
          <ns0:t>출처 기반 자체 검토 / 독립 승인 전</ns0:t>
        </ns0:is>
      </ns0:c>
    </ns0:row>
    <ns0:row r="61" ht="98" customHeight="1">
      <ns0:c r="A61" s="4" t="n">
        <ns0:v>910060</ns0:v>
      </ns0:c>
      <ns0:c r="B61" s="4" t="n">
        <ns0:v>3</ns0:v>
      </ns0:c>
      <ns0:c r="C61" s="4" t="inlineStr">
        <ns0:is>
          <ns0:t>dk-mulgol</ns0:t>
        </ns0:is>
      </ns0:c>
      <ns0:c r="D61" s="4" t="n">
        <ns0:v>4</ns0:v>
      </ns0:c>
      <ns0:c r="E61" s="8" t="inlineStr">
        <ns0:is>
          <ns0:t>Evaluate a claim that Mulgol is still the only water source.</ns0:t>
        </ns0:is>
      </ns0:c>
      <ns0:c r="F61" s="8" t="inlineStr">
        <ns0:is>
          <ns0:t>Past use proves present exclusivity</ns0:t>
        </ns0:is>
      </ns0:c>
      <ns0:c r="G61" s="8" t="inlineStr">
        <ns0:is>
          <ns0:t>Desalination has no relation to drinking water</ns0:t>
        </ns0:is>
      </ns0:c>
      <ns0:c r="H61" s="8" t="inlineStr">
        <ns0:is>
          <ns0:t>It extends a past role into the present and needs checking</ns0:t>
        </ns0:is>
      </ns0:c>
      <ns0:c r="I61" s="8" t="n">
        <ns0:v>3</ns0:v>
      </ns0:c>
      <ns0:c r="J61" s="8" t="inlineStr">
        <ns0:is>
          <ns0:t>Mulgol on Seodo contains dripping water and was used as a water source before desalination facilities.</ns0:t>
        </ns0:is>
      </ns0:c>
      <ns0:c r="K61" s="8" t="inlineStr">
        <ns0:is>
          <ns0:t>The selected option, “Past use proves present exclusivity”, does not fit. The answer is “It extends a past role into the present and needs checking”. Mulgol on Seodo contains dripping water and was used as a water source before desalination facilities.</ns0:t>
        </ns0:is>
      </ns0:c>
      <ns0:c r="L61" s="8" t="inlineStr">
        <ns0:is>
          <ns0:t>The selected option, “Desalination has no relation to drinking water”, does not fit. The answer is “It extends a past role into the present and needs checking”. Mulgol on Seodo contains dripping water and was used as a water source before desalination facilities.</ns0:t>
        </ns0:is>
      </ns0:c>
      <ns0:c r="M61" s="8" t="inlineStr">
        <ns0:is>
          <ns0:t>Mulgol on Seodo contains dripping water and was used as a water source before desalination facilities.</ns0:t>
        </ns0:is>
      </ns0:c>
      <ns0:c r="N61" s="8" t="inlineStr">
        <ns0:is>
          <ns0:t>KIOST describes Mulgol as a cave on Seodo’s northwestern coast whose dripping water was used before desalination facilities were installed.</ns0:t>
        </ns0:is>
      </ns0:c>
      <ns0:c r="O61" s="8" t="inlineStr">
        <ns0:is>
          <ns0:t>https://www.dokdo.re.kr/home/cms/cmsCont.do?cntnts_sn=66</ns0:t>
        </ns0:is>
      </ns0:c>
      <ns0:c r="P61" s="5">
        <ns0:f>LEN(E61)+MAX(LEN(F61),LEN(G61),LEN(H61))</ns0:f>
        <ns0:v>118</ns0:v>
      </ns0:c>
      <ns0:c r="Q61" s="9" t="inlineStr">
        <ns0:is>
          <ns0:t>출처 기반 자체 검토 / 독립 승인 전</ns0:t>
        </ns0:is>
      </ns0:c>
    </ns0:row>
    <ns0:row r="62" ht="98" customHeight="1">
      <ns0:c r="A62" s="2" t="n">
        <ns0:v>910061</ns0:v>
      </ns0:c>
      <ns0:c r="B62" s="2" t="n">
        <ns0:v>4</ns0:v>
      </ns0:c>
      <ns0:c r="C62" s="2" t="inlineStr">
        <ns0:is>
          <ns0:t>dk-migratory-stopover</ns0:t>
        </ns0:is>
      </ns0:c>
      <ns0:c r="D62" s="2" t="n">
        <ns0:v>1</ns0:v>
      </ns0:c>
      <ns0:c r="E62" s="6" t="inlineStr">
        <ns0:is>
          <ns0:t>What role can Dokdo play for migrating birds?</ns0:t>
        </ns0:is>
      </ns0:c>
      <ns0:c r="F62" s="6" t="inlineStr">
        <ns0:is>
          <ns0:t>A freshwater lake</ns0:t>
        </ns0:is>
      </ns0:c>
      <ns0:c r="G62" s="6" t="inlineStr">
        <ns0:is>
          <ns0:t>A resting stopover</ns0:t>
        </ns0:is>
      </ns0:c>
      <ns0:c r="H62" s="6" t="inlineStr">
        <ns0:is>
          <ns0:t>An inland rice field</ns0:t>
        </ns0:is>
      </ns0:c>
      <ns0:c r="I62" s="6" t="n">
        <ns0:v>2</ns0:v>
      </ns0:c>
      <ns0:c r="J62" s="6" t="inlineStr">
        <ns0:is>
          <ns0:t>Dokdo is also a place where migrating birds can stop and rest.</ns0:t>
        </ns0:is>
      </ns0:c>
      <ns0:c r="K62" s="6" t="inlineStr">
        <ns0:is>
          <ns0:t>The selected option, “A freshwater lake”, does not fit. The answer is “A resting stopover”. Dokdo is also a place where migrating birds can stop and rest.</ns0:t>
        </ns0:is>
      </ns0:c>
      <ns0:c r="L62" s="6" t="inlineStr">
        <ns0:is>
          <ns0:t>Dokdo is also a place where migrating birds can stop and rest.</ns0:t>
        </ns0:is>
      </ns0:c>
      <ns0:c r="M62" s="6" t="inlineStr">
        <ns0:is>
          <ns0:t>The selected option, “An inland rice field”, does not fit. The answer is “A resting stopover”. Dokdo is also a place where migrating birds can stop and rest.</ns0:t>
        </ns0:is>
      </ns0:c>
      <ns0:c r="N62" s="6" t="inlineStr"/>
      <ns0:c r="O62" s="6" t="inlineStr">
        <ns0:is>
          <ns0:t>https://dokdo.mofa.go.kr/kor/introduce/nature.jsp</ns0:t>
        </ns0:is>
      </ns0:c>
      <ns0:c r="P62" s="3">
        <ns0:f>LEN(E62)+MAX(LEN(F62),LEN(G62),LEN(H62))</ns0:f>
        <ns0:v>65</ns0:v>
      </ns0:c>
      <ns0:c r="Q62" s="7" t="inlineStr">
        <ns0:is>
          <ns0:t>출처 기반 자체 검토 / 독립 승인 전</ns0:t>
        </ns0:is>
      </ns0:c>
    </ns0:row>
    <ns0:row r="63" ht="98" customHeight="1">
      <ns0:c r="A63" s="4" t="n">
        <ns0:v>910062</ns0:v>
      </ns0:c>
      <ns0:c r="B63" s="4" t="n">
        <ns0:v>4</ns0:v>
      </ns0:c>
      <ns0:c r="C63" s="4" t="inlineStr">
        <ns0:is>
          <ns0:t>dk-migratory-stopover</ns0:t>
        </ns0:is>
      </ns0:c>
      <ns0:c r="D63" s="4" t="n">
        <ns0:v>2</ns0:v>
      </ns0:c>
      <ns0:c r="E63" s="8" t="inlineStr">
        <ns0:is>
          <ns0:t>What makes Dokdo a stopover?</ns0:t>
        </ns0:is>
      </ns0:c>
      <ns0:c r="F63" s="8" t="inlineStr">
        <ns0:is>
          <ns0:t>An island visited during a longer journey</ns0:t>
        </ns0:is>
      </ns0:c>
      <ns0:c r="G63" s="8" t="inlineStr">
        <ns0:is>
          <ns0:t>An island no bird ever leaves</ns0:t>
        </ns0:is>
      </ns0:c>
      <ns0:c r="H63" s="8" t="inlineStr">
        <ns0:is>
          <ns0:t>An island connected to the mainland by road</ns0:t>
        </ns0:is>
      </ns0:c>
      <ns0:c r="I63" s="8" t="n">
        <ns0:v>1</ns0:v>
      </ns0:c>
      <ns0:c r="J63" s="8" t="inlineStr">
        <ns0:is>
          <ns0:t>Dokdo is also a place where migrating birds can stop and rest.</ns0:t>
        </ns0:is>
      </ns0:c>
      <ns0:c r="K63" s="8" t="inlineStr">
        <ns0:is>
          <ns0:t>Dokdo is also a place where migrating birds can stop and rest.</ns0:t>
        </ns0:is>
      </ns0:c>
      <ns0:c r="L63" s="8" t="inlineStr">
        <ns0:is>
          <ns0:t>The selected option, “An island no bird ever leaves”, does not fit. The answer is “An island visited during a longer journey”. Dokdo is also a place where migrating birds can stop and rest.</ns0:t>
        </ns0:is>
      </ns0:c>
      <ns0:c r="M63" s="8" t="inlineStr">
        <ns0:is>
          <ns0:t>The selected option, “An island connected to the mainland by road”, does not fit. The answer is “An island visited during a longer journey”. Dokdo is also a place where migrating birds can stop and rest.</ns0:t>
        </ns0:is>
      </ns0:c>
      <ns0:c r="N63" s="8" t="inlineStr"/>
      <ns0:c r="O63" s="8" t="inlineStr">
        <ns0:is>
          <ns0:t>https://dokdo.mofa.go.kr/kor/introduce/nature.jsp</ns0:t>
        </ns0:is>
      </ns0:c>
      <ns0:c r="P63" s="5">
        <ns0:f>LEN(E63)+MAX(LEN(F63),LEN(G63),LEN(H63))</ns0:f>
        <ns0:v>71</ns0:v>
      </ns0:c>
      <ns0:c r="Q63" s="9" t="inlineStr">
        <ns0:is>
          <ns0:t>출처 기반 자체 검토 / 독립 승인 전</ns0:t>
        </ns0:is>
      </ns0:c>
    </ns0:row>
    <ns0:row r="64" ht="98" customHeight="1">
      <ns0:c r="A64" s="2" t="n">
        <ns0:v>910063</ns0:v>
      </ns0:c>
      <ns0:c r="B64" s="2" t="n">
        <ns0:v>4</ns0:v>
      </ns0:c>
      <ns0:c r="C64" s="2" t="inlineStr">
        <ns0:is>
          <ns0:t>dk-migratory-stopover</ns0:t>
        </ns0:is>
      </ns0:c>
      <ns0:c r="D64" s="2" t="n">
        <ns0:v>3</ns0:v>
      </ns0:c>
      <ns0:c r="E64" s="6" t="inlineStr">
        <ns0:is>
          <ns0:t>What ecological value does the source describe?</ns0:t>
        </ns0:is>
      </ns0:c>
      <ns0:c r="F64" s="6" t="inlineStr">
        <ns0:is>
          <ns0:t>It is every migratory bird’s final destination</ns0:t>
        </ns0:is>
      </ns0:c>
      <ns0:c r="G64" s="6" t="inlineStr">
        <ns0:is>
          <ns0:t>Migrating birds feed only on Dokdo</ns0:t>
        </ns0:is>
      </ns0:c>
      <ns0:c r="H64" s="6" t="inlineStr">
        <ns0:is>
          <ns0:t>It provides a resting place during migration</ns0:t>
        </ns0:is>
      </ns0:c>
      <ns0:c r="I64" s="6" t="n">
        <ns0:v>3</ns0:v>
      </ns0:c>
      <ns0:c r="J64" s="6" t="inlineStr">
        <ns0:is>
          <ns0:t>Dokdo is also a place where migrating birds can stop and rest.</ns0:t>
        </ns0:is>
      </ns0:c>
      <ns0:c r="K64" s="6" t="inlineStr">
        <ns0:is>
          <ns0:t>The selected option, “It is every migratory bird’s final destination”, does not fit. The answer is “It provides a resting place during migration”. Dokdo is also a place where migrating birds can stop and rest.</ns0:t>
        </ns0:is>
      </ns0:c>
      <ns0:c r="L64" s="6" t="inlineStr">
        <ns0:is>
          <ns0:t>The selected option, “Migrating birds feed only on Dokdo”, does not fit. The answer is “It provides a resting place during migration”. Dokdo is also a place where migrating birds can stop and rest.</ns0:t>
        </ns0:is>
      </ns0:c>
      <ns0:c r="M64" s="6" t="inlineStr">
        <ns0:is>
          <ns0:t>Dokdo is also a place where migrating birds can stop and rest.</ns0:t>
        </ns0:is>
      </ns0:c>
      <ns0:c r="N64" s="6" t="inlineStr">
        <ns0:is>
          <ns0:t>MOFA describes Dokdo as a refuge and resting place along migratory routes. It does not say every bird stays for the same duration.</ns0:t>
        </ns0:is>
      </ns0:c>
      <ns0:c r="O64" s="6" t="inlineStr">
        <ns0:is>
          <ns0:t>https://dokdo.mofa.go.kr/kor/introduce/nature.jsp</ns0:t>
        </ns0:is>
      </ns0:c>
      <ns0:c r="P64" s="3">
        <ns0:f>LEN(E64)+MAX(LEN(F64),LEN(G64),LEN(H64))</ns0:f>
        <ns0:v>93</ns0:v>
      </ns0:c>
      <ns0:c r="Q64" s="7" t="inlineStr">
        <ns0:is>
          <ns0:t>출처 기반 자체 검토 / 독립 승인 전</ns0:t>
        </ns0:is>
      </ns0:c>
    </ns0:row>
    <ns0:row r="65" ht="98" customHeight="1">
      <ns0:c r="A65" s="4" t="n">
        <ns0:v>910064</ns0:v>
      </ns0:c>
      <ns0:c r="B65" s="4" t="n">
        <ns0:v>4</ns0:v>
      </ns0:c>
      <ns0:c r="C65" s="4" t="inlineStr">
        <ns0:is>
          <ns0:t>dk-migratory-stopover</ns0:t>
        </ns0:is>
      </ns0:c>
      <ns0:c r="D65" s="4" t="n">
        <ns0:v>4</ns0:v>
      </ns0:c>
      <ns0:c r="E65" s="8" t="inlineStr">
        <ns0:is>
          <ns0:t>Evaluate “Every bird visiting Dokdo breeds there.”</ns0:t>
        </ns0:is>
      </ns0:c>
      <ns0:c r="F65" s="8" t="inlineStr">
        <ns0:is>
          <ns0:t>A temporary visitor cannot be migratory</ns0:t>
        </ns0:is>
      </ns0:c>
      <ns0:c r="G65" s="8" t="inlineStr">
        <ns0:is>
          <ns0:t>It needs evidence distinguishing stopover from breeding</ns0:t>
        </ns0:is>
      </ns0:c>
      <ns0:c r="H65" s="8" t="inlineStr">
        <ns0:is>
          <ns0:t>The stopover description alone proves it</ns0:t>
        </ns0:is>
      </ns0:c>
      <ns0:c r="I65" s="8" t="n">
        <ns0:v>2</ns0:v>
      </ns0:c>
      <ns0:c r="J65" s="8" t="inlineStr">
        <ns0:is>
          <ns0:t>Dokdo is also a place where migrating birds can stop and rest.</ns0:t>
        </ns0:is>
      </ns0:c>
      <ns0:c r="K65" s="8" t="inlineStr">
        <ns0:is>
          <ns0:t>The selected option, “A temporary visitor cannot be migratory”, does not fit. The answer is “It needs evidence distinguishing stopover from breeding”. Dokdo is also a place where migrating birds can stop and rest.</ns0:t>
        </ns0:is>
      </ns0:c>
      <ns0:c r="L65" s="8" t="inlineStr">
        <ns0:is>
          <ns0:t>Dokdo is also a place where migrating birds can stop and rest.</ns0:t>
        </ns0:is>
      </ns0:c>
      <ns0:c r="M65" s="8" t="inlineStr">
        <ns0:is>
          <ns0:t>The selected option, “The stopover description alone proves it”, does not fit. The answer is “It needs evidence distinguishing stopover from breeding”. Dokdo is also a place where migrating birds can stop and rest.</ns0:t>
        </ns0:is>
      </ns0:c>
      <ns0:c r="N65" s="8" t="inlineStr">
        <ns0:is>
          <ns0:t>MOFA describes Dokdo as a refuge and resting place along migratory routes. It does not say every bird stays for the same duration.</ns0:t>
        </ns0:is>
      </ns0:c>
      <ns0:c r="O65" s="8" t="inlineStr">
        <ns0:is>
          <ns0:t>https://dokdo.mofa.go.kr/kor/introduce/nature.jsp</ns0:t>
        </ns0:is>
      </ns0:c>
      <ns0:c r="P65" s="5">
        <ns0:f>LEN(E65)+MAX(LEN(F65),LEN(G65),LEN(H65))</ns0:f>
        <ns0:v>105</ns0:v>
      </ns0:c>
      <ns0:c r="Q65" s="9" t="inlineStr">
        <ns0:is>
          <ns0:t>출처 기반 자체 검토 / 독립 승인 전</ns0:t>
        </ns0:is>
      </ns0:c>
    </ns0:row>
    <ns0:row r="66" ht="98" customHeight="1">
      <ns0:c r="A66" s="2" t="n">
        <ns0:v>910065</ns0:v>
      </ns0:c>
      <ns0:c r="B66" s="2" t="n">
        <ns0:v>4</ns0:v>
      </ns0:c>
      <ns0:c r="C66" s="2" t="inlineStr">
        <ns0:is>
          <ns0:t>dk-breeding-birds</ns0:t>
        </ns0:is>
      </ns0:c>
      <ns0:c r="D66" s="2" t="n">
        <ns0:v>1</ns0:v>
      </ns0:c>
      <ns0:c r="E66" s="6" t="inlineStr">
        <ns0:is>
          <ns0:t>Which is a seabird that breeds on Dokdo?</ns0:t>
        </ns0:is>
      </ns0:c>
      <ns0:c r="F66" s="6" t="inlineStr">
        <ns0:is>
          <ns0:t>Black-tailed gull</ns0:t>
        </ns0:is>
      </ns0:c>
      <ns0:c r="G66" s="6" t="inlineStr">
        <ns0:is>
          <ns0:t>Only the tree sparrow</ns0:t>
        </ns0:is>
      </ns0:c>
      <ns0:c r="H66" s="6" t="inlineStr">
        <ns0:is>
          <ns0:t>Only city pigeons</ns0:t>
        </ns0:is>
      </ns0:c>
      <ns0:c r="I66" s="6" t="n">
        <ns0:v>1</ns0:v>
      </ns0:c>
      <ns0:c r="J66" s="6" t="inlineStr">
        <ns0:is>
          <ns0:t>Seabirds including black-tailed gulls, storm petrels and streaked shearwaters breed on Dokdo. Breeding means producing and raising young.</ns0:t>
        </ns0:is>
      </ns0:c>
      <ns0:c r="K66" s="6" t="inlineStr">
        <ns0:is>
          <ns0:t>Seabirds including black-tailed gulls, storm petrels and streaked shearwaters breed on Dokdo. Breeding means producing and raising young.</ns0:t>
        </ns0:is>
      </ns0:c>
      <ns0:c r="L66" s="6" t="inlineStr">
        <ns0:is>
          <ns0:t>The selected option, “Only the tree sparrow”, does not fit. The answer is “Black-tailed gull”. Seabirds including black-tailed gulls, storm petrels and streaked shearwaters breed on Dokdo. Breeding means producing and raising young.</ns0:t>
        </ns0:is>
      </ns0:c>
      <ns0:c r="M66" s="6" t="inlineStr">
        <ns0:is>
          <ns0:t>The selected option, “Only city pigeons”, does not fit. The answer is “Black-tailed gull”. Seabirds including black-tailed gulls, storm petrels and streaked shearwaters breed on Dokdo. Breeding means producing and raising young.</ns0:t>
        </ns0:is>
      </ns0:c>
      <ns0:c r="N66" s="6" t="inlineStr"/>
      <ns0:c r="O66" s="6" t="inlineStr">
        <ns0:is>
          <ns0:t>https://www.heritage.go.kr/heri/cul/culSelectDetail.do?VdkVgwKey=16%2C03360000%2C37&amp;pageNo=1_1_2_0</ns0:t>
        </ns0:is>
      </ns0:c>
      <ns0:c r="P66" s="3">
        <ns0:f>LEN(E66)+MAX(LEN(F66),LEN(G66),LEN(H66))</ns0:f>
        <ns0:v>61</ns0:v>
      </ns0:c>
      <ns0:c r="Q66" s="7" t="inlineStr">
        <ns0:is>
          <ns0:t>출처 기반 자체 검토 / 독립 승인 전</ns0:t>
        </ns0:is>
      </ns0:c>
    </ns0:row>
    <ns0:row r="67" ht="98" customHeight="1">
      <ns0:c r="A67" s="4" t="n">
        <ns0:v>910066</ns0:v>
      </ns0:c>
      <ns0:c r="B67" s="4" t="n">
        <ns0:v>4</ns0:v>
      </ns0:c>
      <ns0:c r="C67" s="4" t="inlineStr">
        <ns0:is>
          <ns0:t>dk-breeding-birds</ns0:t>
        </ns0:is>
      </ns0:c>
      <ns0:c r="D67" s="4" t="n">
        <ns0:v>2</ns0:v>
      </ns0:c>
      <ns0:c r="E67" s="8" t="inlineStr">
        <ns0:is>
          <ns0:t>What does it mean that Dokdo is a breeding area?</ns0:t>
        </ns0:is>
      </ns0:c>
      <ns0:c r="F67" s="8" t="inlineStr">
        <ns0:is>
          <ns0:t>A place birds only fly past</ns0:t>
        </ns0:is>
      </ns0:c>
      <ns0:c r="G67" s="8" t="inlineStr">
        <ns0:is>
          <ns0:t>A building displaying bird names</ns0:t>
        </ns0:is>
      </ns0:c>
      <ns0:c r="H67" s="8" t="inlineStr">
        <ns0:is>
          <ns0:t>A place to produce and raise young</ns0:t>
        </ns0:is>
      </ns0:c>
      <ns0:c r="I67" s="8" t="n">
        <ns0:v>3</ns0:v>
      </ns0:c>
      <ns0:c r="J67" s="8" t="inlineStr">
        <ns0:is>
          <ns0:t>Seabirds including black-tailed gulls, storm petrels and streaked shearwaters breed on Dokdo. Breeding means producing and raising young.</ns0:t>
        </ns0:is>
      </ns0:c>
      <ns0:c r="K67" s="8" t="inlineStr">
        <ns0:is>
          <ns0:t>The selected option, “A place birds only fly past”, does not fit. The answer is “A place to produce and raise young”. Seabirds including black-tailed gulls, storm petrels and streaked shearwaters breed on Dokdo. Breeding means producing and raising young.</ns0:t>
        </ns0:is>
      </ns0:c>
      <ns0:c r="L67" s="8" t="inlineStr">
        <ns0:is>
          <ns0:t>The selected option, “A building displaying bird names”, does not fit. The answer is “A place to produce and raise young”. Seabirds including black-tailed gulls, storm petrels and streaked shearwaters breed on Dokdo. Breeding means producing and raising young.</ns0:t>
        </ns0:is>
      </ns0:c>
      <ns0:c r="M67" s="8" t="inlineStr">
        <ns0:is>
          <ns0:t>Seabirds including black-tailed gulls, storm petrels and streaked shearwaters breed on Dokdo. Breeding means producing and raising young.</ns0:t>
        </ns0:is>
      </ns0:c>
      <ns0:c r="N67" s="8" t="inlineStr"/>
      <ns0:c r="O67" s="8" t="inlineStr">
        <ns0:is>
          <ns0:t>https://www.heritage.go.kr/heri/cul/culSelectDetail.do?VdkVgwKey=16%2C03360000%2C37&amp;pageNo=1_1_2_0</ns0:t>
        </ns0:is>
      </ns0:c>
      <ns0:c r="P67" s="5">
        <ns0:f>LEN(E67)+MAX(LEN(F67),LEN(G67),LEN(H67))</ns0:f>
        <ns0:v>82</ns0:v>
      </ns0:c>
      <ns0:c r="Q67" s="9" t="inlineStr">
        <ns0:is>
          <ns0:t>출처 기반 자체 검토 / 독립 승인 전</ns0:t>
        </ns0:is>
      </ns0:c>
    </ns0:row>
    <ns0:row r="68" ht="98" customHeight="1">
      <ns0:c r="A68" s="2" t="n">
        <ns0:v>910067</ns0:v>
      </ns0:c>
      <ns0:c r="B68" s="2" t="n">
        <ns0:v>4</ns0:v>
      </ns0:c>
      <ns0:c r="C68" s="2" t="inlineStr">
        <ns0:is>
          <ns0:t>dk-breeding-birds</ns0:t>
        </ns0:is>
      </ns0:c>
      <ns0:c r="D68" s="2" t="n">
        <ns0:v>3</ns0:v>
      </ns0:c>
      <ns0:c r="E68" s="6" t="inlineStr">
        <ns0:is>
          <ns0:t>Which observation more directly indicates breeding?</ns0:t>
        </ns0:is>
      </ns0:c>
      <ns0:c r="F68" s="6" t="inlineStr">
        <ns0:is>
          <ns0:t>One photograph of an empty rock</ns0:t>
        </ns0:is>
      </ns0:c>
      <ns0:c r="G68" s="6" t="inlineStr">
        <ns0:is>
          <ns0:t>Nests and behaviour tending young</ns0:t>
        </ns0:is>
      </ns0:c>
      <ns0:c r="H68" s="6" t="inlineStr">
        <ns0:is>
          <ns0:t>One bird passing overhead</ns0:t>
        </ns0:is>
      </ns0:c>
      <ns0:c r="I68" s="6" t="n">
        <ns0:v>2</ns0:v>
      </ns0:c>
      <ns0:c r="J68" s="6" t="inlineStr">
        <ns0:is>
          <ns0:t>Seabirds including black-tailed gulls, storm petrels and streaked shearwaters breed on Dokdo. Breeding means producing and raising young.</ns0:t>
        </ns0:is>
      </ns0:c>
      <ns0:c r="K68" s="6" t="inlineStr">
        <ns0:is>
          <ns0:t>The selected option, “One photograph of an empty rock”, does not fit. The answer is “Nests and behaviour tending young”. Seabirds including black-tailed gulls, storm petrels and streaked shearwaters breed on Dokdo. Breeding means producing and raising young.</ns0:t>
        </ns0:is>
      </ns0:c>
      <ns0:c r="L68" s="6" t="inlineStr">
        <ns0:is>
          <ns0:t>Seabirds including black-tailed gulls, storm petrels and streaked shearwaters breed on Dokdo. Breeding means producing and raising young.</ns0:t>
        </ns0:is>
      </ns0:c>
      <ns0:c r="M68" s="6" t="inlineStr">
        <ns0:is>
          <ns0:t>The selected option, “One bird passing overhead”, does not fit. The answer is “Nests and behaviour tending young”. Seabirds including black-tailed gulls, storm petrels and streaked shearwaters breed on Dokdo. Breeding means producing and raising young.</ns0:t>
        </ns0:is>
      </ns0:c>
      <ns0:c r="N68" s="6" t="inlineStr">
        <ns0:is>
          <ns0:t>The heritage description identifies Dokdo as a breeding area for storm petrels, streaked shearwaters and black-tailed gulls. Breeding is more specific than a single sighting.</ns0:t>
        </ns0:is>
      </ns0:c>
      <ns0:c r="O68" s="6" t="inlineStr">
        <ns0:is>
          <ns0:t>https://www.heritage.go.kr/heri/cul/culSelectDetail.do?VdkVgwKey=16%2C03360000%2C37&amp;pageNo=1_1_2_0</ns0:t>
        </ns0:is>
      </ns0:c>
      <ns0:c r="P68" s="3">
        <ns0:f>LEN(E68)+MAX(LEN(F68),LEN(G68),LEN(H68))</ns0:f>
        <ns0:v>84</ns0:v>
      </ns0:c>
      <ns0:c r="Q68" s="7" t="inlineStr">
        <ns0:is>
          <ns0:t>출처 기반 자체 검토 / 독립 승인 전</ns0:t>
        </ns0:is>
      </ns0:c>
    </ns0:row>
    <ns0:row r="69" ht="98" customHeight="1">
      <ns0:c r="A69" s="4" t="n">
        <ns0:v>910068</ns0:v>
      </ns0:c>
      <ns0:c r="B69" s="4" t="n">
        <ns0:v>4</ns0:v>
      </ns0:c>
      <ns0:c r="C69" s="4" t="inlineStr">
        <ns0:is>
          <ns0:t>dk-breeding-birds</ns0:t>
        </ns0:is>
      </ns0:c>
      <ns0:c r="D69" s="4" t="n">
        <ns0:v>4</ns0:v>
      </ns0:c>
      <ns0:c r="E69" s="8" t="inlineStr">
        <ns0:is>
          <ns0:t>Can one photo of a passing bird establish a breeding site?</ns0:t>
        </ns0:is>
      </ns0:c>
      <ns0:c r="F69" s="8" t="inlineStr">
        <ns0:is>
          <ns0:t>Additional nesting or breeding evidence is needed</ns0:t>
        </ns0:is>
      </ns0:c>
      <ns0:c r="G69" s="8" t="inlineStr">
        <ns0:is>
          <ns0:t>Visible wings establish breeding</ns0:t>
        </ns0:is>
      </ns0:c>
      <ns0:c r="H69" s="8" t="inlineStr">
        <ns0:is>
          <ns0:t>A named species always breeds wherever it is seen</ns0:t>
        </ns0:is>
      </ns0:c>
      <ns0:c r="I69" s="8" t="n">
        <ns0:v>1</ns0:v>
      </ns0:c>
      <ns0:c r="J69" s="8" t="inlineStr">
        <ns0:is>
          <ns0:t>Seabirds including black-tailed gulls, storm petrels and streaked shearwaters breed on Dokdo. Breeding means producing and raising young.</ns0:t>
        </ns0:is>
      </ns0:c>
      <ns0:c r="K69" s="8" t="inlineStr">
        <ns0:is>
          <ns0:t>Seabirds including black-tailed gulls, storm petrels and streaked shearwaters breed on Dokdo. Breeding means producing and raising young.</ns0:t>
        </ns0:is>
      </ns0:c>
      <ns0:c r="L69" s="8" t="inlineStr">
        <ns0:is>
          <ns0:t>The selected option, “Visible wings establish breeding”, does not fit. The answer is “Additional nesting or breeding evidence is needed”. Seabirds including black-tailed gulls, storm petrels and streaked shearwaters breed on Dokdo. Breeding means producing and raising young.</ns0:t>
        </ns0:is>
      </ns0:c>
      <ns0:c r="M69" s="8" t="inlineStr">
        <ns0:is>
          <ns0:t>The selected option, “A named species always breeds wherever it is seen”, does not fit. The answer is “Additional nesting or breeding evidence is needed”. Seabirds including black-tailed gulls, storm petrels and streaked shearwaters breed on Dokdo. Breeding means producing and raising young.</ns0:t>
        </ns0:is>
      </ns0:c>
      <ns0:c r="N69" s="8" t="inlineStr">
        <ns0:is>
          <ns0:t>The heritage description identifies Dokdo as a breeding area for storm petrels, streaked shearwaters and black-tailed gulls. Breeding is more specific than a single sighting.</ns0:t>
        </ns0:is>
      </ns0:c>
      <ns0:c r="O69" s="8" t="inlineStr">
        <ns0:is>
          <ns0:t>https://www.heritage.go.kr/heri/cul/culSelectDetail.do?VdkVgwKey=16%2C03360000%2C37&amp;pageNo=1_1_2_0</ns0:t>
        </ns0:is>
      </ns0:c>
      <ns0:c r="P69" s="5">
        <ns0:f>LEN(E69)+MAX(LEN(F69),LEN(G69),LEN(H69))</ns0:f>
        <ns0:v>107</ns0:v>
      </ns0:c>
      <ns0:c r="Q69" s="9" t="inlineStr">
        <ns0:is>
          <ns0:t>출처 기반 자체 검토 / 독립 승인 전</ns0:t>
        </ns0:is>
      </ns0:c>
    </ns0:row>
    <ns0:row r="70" ht="98" customHeight="1">
      <ns0:c r="A70" s="2" t="n">
        <ns0:v>910069</ns0:v>
      </ns0:c>
      <ns0:c r="B70" s="2" t="n">
        <ns0:v>4</ns0:v>
      </ns0:c>
      <ns0:c r="C70" s="2" t="inlineStr">
        <ns0:is>
          <ns0:t>dk-birds-and-seaweed</ns0:t>
        </ns0:is>
      </ns0:c>
      <ns0:c r="D70" s="2" t="n">
        <ns0:v>1</ns0:v>
      </ns0:c>
      <ns0:c r="E70" s="6" t="inlineStr">
        <ns0:is>
          <ns0:t>Which is a seabird rather than a seaweed?</ns0:t>
        </ns0:is>
      </ns0:c>
      <ns0:c r="F70" s="6" t="inlineStr">
        <ns0:is>
          <ns0:t>Kelp</ns0:t>
        </ns0:is>
      </ns0:c>
      <ns0:c r="G70" s="6" t="inlineStr">
        <ns0:is>
          <ns0:t>Laver</ns0:t>
        </ns0:is>
      </ns0:c>
      <ns0:c r="H70" s="6" t="inlineStr">
        <ns0:is>
          <ns0:t>Black-tailed gull</ns0:t>
        </ns0:is>
      </ns0:c>
      <ns0:c r="I70" s="6" t="n">
        <ns0:v>3</ns0:v>
      </ns0:c>
      <ns0:c r="J70" s="6" t="inlineStr">
        <ns0:is>
          <ns0:t>Dokdo has both seabirds and seaweeds such as wakame. Similar-sounding Korean terms can refer to different organisms.</ns0:t>
        </ns0:is>
      </ns0:c>
      <ns0:c r="K70" s="6" t="inlineStr">
        <ns0:is>
          <ns0:t>The selected option, “Kelp”, does not fit. The answer is “Black-tailed gull”. Dokdo has both seabirds and seaweeds such as wakame. Similar-sounding Korean terms can refer to different organisms.</ns0:t>
        </ns0:is>
      </ns0:c>
      <ns0:c r="L70" s="6" t="inlineStr">
        <ns0:is>
          <ns0:t>The selected option, “Laver”, does not fit. The answer is “Black-tailed gull”. Dokdo has both seabirds and seaweeds such as wakame. Similar-sounding Korean terms can refer to different organisms.</ns0:t>
        </ns0:is>
      </ns0:c>
      <ns0:c r="M70" s="6" t="inlineStr">
        <ns0:is>
          <ns0:t>Dokdo has both seabirds and seaweeds such as wakame. Similar-sounding Korean terms can refer to different organisms.</ns0:t>
        </ns0:is>
      </ns0:c>
      <ns0:c r="N70" s="6" t="inlineStr"/>
      <ns0:c r="O70" s="6" t="inlineStr">
        <ns0:is>
          <ns0:t>https://www.heritage.go.kr/heri/cul/culSelectDetail.do?VdkVgwKey=16%2C03360000%2C37&amp;pageNo=1_1_2_0
https://dokdo.mofa.go.kr/kor/introduce/nature.jsp</ns0:t>
        </ns0:is>
      </ns0:c>
      <ns0:c r="P70" s="3">
        <ns0:f>LEN(E70)+MAX(LEN(F70),LEN(G70),LEN(H70))</ns0:f>
        <ns0:v>58</ns0:v>
      </ns0:c>
      <ns0:c r="Q70" s="7" t="inlineStr">
        <ns0:is>
          <ns0:t>출처 기반 자체 검토 / 독립 승인 전</ns0:t>
        </ns0:is>
      </ns0:c>
    </ns0:row>
    <ns0:row r="71" ht="98" customHeight="1">
      <ns0:c r="A71" s="4" t="n">
        <ns0:v>910070</ns0:v>
      </ns0:c>
      <ns0:c r="B71" s="4" t="n">
        <ns0:v>4</ns0:v>
      </ns0:c>
      <ns0:c r="C71" s="4" t="inlineStr">
        <ns0:is>
          <ns0:t>dk-birds-and-seaweed</ns0:t>
        </ns0:is>
      </ns0:c>
      <ns0:c r="D71" s="4" t="n">
        <ns0:v>2</ns0:v>
      </ns0:c>
      <ns0:c r="E71" s="8" t="inlineStr">
        <ns0:is>
          <ns0:t>Which classification is correct?</ns0:t>
        </ns0:is>
      </ns0:c>
      <ns0:c r="F71" s="8" t="inlineStr">
        <ns0:is>
          <ns0:t>Both are fish</ns0:t>
        </ns0:is>
      </ns0:c>
      <ns0:c r="G71" s="8" t="inlineStr">
        <ns0:is>
          <ns0:t>Gull = bird; wakame = seaweed</ns0:t>
        </ns0:is>
      </ns0:c>
      <ns0:c r="H71" s="8" t="inlineStr">
        <ns0:is>
          <ns0:t>Gull = seaweed; wakame = bird</ns0:t>
        </ns0:is>
      </ns0:c>
      <ns0:c r="I71" s="8" t="n">
        <ns0:v>2</ns0:v>
      </ns0:c>
      <ns0:c r="J71" s="8" t="inlineStr">
        <ns0:is>
          <ns0:t>Dokdo has both seabirds and seaweeds such as wakame. Similar-sounding Korean terms can refer to different organisms.</ns0:t>
        </ns0:is>
      </ns0:c>
      <ns0:c r="K71" s="8" t="inlineStr">
        <ns0:is>
          <ns0:t>The selected option, “Both are fish”, does not fit. The answer is “Gull = bird; wakame = seaweed”. Dokdo has both seabirds and seaweeds such as wakame. Similar-sounding Korean terms can refer to different organisms.</ns0:t>
        </ns0:is>
      </ns0:c>
      <ns0:c r="L71" s="8" t="inlineStr">
        <ns0:is>
          <ns0:t>Dokdo has both seabirds and seaweeds such as wakame. Similar-sounding Korean terms can refer to different organisms.</ns0:t>
        </ns0:is>
      </ns0:c>
      <ns0:c r="M71" s="8" t="inlineStr">
        <ns0:is>
          <ns0:t>The selected option, “Gull = seaweed; wakame = bird”, does not fit. The answer is “Gull = bird; wakame = seaweed”. Dokdo has both seabirds and seaweeds such as wakame. Similar-sounding Korean terms can refer to different organisms.</ns0:t>
        </ns0:is>
      </ns0:c>
      <ns0:c r="N71" s="8" t="inlineStr"/>
      <ns0:c r="O71" s="8" t="inlineStr">
        <ns0:is>
          <ns0:t>https://www.heritage.go.kr/heri/cul/culSelectDetail.do?VdkVgwKey=16%2C03360000%2C37&amp;pageNo=1_1_2_0
https://dokdo.mofa.go.kr/kor/introduce/nature.jsp</ns0:t>
        </ns0:is>
      </ns0:c>
      <ns0:c r="P71" s="5">
        <ns0:f>LEN(E71)+MAX(LEN(F71),LEN(G71),LEN(H71))</ns0:f>
        <ns0:v>61</ns0:v>
      </ns0:c>
      <ns0:c r="Q71" s="9" t="inlineStr">
        <ns0:is>
          <ns0:t>출처 기반 자체 검토 / 독립 승인 전</ns0:t>
        </ns0:is>
      </ns0:c>
    </ns0:row>
    <ns0:row r="72" ht="98" customHeight="1">
      <ns0:c r="A72" s="2" t="n">
        <ns0:v>910071</ns0:v>
      </ns0:c>
      <ns0:c r="B72" s="2" t="n">
        <ns0:v>4</ns0:v>
      </ns0:c>
      <ns0:c r="C72" s="2" t="inlineStr">
        <ns0:is>
          <ns0:t>dk-birds-and-seaweed</ns0:t>
        </ns0:is>
      </ns0:c>
      <ns0:c r="D72" s="2" t="n">
        <ns0:v>3</ns0:v>
      </ns0:c>
      <ns0:c r="E72" s="6" t="inlineStr">
        <ns0:is>
          <ns0:t>What does 海鳥類 refer to in the supplied source?</ns0:t>
        </ns0:is>
      </ns0:c>
      <ns0:c r="F72" s="6" t="inlineStr">
        <ns0:is>
          <ns0:t>Seabirds</ns0:t>
        </ns0:is>
      </ns0:c>
      <ns0:c r="G72" s="6" t="inlineStr">
        <ns0:is>
          <ns0:t>Seaweeds</ns0:t>
        </ns0:is>
      </ns0:c>
      <ns0:c r="H72" s="6" t="inlineStr">
        <ns0:is>
          <ns0:t>Coastal rocks</ns0:t>
        </ns0:is>
      </ns0:c>
      <ns0:c r="I72" s="6" t="n">
        <ns0:v>1</ns0:v>
      </ns0:c>
      <ns0:c r="J72" s="6" t="inlineStr">
        <ns0:is>
          <ns0:t>Dokdo has both seabirds and seaweeds such as wakame. Similar-sounding Korean terms can refer to different organisms.</ns0:t>
        </ns0:is>
      </ns0:c>
      <ns0:c r="K72" s="6" t="inlineStr">
        <ns0:is>
          <ns0:t>Dokdo has both seabirds and seaweeds such as wakame. Similar-sounding Korean terms can refer to different organisms.</ns0:t>
        </ns0:is>
      </ns0:c>
      <ns0:c r="L72" s="6" t="inlineStr">
        <ns0:is>
          <ns0:t>The selected option, “Seaweeds”, does not fit. The answer is “Seabirds”. Dokdo has both seabirds and seaweeds such as wakame. Similar-sounding Korean terms can refer to different organisms.</ns0:t>
        </ns0:is>
      </ns0:c>
      <ns0:c r="M72" s="6" t="inlineStr">
        <ns0:is>
          <ns0:t>The selected option, “Coastal rocks”, does not fit. The answer is “Seabirds”. Dokdo has both seabirds and seaweeds such as wakame. Similar-sounding Korean terms can refer to different organisms.</ns0:t>
        </ns0:is>
      </ns0:c>
      <ns0:c r="N72" s="6" t="inlineStr">
        <ns0:is>
          <ns0:t>In the heritage description, haejoryu written 海鳥類 means seabirds; 海藻類 means seaweeds. A black-tailed gull is a bird, while wakame is a seaweed.</ns0:t>
        </ns0:is>
      </ns0:c>
      <ns0:c r="O72" s="6" t="inlineStr">
        <ns0:is>
          <ns0:t>https://www.heritage.go.kr/heri/cul/culSelectDetail.do?VdkVgwKey=16%2C03360000%2C37&amp;pageNo=1_1_2_0
https://dokdo.mofa.go.kr/kor/introduce/nature.jsp</ns0:t>
        </ns0:is>
      </ns0:c>
      <ns0:c r="P72" s="3">
        <ns0:f>LEN(E72)+MAX(LEN(F72),LEN(G72),LEN(H72))</ns0:f>
        <ns0:v>59</ns0:v>
      </ns0:c>
      <ns0:c r="Q72" s="7" t="inlineStr">
        <ns0:is>
          <ns0:t>출처 기반 자체 검토 / 독립 승인 전</ns0:t>
        </ns0:is>
      </ns0:c>
    </ns0:row>
    <ns0:row r="73" ht="98" customHeight="1">
      <ns0:c r="A73" s="4" t="n">
        <ns0:v>910072</ns0:v>
      </ns0:c>
      <ns0:c r="B73" s="4" t="n">
        <ns0:v>4</ns0:v>
      </ns0:c>
      <ns0:c r="C73" s="4" t="inlineStr">
        <ns0:is>
          <ns0:t>dk-birds-and-seaweed</ns0:t>
        </ns0:is>
      </ns0:c>
      <ns0:c r="D73" s="4" t="n">
        <ns0:v>4</ns0:v>
      </ns0:c>
      <ns0:c r="E73" s="8" t="inlineStr">
        <ns0:is>
          <ns0:t>What if the historic term is read only as a seaweed habitat?</ns0:t>
        </ns0:is>
      </ns0:c>
      <ns0:c r="F73" s="8" t="inlineStr">
        <ns0:is>
          <ns0:t>The same pronunciation means the same organisms</ns0:t>
        </ns0:is>
      </ns0:c>
      <ns0:c r="G73" s="8" t="inlineStr">
        <ns0:is>
          <ns0:t>Wakame’s presence makes the original meaning irrelevant</ns0:t>
        </ns0:is>
      </ns0:c>
      <ns0:c r="H73" s="8" t="inlineStr">
        <ns0:is>
          <ns0:t>Check the characters and context for seabirds</ns0:t>
        </ns0:is>
      </ns0:c>
      <ns0:c r="I73" s="8" t="n">
        <ns0:v>3</ns0:v>
      </ns0:c>
      <ns0:c r="J73" s="8" t="inlineStr">
        <ns0:is>
          <ns0:t>Dokdo has both seabirds and seaweeds such as wakame. Similar-sounding Korean terms can refer to different organisms.</ns0:t>
        </ns0:is>
      </ns0:c>
      <ns0:c r="K73" s="8" t="inlineStr">
        <ns0:is>
          <ns0:t>The selected option, “The same pronunciation means the same organisms”, does not fit. The answer is “Check the characters and context for seabirds”. Dokdo has both seabirds and seaweeds such as wakame. Similar-sounding Korean terms can refer to different organisms.</ns0:t>
        </ns0:is>
      </ns0:c>
      <ns0:c r="L73" s="8" t="inlineStr">
        <ns0:is>
          <ns0:t>The selected option, “Wakame’s presence makes the original meaning irrelevant”, does not fit. The answer is “Check the characters and context for seabirds”. Dokdo has both seabirds and seaweeds such as wakame. Similar-sounding Korean terms can refer to different organisms.</ns0:t>
        </ns0:is>
      </ns0:c>
      <ns0:c r="M73" s="8" t="inlineStr">
        <ns0:is>
          <ns0:t>Dokdo has both seabirds and seaweeds such as wakame. Similar-sounding Korean terms can refer to different organisms.</ns0:t>
        </ns0:is>
      </ns0:c>
      <ns0:c r="N73" s="8" t="inlineStr">
        <ns0:is>
          <ns0:t>In the heritage description, haejoryu written 海鳥類 means seabirds; 海藻類 means seaweeds. A black-tailed gull is a bird, while wakame is a seaweed.</ns0:t>
        </ns0:is>
      </ns0:c>
      <ns0:c r="O73" s="8" t="inlineStr">
        <ns0:is>
          <ns0:t>https://www.heritage.go.kr/heri/cul/culSelectDetail.do?VdkVgwKey=16%2C03360000%2C37&amp;pageNo=1_1_2_0
https://dokdo.mofa.go.kr/kor/introduce/nature.jsp</ns0:t>
        </ns0:is>
      </ns0:c>
      <ns0:c r="P73" s="5">
        <ns0:f>LEN(E73)+MAX(LEN(F73),LEN(G73),LEN(H73))</ns0:f>
        <ns0:v>115</ns0:v>
      </ns0:c>
      <ns0:c r="Q73" s="9" t="inlineStr">
        <ns0:is>
          <ns0:t>출처 기반 자체 검토 / 독립 승인 전</ns0:t>
        </ns0:is>
      </ns0:c>
    </ns0:row>
    <ns0:row r="74" ht="98" customHeight="1">
      <ns0:c r="A74" s="2" t="n">
        <ns0:v>910073</ns0:v>
      </ns0:c>
      <ns0:c r="B74" s="2" t="n">
        <ns0:v>4</ns0:v>
      </ns0:c>
      <ns0:c r="C74" s="2" t="inlineStr">
        <ns0:is>
          <ns0:t>dk-coastal-plants</ns0:t>
        </ns0:is>
      </ns0:c>
      <ns0:c r="D74" s="2" t="n">
        <ns0:v>1</ns0:v>
      </ns0:c>
      <ns0:c r="E74" s="6" t="inlineStr">
        <ns0:is>
          <ns0:t>Which is an example of a land plant on Dokdo?</ns0:t>
        </ns0:is>
      </ns0:c>
      <ns0:c r="F74" s="6" t="inlineStr">
        <ns0:is>
          <ns0:t>Kelp</ns0:t>
        </ns0:is>
      </ns0:c>
      <ns0:c r="G74" s="6" t="inlineStr">
        <ns0:is>
          <ns0:t>Seaside daisy</ns0:t>
        </ns0:is>
      </ns0:c>
      <ns0:c r="H74" s="6" t="inlineStr">
        <ns0:is>
          <ns0:t>Wakame</ns0:t>
        </ns0:is>
      </ns0:c>
      <ns0:c r="I74" s="6" t="n">
        <ns0:v>2</ns0:v>
      </ns0:c>
      <ns0:c r="J74" s="6" t="inlineStr">
        <ns0:is>
          <ns0:t>Land plants recorded on Dokdo include seaside daisy, island stonecrop and rock stonecrop. Land and marine life together reveal its diversity.</ns0:t>
        </ns0:is>
      </ns0:c>
      <ns0:c r="K74" s="6" t="inlineStr">
        <ns0:is>
          <ns0:t>The selected option, “Kelp”, does not fit. The answer is “Seaside daisy”. Land plants recorded on Dokdo include seaside daisy, island stonecrop and rock stonecrop. Land and marine life together reveal its diversity.</ns0:t>
        </ns0:is>
      </ns0:c>
      <ns0:c r="L74" s="6" t="inlineStr">
        <ns0:is>
          <ns0:t>Land plants recorded on Dokdo include seaside daisy, island stonecrop and rock stonecrop. Land and marine life together reveal its diversity.</ns0:t>
        </ns0:is>
      </ns0:c>
      <ns0:c r="M74" s="6" t="inlineStr">
        <ns0:is>
          <ns0:t>The selected option, “Wakame”, does not fit. The answer is “Seaside daisy”. Land plants recorded on Dokdo include seaside daisy, island stonecrop and rock stonecrop. Land and marine life together reveal its diversity.</ns0:t>
        </ns0:is>
      </ns0:c>
      <ns0:c r="N74" s="6" t="inlineStr"/>
      <ns0:c r="O74" s="6" t="inlineStr">
        <ns0:is>
          <ns0:t>https://dokdo.mofa.go.kr/kor/introduce/nature.jsp</ns0:t>
        </ns0:is>
      </ns0:c>
      <ns0:c r="P74" s="3">
        <ns0:f>LEN(E74)+MAX(LEN(F74),LEN(G74),LEN(H74))</ns0:f>
        <ns0:v>58</ns0:v>
      </ns0:c>
      <ns0:c r="Q74" s="7" t="inlineStr">
        <ns0:is>
          <ns0:t>출처 기반 자체 검토 / 독립 승인 전</ns0:t>
        </ns0:is>
      </ns0:c>
    </ns0:row>
    <ns0:row r="75" ht="98" customHeight="1">
      <ns0:c r="A75" s="4" t="n">
        <ns0:v>910074</ns0:v>
      </ns0:c>
      <ns0:c r="B75" s="4" t="n">
        <ns0:v>4</ns0:v>
      </ns0:c>
      <ns0:c r="C75" s="4" t="inlineStr">
        <ns0:is>
          <ns0:t>dk-coastal-plants</ns0:t>
        </ns0:is>
      </ns0:c>
      <ns0:c r="D75" s="4" t="n">
        <ns0:v>2</ns0:v>
      </ns0:c>
      <ns0:c r="E75" s="8" t="inlineStr">
        <ns0:is>
          <ns0:t>Which habitat pairing is appropriate?</ns0:t>
        </ns0:is>
      </ns0:c>
      <ns0:c r="F75" s="8" t="inlineStr">
        <ns0:is>
          <ns0:t>Daisy on land; wakame in the sea</ns0:t>
        </ns0:is>
      </ns0:c>
      <ns0:c r="G75" s="8" t="inlineStr">
        <ns0:is>
          <ns0:t>Daisy in the sea; wakame on land</ns0:t>
        </ns0:is>
      </ns0:c>
      <ns0:c r="H75" s="8" t="inlineStr">
        <ns0:is>
          <ns0:t>Both only inside the lighthouse</ns0:t>
        </ns0:is>
      </ns0:c>
      <ns0:c r="I75" s="8" t="n">
        <ns0:v>1</ns0:v>
      </ns0:c>
      <ns0:c r="J75" s="8" t="inlineStr">
        <ns0:is>
          <ns0:t>Land plants recorded on Dokdo include seaside daisy, island stonecrop and rock stonecrop. Land and marine life together reveal its diversity.</ns0:t>
        </ns0:is>
      </ns0:c>
      <ns0:c r="K75" s="8" t="inlineStr">
        <ns0:is>
          <ns0:t>Land plants recorded on Dokdo include seaside daisy, island stonecrop and rock stonecrop. Land and marine life together reveal its diversity.</ns0:t>
        </ns0:is>
      </ns0:c>
      <ns0:c r="L75" s="8" t="inlineStr">
        <ns0:is>
          <ns0:t>The selected option, “Daisy in the sea; wakame on land”, does not fit. The answer is “Daisy on land; wakame in the sea”. Land plants recorded on Dokdo include seaside daisy, island stonecrop and rock stonecrop. Land and marine life together reveal its diversity.</ns0:t>
        </ns0:is>
      </ns0:c>
      <ns0:c r="M75" s="8" t="inlineStr">
        <ns0:is>
          <ns0:t>The selected option, “Both only inside the lighthouse”, does not fit. The answer is “Daisy on land; wakame in the sea”. Land plants recorded on Dokdo include seaside daisy, island stonecrop and rock stonecrop. Land and marine life together reveal its diversity.</ns0:t>
        </ns0:is>
      </ns0:c>
      <ns0:c r="N75" s="8" t="inlineStr"/>
      <ns0:c r="O75" s="8" t="inlineStr">
        <ns0:is>
          <ns0:t>https://dokdo.mofa.go.kr/kor/introduce/nature.jsp</ns0:t>
        </ns0:is>
      </ns0:c>
      <ns0:c r="P75" s="5">
        <ns0:f>LEN(E75)+MAX(LEN(F75),LEN(G75),LEN(H75))</ns0:f>
        <ns0:v>69</ns0:v>
      </ns0:c>
      <ns0:c r="Q75" s="9" t="inlineStr">
        <ns0:is>
          <ns0:t>출처 기반 자체 검토 / 독립 승인 전</ns0:t>
        </ns0:is>
      </ns0:c>
    </ns0:row>
    <ns0:row r="76" ht="98" customHeight="1">
      <ns0:c r="A76" s="2" t="n">
        <ns0:v>910075</ns0:v>
      </ns0:c>
      <ns0:c r="B76" s="2" t="n">
        <ns0:v>4</ns0:v>
      </ns0:c>
      <ns0:c r="C76" s="2" t="inlineStr">
        <ns0:is>
          <ns0:t>dk-coastal-plants</ns0:t>
        </ns0:is>
      </ns0:c>
      <ns0:c r="D76" s="2" t="n">
        <ns0:v>3</ns0:v>
      </ns0:c>
      <ns0:c r="E76" s="6" t="inlineStr">
        <ns0:is>
          <ns0:t>What do the two lists show together?</ns0:t>
        </ns0:is>
      </ns0:c>
      <ns0:c r="F76" s="6" t="inlineStr">
        <ns0:is>
          <ns0:t>All Dokdo plants are types of wakame</ns0:t>
        </ns0:is>
      </ns0:c>
      <ns0:c r="G76" s="6" t="inlineStr">
        <ns0:is>
          <ns0:t>Dokdo has no land plants</ns0:t>
        </ns0:is>
      </ns0:c>
      <ns0:c r="H76" s="6" t="inlineStr">
        <ns0:is>
          <ns0:t>Dokdo has terrestrial plants and seaweeds</ns0:t>
        </ns0:is>
      </ns0:c>
      <ns0:c r="I76" s="6" t="n">
        <ns0:v>3</ns0:v>
      </ns0:c>
      <ns0:c r="J76" s="6" t="inlineStr">
        <ns0:is>
          <ns0:t>Land plants recorded on Dokdo include seaside daisy, island stonecrop and rock stonecrop. Land and marine life together reveal its diversity.</ns0:t>
        </ns0:is>
      </ns0:c>
      <ns0:c r="K76" s="6" t="inlineStr">
        <ns0:is>
          <ns0:t>The selected option, “All Dokdo plants are types of wakame”, does not fit. The answer is “Dokdo has terrestrial plants and seaweeds”. Land plants recorded on Dokdo include seaside daisy, island stonecrop and rock stonecrop. Land and marine life together reveal its diversity.</ns0:t>
        </ns0:is>
      </ns0:c>
      <ns0:c r="L76" s="6" t="inlineStr">
        <ns0:is>
          <ns0:t>The selected option, “Dokdo has no land plants”, does not fit. The answer is “Dokdo has terrestrial plants and seaweeds”. Land plants recorded on Dokdo include seaside daisy, island stonecrop and rock stonecrop. Land and marine life together reveal its diversity.</ns0:t>
        </ns0:is>
      </ns0:c>
      <ns0:c r="M76" s="6" t="inlineStr">
        <ns0:is>
          <ns0:t>Land plants recorded on Dokdo include seaside daisy, island stonecrop and rock stonecrop. Land and marine life together reveal its diversity.</ns0:t>
        </ns0:is>
      </ns0:c>
      <ns0:c r="N76" s="6" t="inlineStr">
        <ns0:is>
          <ns0:t>MOFA lists terrestrial plants including seaside daisy and stonecrops, and marine seaweeds including wakame, kelp and laver. Absence from this short list does not prove absence from Dokdo.</ns0:t>
        </ns0:is>
      </ns0:c>
      <ns0:c r="O76" s="6" t="inlineStr">
        <ns0:is>
          <ns0:t>https://dokdo.mofa.go.kr/kor/introduce/nature.jsp</ns0:t>
        </ns0:is>
      </ns0:c>
      <ns0:c r="P76" s="3">
        <ns0:f>LEN(E76)+MAX(LEN(F76),LEN(G76),LEN(H76))</ns0:f>
        <ns0:v>77</ns0:v>
      </ns0:c>
      <ns0:c r="Q76" s="7" t="inlineStr">
        <ns0:is>
          <ns0:t>출처 기반 자체 검토 / 독립 승인 전</ns0:t>
        </ns0:is>
      </ns0:c>
    </ns0:row>
    <ns0:row r="77" ht="98" customHeight="1">
      <ns0:c r="A77" s="4" t="n">
        <ns0:v>910076</ns0:v>
      </ns0:c>
      <ns0:c r="B77" s="4" t="n">
        <ns0:v>4</ns0:v>
      </ns0:c>
      <ns0:c r="C77" s="4" t="inlineStr">
        <ns0:is>
          <ns0:t>dk-coastal-plants</ns0:t>
        </ns0:is>
      </ns0:c>
      <ns0:c r="D77" s="4" t="n">
        <ns0:v>4</ns0:v>
      </ns0:c>
      <ns0:c r="E77" s="8" t="inlineStr">
        <ns0:is>
          <ns0:t>Does omission from this short list establish absence?</ns0:t>
        </ns0:is>
      </ns0:c>
      <ns0:c r="F77" s="8" t="inlineStr">
        <ns0:is>
          <ns0:t>A flower photo implies every plant species is present</ns0:t>
        </ns0:is>
      </ns0:c>
      <ns0:c r="G77" s="8" t="inlineStr">
        <ns0:is>
          <ns0:t>Check a full survey and its date</ns0:t>
        </ns0:is>
      </ns0:c>
      <ns0:c r="H77" s="8" t="inlineStr">
        <ns0:is>
          <ns0:t>The few examples necessarily form a complete inventory</ns0:t>
        </ns0:is>
      </ns0:c>
      <ns0:c r="I77" s="8" t="n">
        <ns0:v>2</ns0:v>
      </ns0:c>
      <ns0:c r="J77" s="8" t="inlineStr">
        <ns0:is>
          <ns0:t>Land plants recorded on Dokdo include seaside daisy, island stonecrop and rock stonecrop. Land and marine life together reveal its diversity.</ns0:t>
        </ns0:is>
      </ns0:c>
      <ns0:c r="K77" s="8" t="inlineStr">
        <ns0:is>
          <ns0:t>The selected option, “A flower photo implies every plant species is present”, does not fit. The answer is “Check a full survey and its date”. Land plants recorded on Dokdo include seaside daisy, island stonecrop and rock stonecrop. Land and marine life together reveal its diversity.</ns0:t>
        </ns0:is>
      </ns0:c>
      <ns0:c r="L77" s="8" t="inlineStr">
        <ns0:is>
          <ns0:t>Land plants recorded on Dokdo include seaside daisy, island stonecrop and rock stonecrop. Land and marine life together reveal its diversity.</ns0:t>
        </ns0:is>
      </ns0:c>
      <ns0:c r="M77" s="8" t="inlineStr">
        <ns0:is>
          <ns0:t>The selected option, “The few examples necessarily form a complete inventory”, does not fit. The answer is “Check a full survey and its date”. Land plants recorded on Dokdo include seaside daisy, island stonecrop and rock stonecrop. Land and marine life together reveal its diversity.</ns0:t>
        </ns0:is>
      </ns0:c>
      <ns0:c r="N77" s="8" t="inlineStr">
        <ns0:is>
          <ns0:t>MOFA lists terrestrial plants including seaside daisy and stonecrops, and marine seaweeds including wakame, kelp and laver. Absence from this short list does not prove absence from Dokdo.</ns0:t>
        </ns0:is>
      </ns0:c>
      <ns0:c r="O77" s="8" t="inlineStr">
        <ns0:is>
          <ns0:t>https://dokdo.mofa.go.kr/kor/introduce/nature.jsp</ns0:t>
        </ns0:is>
      </ns0:c>
      <ns0:c r="P77" s="5">
        <ns0:f>LEN(E77)+MAX(LEN(F77),LEN(G77),LEN(H77))</ns0:f>
        <ns0:v>107</ns0:v>
      </ns0:c>
      <ns0:c r="Q77" s="9" t="inlineStr">
        <ns0:is>
          <ns0:t>출처 기반 자체 검토 / 독립 승인 전</ns0:t>
        </ns0:is>
      </ns0:c>
    </ns0:row>
    <ns0:row r="78" ht="98" customHeight="1">
      <ns0:c r="A78" s="2" t="n">
        <ns0:v>910077</ns0:v>
      </ns0:c>
      <ns0:c r="B78" s="2" t="n">
        <ns0:v>4</ns0:v>
      </ns0:c>
      <ns0:c r="C78" s="2" t="inlineStr">
        <ns0:is>
          <ns0:t>dk-reserve-scope</ns0:t>
        </ns0:is>
      </ns0:c>
      <ns0:c r="D78" s="2" t="n">
        <ns0:v>1</ns0:v>
      </ns0:c>
      <ns0:c r="E78" s="6" t="inlineStr">
        <ns0:is>
          <ns0:t>What is an appropriate conservation focus on Dokdo?</ns0:t>
        </ns0:is>
      </ns0:c>
      <ns0:c r="F78" s="6" t="inlineStr">
        <ns0:is>
          <ns0:t>Birds, plants and landforms</ns0:t>
        </ns0:is>
      </ns0:c>
      <ns0:c r="G78" s="6" t="inlineStr">
        <ns0:is>
          <ns0:t>Only the lighthouse colour</ns0:t>
        </ns0:is>
      </ns0:c>
      <ns0:c r="H78" s="6" t="inlineStr">
        <ns0:is>
          <ns0:t>Only vessel names</ns0:t>
        </ns0:is>
      </ns0:c>
      <ns0:c r="I78" s="6" t="n">
        <ns0:v>1</ns0:v>
      </ns0:c>
      <ns0:c r="J78" s="6" t="inlineStr">
        <ns0:is>
          <ns0:t>Dokdo’s conservation value includes seabirds, plants, marine organisms and volcanic geology.</ns0:t>
        </ns0:is>
      </ns0:c>
      <ns0:c r="K78" s="6" t="inlineStr">
        <ns0:is>
          <ns0:t>Dokdo’s conservation value includes seabirds, plants, marine organisms and volcanic geology.</ns0:t>
        </ns0:is>
      </ns0:c>
      <ns0:c r="L78" s="6" t="inlineStr">
        <ns0:is>
          <ns0:t>The selected option, “Only the lighthouse colour”, does not fit. The answer is “Birds, plants and landforms”. Dokdo’s conservation value includes seabirds, plants, marine organisms and volcanic geology.</ns0:t>
        </ns0:is>
      </ns0:c>
      <ns0:c r="M78" s="6" t="inlineStr">
        <ns0:is>
          <ns0:t>The selected option, “Only vessel names”, does not fit. The answer is “Birds, plants and landforms”. Dokdo’s conservation value includes seabirds, plants, marine organisms and volcanic geology.</ns0:t>
        </ns0:is>
      </ns0:c>
      <ns0:c r="N78" s="6" t="inlineStr"/>
      <ns0:c r="O78" s="6" t="inlineStr">
        <ns0:is>
          <ns0:t>https://www.heritage.go.kr/heri/cul/culSelectDetail.do?VdkVgwKey=16%2C03360000%2C37&amp;pageNo=1_1_2_0</ns0:t>
        </ns0:is>
      </ns0:c>
      <ns0:c r="P78" s="3">
        <ns0:f>LEN(E78)+MAX(LEN(F78),LEN(G78),LEN(H78))</ns0:f>
        <ns0:v>78</ns0:v>
      </ns0:c>
      <ns0:c r="Q78" s="7" t="inlineStr">
        <ns0:is>
          <ns0:t>출처 기반 자체 검토 / 독립 승인 전</ns0:t>
        </ns0:is>
      </ns0:c>
    </ns0:row>
    <ns0:row r="79" ht="98" customHeight="1">
      <ns0:c r="A79" s="4" t="n">
        <ns0:v>910078</ns0:v>
      </ns0:c>
      <ns0:c r="B79" s="4" t="n">
        <ns0:v>4</ns0:v>
      </ns0:c>
      <ns0:c r="C79" s="4" t="inlineStr">
        <ns0:is>
          <ns0:t>dk-reserve-scope</ns0:t>
        </ns0:is>
      </ns0:c>
      <ns0:c r="D79" s="4" t="n">
        <ns0:v>2</ns0:v>
      </ns0:c>
      <ns0:c r="E79" s="8" t="inlineStr">
        <ns0:is>
          <ns0:t>What is missed by describing protection only in terms of seabirds?</ns0:t>
        </ns0:is>
      </ns0:c>
      <ns0:c r="F79" s="8" t="inlineStr">
        <ns0:is>
          <ns0:t>It means no organisms live in the sea</ns0:t>
        </ns0:is>
      </ns0:c>
      <ns0:c r="G79" s="8" t="inlineStr">
        <ns0:is>
          <ns0:t>It makes the island names identical</ns0:t>
        </ns0:is>
      </ns0:c>
      <ns0:c r="H79" s="8" t="inlineStr">
        <ns0:is>
          <ns0:t>Plant and geological value is missed</ns0:t>
        </ns0:is>
      </ns0:c>
      <ns0:c r="I79" s="8" t="n">
        <ns0:v>3</ns0:v>
      </ns0:c>
      <ns0:c r="J79" s="8" t="inlineStr">
        <ns0:is>
          <ns0:t>Dokdo’s conservation value includes seabirds, plants, marine organisms and volcanic geology.</ns0:t>
        </ns0:is>
      </ns0:c>
      <ns0:c r="K79" s="8" t="inlineStr">
        <ns0:is>
          <ns0:t>The selected option, “It means no organisms live in the sea”, does not fit. The answer is “Plant and geological value is missed”. Dokdo’s conservation value includes seabirds, plants, marine organisms and volcanic geology.</ns0:t>
        </ns0:is>
      </ns0:c>
      <ns0:c r="L79" s="8" t="inlineStr">
        <ns0:is>
          <ns0:t>The selected option, “It makes the island names identical”, does not fit. The answer is “Plant and geological value is missed”. Dokdo’s conservation value includes seabirds, plants, marine organisms and volcanic geology.</ns0:t>
        </ns0:is>
      </ns0:c>
      <ns0:c r="M79" s="8" t="inlineStr">
        <ns0:is>
          <ns0:t>Dokdo’s conservation value includes seabirds, plants, marine organisms and volcanic geology.</ns0:t>
        </ns0:is>
      </ns0:c>
      <ns0:c r="N79" s="8" t="inlineStr"/>
      <ns0:c r="O79" s="8" t="inlineStr">
        <ns0:is>
          <ns0:t>https://www.heritage.go.kr/heri/cul/culSelectDetail.do?VdkVgwKey=16%2C03360000%2C37&amp;pageNo=1_1_2_0</ns0:t>
        </ns0:is>
      </ns0:c>
      <ns0:c r="P79" s="5">
        <ns0:f>LEN(E79)+MAX(LEN(F79),LEN(G79),LEN(H79))</ns0:f>
        <ns0:v>103</ns0:v>
      </ns0:c>
      <ns0:c r="Q79" s="9" t="inlineStr">
        <ns0:is>
          <ns0:t>출처 기반 자체 검토 / 독립 승인 전</ns0:t>
        </ns0:is>
      </ns0:c>
    </ns0:row>
    <ns0:row r="80" ht="98" customHeight="1">
      <ns0:c r="A80" s="2" t="n">
        <ns0:v>910079</ns0:v>
      </ns0:c>
      <ns0:c r="B80" s="2" t="n">
        <ns0:v>4</ns0:v>
      </ns0:c>
      <ns0:c r="C80" s="2" t="inlineStr">
        <ns0:is>
          <ns0:t>dk-reserve-scope</ns0:t>
        </ns0:is>
      </ns0:c>
      <ns0:c r="D80" s="2" t="n">
        <ns0:v>3</ns0:v>
      </ns0:c>
      <ns0:c r="E80" s="6" t="inlineStr">
        <ns0:is>
          <ns0:t>Which summary best covers the reserve’s stated value?</ns0:t>
        </ns0:is>
      </ns0:c>
      <ns0:c r="F80" s="6" t="inlineStr">
        <ns0:is>
          <ns0:t>Only one day’s bird count</ns0:t>
        </ns0:is>
      </ns0:c>
      <ns0:c r="G80" s="6" t="inlineStr">
        <ns0:is>
          <ns0:t>Breeding sites, vegetation, marine life and volcanic landforms</ns0:t>
        </ns0:is>
      </ns0:c>
      <ns0:c r="H80" s="6" t="inlineStr">
        <ns0:is>
          <ns0:t>Port size and admission fees</ns0:t>
        </ns0:is>
      </ns0:c>
      <ns0:c r="I80" s="6" t="n">
        <ns0:v>2</ns0:v>
      </ns0:c>
      <ns0:c r="J80" s="6" t="inlineStr">
        <ns0:is>
          <ns0:t>Dokdo’s conservation value includes seabirds, plants, marine organisms and volcanic geology.</ns0:t>
        </ns0:is>
      </ns0:c>
      <ns0:c r="K80" s="6" t="inlineStr">
        <ns0:is>
          <ns0:t>The selected option, “Only one day’s bird count”, does not fit. The answer is “Breeding sites, vegetation, marine life and volcanic landforms”. Dokdo’s conservation value includes seabirds, plants, marine organisms and volcanic geology.</ns0:t>
        </ns0:is>
      </ns0:c>
      <ns0:c r="L80" s="6" t="inlineStr">
        <ns0:is>
          <ns0:t>Dokdo’s conservation value includes seabirds, plants, marine organisms and volcanic geology.</ns0:t>
        </ns0:is>
      </ns0:c>
      <ns0:c r="M80" s="6" t="inlineStr">
        <ns0:is>
          <ns0:t>The selected option, “Port size and admission fees”, does not fit. The answer is “Breeding sites, vegetation, marine life and volcanic landforms”. Dokdo’s conservation value includes seabirds, plants, marine organisms and volcanic geology.</ns0:t>
        </ns0:is>
      </ns0:c>
      <ns0:c r="N80" s="6" t="inlineStr">
        <ns0:is>
          <ns0:t>The heritage account explains the Dokdo natural reserve in terms of seabird breeding, volcanic geology, distinctive plants and marine life.</ns0:t>
        </ns0:is>
      </ns0:c>
      <ns0:c r="O80" s="6" t="inlineStr">
        <ns0:is>
          <ns0:t>https://www.heritage.go.kr/heri/cul/culSelectDetail.do?VdkVgwKey=16%2C03360000%2C37&amp;pageNo=1_1_2_0</ns0:t>
        </ns0:is>
      </ns0:c>
      <ns0:c r="P80" s="3">
        <ns0:f>LEN(E80)+MAX(LEN(F80),LEN(G80),LEN(H80))</ns0:f>
        <ns0:v>115</ns0:v>
      </ns0:c>
      <ns0:c r="Q80" s="7" t="inlineStr">
        <ns0:is>
          <ns0:t>출처 기반 자체 검토 / 독립 승인 전</ns0:t>
        </ns0:is>
      </ns0:c>
    </ns0:row>
    <ns0:row r="81" ht="98" customHeight="1">
      <ns0:c r="A81" s="4" t="n">
        <ns0:v>910080</ns0:v>
      </ns0:c>
      <ns0:c r="B81" s="4" t="n">
        <ns0:v>4</ns0:v>
      </ns0:c>
      <ns0:c r="C81" s="4" t="inlineStr">
        <ns0:is>
          <ns0:t>dk-reserve-scope</ns0:t>
        </ns0:is>
      </ns0:c>
      <ns0:c r="D81" s="4" t="n">
        <ns0:v>4</ns0:v>
      </ns0:c>
      <ns0:c r="E81" s="8" t="inlineStr">
        <ns0:is>
          <ns0:t>What is wrong with judging its conservation value only by visitor numbers?</ns0:t>
        </ns0:is>
      </ns0:c>
      <ns0:c r="F81" s="8" t="inlineStr">
        <ns0:is>
          <ns0:t>It omits the ecological and geological values described</ns0:t>
        </ns0:is>
      </ns0:c>
      <ns0:c r="G81" s="8" t="inlineStr">
        <ns0:is>
          <ns0:t>Few visitors necessarily mean no geological value</ns0:t>
        </ns0:is>
      </ns0:c>
      <ns0:c r="H81" s="8" t="inlineStr">
        <ns0:is>
          <ns0:t>Visitor count equals breeding bird count</ns0:t>
        </ns0:is>
      </ns0:c>
      <ns0:c r="I81" s="8" t="n">
        <ns0:v>1</ns0:v>
      </ns0:c>
      <ns0:c r="J81" s="8" t="inlineStr">
        <ns0:is>
          <ns0:t>Dokdo’s conservation value includes seabirds, plants, marine organisms and volcanic geology.</ns0:t>
        </ns0:is>
      </ns0:c>
      <ns0:c r="K81" s="8" t="inlineStr">
        <ns0:is>
          <ns0:t>Dokdo’s conservation value includes seabirds, plants, marine organisms and volcanic geology.</ns0:t>
        </ns0:is>
      </ns0:c>
      <ns0:c r="L81" s="8" t="inlineStr">
        <ns0:is>
          <ns0:t>The selected option, “Few visitors necessarily mean no geological value”, does not fit. The answer is “It omits the ecological and geological values described”. Dokdo’s conservation value includes seabirds, plants, marine organisms and volcanic geology.</ns0:t>
        </ns0:is>
      </ns0:c>
      <ns0:c r="M81" s="8" t="inlineStr">
        <ns0:is>
          <ns0:t>The selected option, “Visitor count equals breeding bird count”, does not fit. The answer is “It omits the ecological and geological values described”. Dokdo’s conservation value includes seabirds, plants, marine organisms and volcanic geology.</ns0:t>
        </ns0:is>
      </ns0:c>
      <ns0:c r="N81" s="8" t="inlineStr">
        <ns0:is>
          <ns0:t>The heritage account explains the Dokdo natural reserve in terms of seabird breeding, volcanic geology, distinctive plants and marine life.</ns0:t>
        </ns0:is>
      </ns0:c>
      <ns0:c r="O81" s="8" t="inlineStr">
        <ns0:is>
          <ns0:t>https://www.heritage.go.kr/heri/cul/culSelectDetail.do?VdkVgwKey=16%2C03360000%2C37&amp;pageNo=1_1_2_0</ns0:t>
        </ns0:is>
      </ns0:c>
      <ns0:c r="P81" s="5">
        <ns0:f>LEN(E81)+MAX(LEN(F81),LEN(G81),LEN(H81))</ns0:f>
        <ns0:v>129</ns0:v>
      </ns0:c>
      <ns0:c r="Q81" s="9" t="inlineStr">
        <ns0:is>
          <ns0:t>출처 기반 자체 검토 / 독립 승인 전</ns0:t>
        </ns0:is>
      </ns0:c>
    </ns0:row>
    <ns0:row r="82" ht="98" customHeight="1">
      <ns0:c r="A82" s="2" t="n">
        <ns0:v>910081</ns0:v>
      </ns0:c>
      <ns0:c r="B82" s="2" t="n">
        <ns0:v>5</ns0:v>
      </ns0:c>
      <ns0:c r="C82" s="2" t="inlineStr">
        <ns0:is>
          <ns0:t>dk-sea-forest</ns0:t>
        </ns0:is>
      </ns0:c>
      <ns0:c r="D82" s="2" t="n">
        <ns0:v>1</ns0:v>
      </ns0:c>
      <ns0:c r="E82" s="6" t="inlineStr">
        <ns0:is>
          <ns0:t>Which organisms form underwater forests around Dokdo?</ns0:t>
        </ns0:is>
      </ns0:c>
      <ns0:c r="F82" s="6" t="inlineStr">
        <ns0:is>
          <ns0:t>Seaside daisy and rock stonecrop</ns0:t>
        </ns0:is>
      </ns0:c>
      <ns0:c r="G82" s="6" t="inlineStr">
        <ns0:is>
          <ns0:t>Gulls and shearwaters</ns0:t>
        </ns0:is>
      </ns0:c>
      <ns0:c r="H82" s="6" t="inlineStr">
        <ns0:is>
          <ns0:t>Ecklonia and Eisenia seaweeds</ns0:t>
        </ns0:is>
      </ns0:c>
      <ns0:c r="I82" s="6" t="n">
        <ns0:v>3</ns0:v>
      </ns0:c>
      <ns0:c r="J82" s="6" t="inlineStr">
        <ns0:is>
          <ns0:t>Seaweeds such as Ecklonia cava and Eisenia bicyclis form underwater forests around Dokdo. Rock crevices also support organisms.</ns0:t>
        </ns0:is>
      </ns0:c>
      <ns0:c r="K82" s="6" t="inlineStr">
        <ns0:is>
          <ns0:t>The selected option, “Seaside daisy and rock stonecrop”, does not fit. The answer is “Ecklonia and Eisenia seaweeds”. Seaweeds such as Ecklonia cava and Eisenia bicyclis form underwater forests around Dokdo. Rock crevices also support organisms.</ns0:t>
        </ns0:is>
      </ns0:c>
      <ns0:c r="L82" s="6" t="inlineStr">
        <ns0:is>
          <ns0:t>The selected option, “Gulls and shearwaters”, does not fit. The answer is “Ecklonia and Eisenia seaweeds”. Seaweeds such as Ecklonia cava and Eisenia bicyclis form underwater forests around Dokdo. Rock crevices also support organisms.</ns0:t>
        </ns0:is>
      </ns0:c>
      <ns0:c r="M82" s="6" t="inlineStr">
        <ns0:is>
          <ns0:t>Seaweeds such as Ecklonia cava and Eisenia bicyclis form underwater forests around Dokdo. Rock crevices also support organisms.</ns0:t>
        </ns0:is>
      </ns0:c>
      <ns0:c r="N82" s="6" t="inlineStr"/>
      <ns0:c r="O82" s="6" t="inlineStr">
        <ns0:is>
          <ns0:t>https://www.dokdo.re.kr/home/cms/cmsCont.do?cntnts_sn=87</ns0:t>
        </ns0:is>
      </ns0:c>
      <ns0:c r="P82" s="3">
        <ns0:f>LEN(E82)+MAX(LEN(F82),LEN(G82),LEN(H82))</ns0:f>
        <ns0:v>85</ns0:v>
      </ns0:c>
      <ns0:c r="Q82" s="7" t="inlineStr">
        <ns0:is>
          <ns0:t>출처 기반 자체 검토 / 독립 승인 전</ns0:t>
        </ns0:is>
      </ns0:c>
    </ns0:row>
    <ns0:row r="83" ht="98" customHeight="1">
      <ns0:c r="A83" s="4" t="n">
        <ns0:v>910082</ns0:v>
      </ns0:c>
      <ns0:c r="B83" s="4" t="n">
        <ns0:v>5</ns0:v>
      </ns0:c>
      <ns0:c r="C83" s="4" t="inlineStr">
        <ns0:is>
          <ns0:t>dk-sea-forest</ns0:t>
        </ns0:is>
      </ns0:c>
      <ns0:c r="D83" s="4" t="n">
        <ns0:v>2</ns0:v>
      </ns0:c>
      <ns0:c r="E83" s="8" t="inlineStr">
        <ns0:is>
          <ns0:t>Which organisms are linked to Dokdo’s rock crevices?</ns0:t>
        </ns0:is>
      </ns0:c>
      <ns0:c r="F83" s="8" t="inlineStr">
        <ns0:is>
          <ns0:t>Only terrestrial trees</ns0:t>
        </ns0:is>
      </ns0:c>
      <ns0:c r="G83" s="8" t="inlineStr">
        <ns0:is>
          <ns0:t>Barnacles and mussels</ns0:t>
        </ns0:is>
      </ns0:c>
      <ns0:c r="H83" s="8" t="inlineStr">
        <ns0:is>
          <ns0:t>Only people by the lighthouse</ns0:t>
        </ns0:is>
      </ns0:c>
      <ns0:c r="I83" s="8" t="n">
        <ns0:v>2</ns0:v>
      </ns0:c>
      <ns0:c r="J83" s="8" t="inlineStr">
        <ns0:is>
          <ns0:t>Seaweeds such as Ecklonia cava and Eisenia bicyclis form underwater forests around Dokdo. Rock crevices also support organisms.</ns0:t>
        </ns0:is>
      </ns0:c>
      <ns0:c r="K83" s="8" t="inlineStr">
        <ns0:is>
          <ns0:t>The selected option, “Only terrestrial trees”, does not fit. The answer is “Barnacles and mussels”. Seaweeds such as Ecklonia cava and Eisenia bicyclis form underwater forests around Dokdo. Rock crevices also support organisms.</ns0:t>
        </ns0:is>
      </ns0:c>
      <ns0:c r="L83" s="8" t="inlineStr">
        <ns0:is>
          <ns0:t>Seaweeds such as Ecklonia cava and Eisenia bicyclis form underwater forests around Dokdo. Rock crevices also support organisms.</ns0:t>
        </ns0:is>
      </ns0:c>
      <ns0:c r="M83" s="8" t="inlineStr">
        <ns0:is>
          <ns0:t>The selected option, “Only people by the lighthouse”, does not fit. The answer is “Barnacles and mussels”. Seaweeds such as Ecklonia cava and Eisenia bicyclis form underwater forests around Dokdo. Rock crevices also support organisms.</ns0:t>
        </ns0:is>
      </ns0:c>
      <ns0:c r="N83" s="8" t="inlineStr"/>
      <ns0:c r="O83" s="8" t="inlineStr">
        <ns0:is>
          <ns0:t>https://www.dokdo.re.kr/home/cms/cmsCont.do?cntnts_sn=87</ns0:t>
        </ns0:is>
      </ns0:c>
      <ns0:c r="P83" s="5">
        <ns0:f>LEN(E83)+MAX(LEN(F83),LEN(G83),LEN(H83))</ns0:f>
        <ns0:v>81</ns0:v>
      </ns0:c>
      <ns0:c r="Q83" s="9" t="inlineStr">
        <ns0:is>
          <ns0:t>출처 기반 자체 검토 / 독립 승인 전</ns0:t>
        </ns0:is>
      </ns0:c>
    </ns0:row>
    <ns0:row r="84" ht="98" customHeight="1">
      <ns0:c r="A84" s="2" t="n">
        <ns0:v>910083</ns0:v>
      </ns0:c>
      <ns0:c r="B84" s="2" t="n">
        <ns0:v>5</ns0:v>
      </ns0:c>
      <ns0:c r="C84" s="2" t="inlineStr">
        <ns0:is>
          <ns0:t>dk-sea-forest</ns0:t>
        </ns0:is>
      </ns0:c>
      <ns0:c r="D84" s="2" t="n">
        <ns0:v>3</ns0:v>
      </ns0:c>
      <ns0:c r="E84" s="6" t="inlineStr">
        <ns0:is>
          <ns0:t>What habitat does the source discuss alongside seaweed forests?</ns0:t>
        </ns0:is>
      </ns0:c>
      <ns0:c r="F84" s="6" t="inlineStr">
        <ns0:is>
          <ns0:t>Rock crevices supporting diverse organisms</ns0:t>
        </ns0:is>
      </ns0:c>
      <ns0:c r="G84" s="6" t="inlineStr">
        <ns0:is>
          <ns0:t>An entirely lifeless seabed</ns0:t>
        </ns0:is>
      </ns0:c>
      <ns0:c r="H84" s="6" t="inlineStr">
        <ns0:is>
          <ns0:t>Ulleungdo’s rice fields</ns0:t>
        </ns0:is>
      </ns0:c>
      <ns0:c r="I84" s="6" t="n">
        <ns0:v>1</ns0:v>
      </ns0:c>
      <ns0:c r="J84" s="6" t="inlineStr">
        <ns0:is>
          <ns0:t>Seaweeds such as Ecklonia cava and Eisenia bicyclis form underwater forests around Dokdo. Rock crevices also support organisms.</ns0:t>
        </ns0:is>
      </ns0:c>
      <ns0:c r="K84" s="6" t="inlineStr">
        <ns0:is>
          <ns0:t>Seaweeds such as Ecklonia cava and Eisenia bicyclis form underwater forests around Dokdo. Rock crevices also support organisms.</ns0:t>
        </ns0:is>
      </ns0:c>
      <ns0:c r="L84" s="6" t="inlineStr">
        <ns0:is>
          <ns0:t>The selected option, “An entirely lifeless seabed”, does not fit. The answer is “Rock crevices supporting diverse organisms”. Seaweeds such as Ecklonia cava and Eisenia bicyclis form underwater forests around Dokdo. Rock crevices also support organisms.</ns0:t>
        </ns0:is>
      </ns0:c>
      <ns0:c r="M84" s="6" t="inlineStr">
        <ns0:is>
          <ns0:t>The selected option, “Ulleungdo’s rice fields”, does not fit. The answer is “Rock crevices supporting diverse organisms”. Seaweeds such as Ecklonia cava and Eisenia bicyclis form underwater forests around Dokdo. Rock crevices also support organisms.</ns0:t>
        </ns0:is>
      </ns0:c>
      <ns0:c r="N84" s="6" t="inlineStr">
        <ns0:is>
          <ns0:t>KIOST describes Dokdo’s seaweed forests and organisms such as barnacles, mussels, crabs and snails in rocky habitats.</ns0:t>
        </ns0:is>
      </ns0:c>
      <ns0:c r="O84" s="6" t="inlineStr">
        <ns0:is>
          <ns0:t>https://www.dokdo.re.kr/home/cms/cmsCont.do?cntnts_sn=87</ns0:t>
        </ns0:is>
      </ns0:c>
      <ns0:c r="P84" s="3">
        <ns0:f>LEN(E84)+MAX(LEN(F84),LEN(G84),LEN(H84))</ns0:f>
        <ns0:v>105</ns0:v>
      </ns0:c>
      <ns0:c r="Q84" s="7" t="inlineStr">
        <ns0:is>
          <ns0:t>출처 기반 자체 검토 / 독립 승인 전</ns0:t>
        </ns0:is>
      </ns0:c>
    </ns0:row>
    <ns0:row r="85" ht="98" customHeight="1">
      <ns0:c r="A85" s="4" t="n">
        <ns0:v>910084</ns0:v>
      </ns0:c>
      <ns0:c r="B85" s="4" t="n">
        <ns0:v>5</ns0:v>
      </ns0:c>
      <ns0:c r="C85" s="4" t="inlineStr">
        <ns0:is>
          <ns0:t>dk-sea-forest</ns0:t>
        </ns0:is>
      </ns0:c>
      <ns0:c r="D85" s="4" t="n">
        <ns0:v>4</ns0:v>
      </ns0:c>
      <ns0:c r="E85" s="8" t="inlineStr">
        <ns0:is>
          <ns0:t>What is lost by describing the forest as one kind of wakame?</ns0:t>
        </ns0:is>
      </ns0:c>
      <ns0:c r="F85" s="8" t="inlineStr">
        <ns0:is>
          <ns0:t>The meaning of the word wakame itself</ns0:t>
        </ns0:is>
      </ns0:c>
      <ns0:c r="G85" s="8" t="inlineStr">
        <ns0:is>
          <ns0:t>Only the maximum island elevations</ns0:t>
        </ns0:is>
      </ns0:c>
      <ns0:c r="H85" s="8" t="inlineStr">
        <ns0:is>
          <ns0:t>The diversity of seaweeds and habitats in the source</ns0:t>
        </ns0:is>
      </ns0:c>
      <ns0:c r="I85" s="8" t="n">
        <ns0:v>3</ns0:v>
      </ns0:c>
      <ns0:c r="J85" s="8" t="inlineStr">
        <ns0:is>
          <ns0:t>Seaweeds such as Ecklonia cava and Eisenia bicyclis form underwater forests around Dokdo. Rock crevices also support organisms.</ns0:t>
        </ns0:is>
      </ns0:c>
      <ns0:c r="K85" s="8" t="inlineStr">
        <ns0:is>
          <ns0:t>The selected option, “The meaning of the word wakame itself”, does not fit. The answer is “The diversity of seaweeds and habitats in the source”. Seaweeds such as Ecklonia cava and Eisenia bicyclis form underwater forests around Dokdo. Rock crevices also support organisms.</ns0:t>
        </ns0:is>
      </ns0:c>
      <ns0:c r="L85" s="8" t="inlineStr">
        <ns0:is>
          <ns0:t>The selected option, “Only the maximum island elevations”, does not fit. The answer is “The diversity of seaweeds and habitats in the source”. Seaweeds such as Ecklonia cava and Eisenia bicyclis form underwater forests around Dokdo. Rock crevices also support organisms.</ns0:t>
        </ns0:is>
      </ns0:c>
      <ns0:c r="M85" s="8" t="inlineStr">
        <ns0:is>
          <ns0:t>Seaweeds such as Ecklonia cava and Eisenia bicyclis form underwater forests around Dokdo. Rock crevices also support organisms.</ns0:t>
        </ns0:is>
      </ns0:c>
      <ns0:c r="N85" s="8" t="inlineStr">
        <ns0:is>
          <ns0:t>KIOST describes Dokdo’s seaweed forests and organisms such as barnacles, mussels, crabs and snails in rocky habitats.</ns0:t>
        </ns0:is>
      </ns0:c>
      <ns0:c r="O85" s="8" t="inlineStr">
        <ns0:is>
          <ns0:t>https://www.dokdo.re.kr/home/cms/cmsCont.do?cntnts_sn=87</ns0:t>
        </ns0:is>
      </ns0:c>
      <ns0:c r="P85" s="5">
        <ns0:f>LEN(E85)+MAX(LEN(F85),LEN(G85),LEN(H85))</ns0:f>
        <ns0:v>112</ns0:v>
      </ns0:c>
      <ns0:c r="Q85" s="9" t="inlineStr">
        <ns0:is>
          <ns0:t>출처 기반 자체 검토 / 독립 승인 전</ns0:t>
        </ns0:is>
      </ns0:c>
    </ns0:row>
    <ns0:row r="86" ht="98" customHeight="1">
      <ns0:c r="A86" s="2" t="n">
        <ns0:v>910085</ns0:v>
      </ns0:c>
      <ns0:c r="B86" s="2" t="n">
        <ns0:v>5</ns0:v>
      </ns0:c>
      <ns0:c r="C86" s="2" t="inlineStr">
        <ns0:is>
          <ns0:t>dk-water-mixing</ns0:t>
        </ns0:is>
      </ns0:c>
      <ns0:c r="D86" s="2" t="n">
        <ns0:v>1</ns0:v>
      </ns0:c>
      <ns0:c r="E86" s="6" t="inlineStr">
        <ns0:is>
          <ns0:t>Which flows meet around Dokdo?</ns0:t>
        </ns0:is>
      </ns0:c>
      <ns0:c r="F86" s="6" t="inlineStr">
        <ns0:is>
          <ns0:t>Two sand roads</ns0:t>
        </ns0:is>
      </ns0:c>
      <ns0:c r="G86" s="6" t="inlineStr">
        <ns0:is>
          <ns0:t>Warm and cold currents</ns0:t>
        </ns0:is>
      </ns0:c>
      <ns0:c r="H86" s="6" t="inlineStr">
        <ns0:is>
          <ns0:t>Only two freshwater rivers</ns0:t>
        </ns0:is>
      </ns0:c>
      <ns0:c r="I86" s="6" t="n">
        <ns0:v>2</ns0:v>
      </ns0:c>
      <ns0:c r="J86" s="6" t="inlineStr">
        <ns0:is>
          <ns0:t>Warm and cold currents mix around Dokdo. Water movement also affects the supply of nutrients used by organisms.</ns0:t>
        </ns0:is>
      </ns0:c>
      <ns0:c r="K86" s="6" t="inlineStr">
        <ns0:is>
          <ns0:t>The selected option, “Two sand roads”, does not fit. The answer is “Warm and cold currents”. Warm and cold currents mix around Dokdo. Water movement also affects the supply of nutrients used by organisms.</ns0:t>
        </ns0:is>
      </ns0:c>
      <ns0:c r="L86" s="6" t="inlineStr">
        <ns0:is>
          <ns0:t>Warm and cold currents mix around Dokdo. Water movement also affects the supply of nutrients used by organisms.</ns0:t>
        </ns0:is>
      </ns0:c>
      <ns0:c r="M86" s="6" t="inlineStr">
        <ns0:is>
          <ns0:t>The selected option, “Only two freshwater rivers”, does not fit. The answer is “Warm and cold currents”. Warm and cold currents mix around Dokdo. Water movement also affects the supply of nutrients used by organisms.</ns0:t>
        </ns0:is>
      </ns0:c>
      <ns0:c r="N86" s="6" t="inlineStr"/>
      <ns0:c r="O86" s="6" t="inlineStr">
        <ns0:is>
          <ns0:t>https://www.dokdo.re.kr/home/cms/cmsCont.do?cntnts_sn=82</ns0:t>
        </ns0:is>
      </ns0:c>
      <ns0:c r="P86" s="3">
        <ns0:f>LEN(E86)+MAX(LEN(F86),LEN(G86),LEN(H86))</ns0:f>
        <ns0:v>56</ns0:v>
      </ns0:c>
      <ns0:c r="Q86" s="7" t="inlineStr">
        <ns0:is>
          <ns0:t>출처 기반 자체 검토 / 독립 승인 전</ns0:t>
        </ns0:is>
      </ns0:c>
    </ns0:row>
    <ns0:row r="87" ht="98" customHeight="1">
      <ns0:c r="A87" s="4" t="n">
        <ns0:v>910086</ns0:v>
      </ns0:c>
      <ns0:c r="B87" s="4" t="n">
        <ns0:v>5</ns0:v>
      </ns0:c>
      <ns0:c r="C87" s="4" t="inlineStr">
        <ns0:is>
          <ns0:t>dk-water-mixing</ns0:t>
        </ns0:is>
      </ns0:c>
      <ns0:c r="D87" s="4" t="n">
        <ns0:v>2</ns0:v>
      </ns0:c>
      <ns0:c r="E87" s="8" t="inlineStr">
        <ns0:is>
          <ns0:t>What can vertical water mixing transport?</ns0:t>
        </ns0:is>
      </ns0:c>
      <ns0:c r="F87" s="8" t="inlineStr">
        <ns0:is>
          <ns0:t>Nutrients from deeper water</ns0:t>
        </ns0:is>
      </ns0:c>
      <ns0:c r="G87" s="8" t="inlineStr">
        <ns0:is>
          <ns0:t>Island names</ns0:t>
        </ns0:is>
      </ns0:c>
      <ns0:c r="H87" s="8" t="inlineStr">
        <ns0:is>
          <ns0:t>The lighthouse address</ns0:t>
        </ns0:is>
      </ns0:c>
      <ns0:c r="I87" s="8" t="n">
        <ns0:v>1</ns0:v>
      </ns0:c>
      <ns0:c r="J87" s="8" t="inlineStr">
        <ns0:is>
          <ns0:t>Warm and cold currents mix around Dokdo. Water movement also affects the supply of nutrients used by organisms.</ns0:t>
        </ns0:is>
      </ns0:c>
      <ns0:c r="K87" s="8" t="inlineStr">
        <ns0:is>
          <ns0:t>Warm and cold currents mix around Dokdo. Water movement also affects the supply of nutrients used by organisms.</ns0:t>
        </ns0:is>
      </ns0:c>
      <ns0:c r="L87" s="8" t="inlineStr">
        <ns0:is>
          <ns0:t>The selected option, “Island names”, does not fit. The answer is “Nutrients from deeper water”. Warm and cold currents mix around Dokdo. Water movement also affects the supply of nutrients used by organisms.</ns0:t>
        </ns0:is>
      </ns0:c>
      <ns0:c r="M87" s="8" t="inlineStr">
        <ns0:is>
          <ns0:t>The selected option, “The lighthouse address”, does not fit. The answer is “Nutrients from deeper water”. Warm and cold currents mix around Dokdo. Water movement also affects the supply of nutrients used by organisms.</ns0:t>
        </ns0:is>
      </ns0:c>
      <ns0:c r="N87" s="8" t="inlineStr"/>
      <ns0:c r="O87" s="8" t="inlineStr">
        <ns0:is>
          <ns0:t>https://www.dokdo.re.kr/home/cms/cmsCont.do?cntnts_sn=82</ns0:t>
        </ns0:is>
      </ns0:c>
      <ns0:c r="P87" s="5">
        <ns0:f>LEN(E87)+MAX(LEN(F87),LEN(G87),LEN(H87))</ns0:f>
        <ns0:v>68</ns0:v>
      </ns0:c>
      <ns0:c r="Q87" s="9" t="inlineStr">
        <ns0:is>
          <ns0:t>출처 기반 자체 검토 / 독립 승인 전</ns0:t>
        </ns0:is>
      </ns0:c>
    </ns0:row>
    <ns0:row r="88" ht="98" customHeight="1">
      <ns0:c r="A88" s="2" t="n">
        <ns0:v>910087</ns0:v>
      </ns0:c>
      <ns0:c r="B88" s="2" t="n">
        <ns0:v>5</ns0:v>
      </ns0:c>
      <ns0:c r="C88" s="2" t="inlineStr">
        <ns0:is>
          <ns0:t>dk-water-mixing</ns0:t>
        </ns0:is>
      </ns0:c>
      <ns0:c r="D88" s="2" t="n">
        <ns0:v>3</ns0:v>
      </ns0:c>
      <ns0:c r="E88" s="6" t="inlineStr">
        <ns0:is>
          <ns0:t>Which sequence matches the island-effect explanation?</ns0:t>
        </ns0:is>
      </ns0:c>
      <ns0:c r="F88" s="6" t="inlineStr">
        <ns0:is>
          <ns0:t>Lighthouse lighting → renamed seaweeds</ns0:t>
        </ns0:is>
      </ns0:c>
      <ns0:c r="G88" s="6" t="inlineStr">
        <ns0:is>
          <ns0:t>Still surface water → increase in all life</ns0:t>
        </ns0:is>
      </ns0:c>
      <ns0:c r="H88" s="6" t="inlineStr">
        <ns0:is>
          <ns0:t>Water mixing → nutrients supplied above</ns0:t>
        </ns0:is>
      </ns0:c>
      <ns0:c r="I88" s="6" t="n">
        <ns0:v>3</ns0:v>
      </ns0:c>
      <ns0:c r="J88" s="6" t="inlineStr">
        <ns0:is>
          <ns0:t>Warm and cold currents mix around Dokdo. Water movement also affects the supply of nutrients used by organisms.</ns0:t>
        </ns0:is>
      </ns0:c>
      <ns0:c r="K88" s="6" t="inlineStr">
        <ns0:is>
          <ns0:t>The selected option, “Lighthouse lighting → renamed seaweeds”, does not fit. The answer is “Water mixing → nutrients supplied above”. Warm and cold currents mix around Dokdo. Water movement also affects the supply of nutrients used by organisms.</ns0:t>
        </ns0:is>
      </ns0:c>
      <ns0:c r="L88" s="6" t="inlineStr">
        <ns0:is>
          <ns0:t>The selected option, “Still surface water → increase in all life”, does not fit. The answer is “Water mixing → nutrients supplied above”. Warm and cold currents mix around Dokdo. Water movement also affects the supply of nutrients used by organisms.</ns0:t>
        </ns0:is>
      </ns0:c>
      <ns0:c r="M88" s="6" t="inlineStr">
        <ns0:is>
          <ns0:t>Warm and cold currents mix around Dokdo. Water movement also affects the supply of nutrients used by organisms.</ns0:t>
        </ns0:is>
      </ns0:c>
      <ns0:c r="N88" s="6" t="inlineStr">
        <ns0:is>
          <ns0:t>The island-effect account describes how wind and island topography influence water mixing, which can deliver nutrients from deeper water to the sunlit upper layer.</ns0:t>
        </ns0:is>
      </ns0:c>
      <ns0:c r="O88" s="6" t="inlineStr">
        <ns0:is>
          <ns0:t>https://www.dokdo.re.kr/home/cms/cmsCont.do?cntnts_sn=82</ns0:t>
        </ns0:is>
      </ns0:c>
      <ns0:c r="P88" s="3">
        <ns0:f>LEN(E88)+MAX(LEN(F88),LEN(G88),LEN(H88))</ns0:f>
        <ns0:v>95</ns0:v>
      </ns0:c>
      <ns0:c r="Q88" s="7" t="inlineStr">
        <ns0:is>
          <ns0:t>출처 기반 자체 검토 / 독립 승인 전</ns0:t>
        </ns0:is>
      </ns0:c>
    </ns0:row>
    <ns0:row r="89" ht="98" customHeight="1">
      <ns0:c r="A89" s="4" t="n">
        <ns0:v>910088</ns0:v>
      </ns0:c>
      <ns0:c r="B89" s="4" t="n">
        <ns0:v>5</ns0:v>
      </ns0:c>
      <ns0:c r="C89" s="4" t="inlineStr">
        <ns0:is>
          <ns0:t>dk-water-mixing</ns0:t>
        </ns0:is>
      </ns0:c>
      <ns0:c r="D89" s="4" t="n">
        <ns0:v>4</ns0:v>
      </ns0:c>
      <ns0:c r="E89" s="8" t="inlineStr">
        <ns0:is>
          <ns0:t>Does the island effect mean conditions are always identical?</ns0:t>
        </ns0:is>
      </ns0:c>
      <ns0:c r="F89" s="8" t="inlineStr">
        <ns0:is>
          <ns0:t>Nutrients are unrelated to water movement</ns0:t>
        </ns0:is>
      </ns0:c>
      <ns0:c r="G89" s="8" t="inlineStr">
        <ns0:is>
          <ns0:t>Season, wind and current changes also matter</ns0:t>
        </ns0:is>
      </ns0:c>
      <ns0:c r="H89" s="8" t="inlineStr">
        <ns0:is>
          <ns0:t>Identical mixing occurs every day near an island</ns0:t>
        </ns0:is>
      </ns0:c>
      <ns0:c r="I89" s="8" t="n">
        <ns0:v>2</ns0:v>
      </ns0:c>
      <ns0:c r="J89" s="8" t="inlineStr">
        <ns0:is>
          <ns0:t>Warm and cold currents mix around Dokdo. Water movement also affects the supply of nutrients used by organisms.</ns0:t>
        </ns0:is>
      </ns0:c>
      <ns0:c r="K89" s="8" t="inlineStr">
        <ns0:is>
          <ns0:t>The selected option, “Nutrients are unrelated to water movement”, does not fit. The answer is “Season, wind and current changes also matter”. Warm and cold currents mix around Dokdo. Water movement also affects the supply of nutrients used by organisms.</ns0:t>
        </ns0:is>
      </ns0:c>
      <ns0:c r="L89" s="8" t="inlineStr">
        <ns0:is>
          <ns0:t>Warm and cold currents mix around Dokdo. Water movement also affects the supply of nutrients used by organisms.</ns0:t>
        </ns0:is>
      </ns0:c>
      <ns0:c r="M89" s="8" t="inlineStr">
        <ns0:is>
          <ns0:t>The selected option, “Identical mixing occurs every day near an island”, does not fit. The answer is “Season, wind and current changes also matter”. Warm and cold currents mix around Dokdo. Water movement also affects the supply of nutrients used by organisms.</ns0:t>
        </ns0:is>
      </ns0:c>
      <ns0:c r="N89" s="8" t="inlineStr">
        <ns0:is>
          <ns0:t>The island-effect account describes how wind and island topography influence water mixing, which can deliver nutrients from deeper water to the sunlit upper layer.</ns0:t>
        </ns0:is>
      </ns0:c>
      <ns0:c r="O89" s="8" t="inlineStr">
        <ns0:is>
          <ns0:t>https://www.dokdo.re.kr/home/cms/cmsCont.do?cntnts_sn=82</ns0:t>
        </ns0:is>
      </ns0:c>
      <ns0:c r="P89" s="5">
        <ns0:f>LEN(E89)+MAX(LEN(F89),LEN(G89),LEN(H89))</ns0:f>
        <ns0:v>108</ns0:v>
      </ns0:c>
      <ns0:c r="Q89" s="9" t="inlineStr">
        <ns0:is>
          <ns0:t>출처 기반 자체 검토 / 독립 승인 전</ns0:t>
        </ns0:is>
      </ns0:c>
    </ns0:row>
    <ns0:row r="90" ht="98" customHeight="1">
      <ns0:c r="A90" s="2" t="n">
        <ns0:v>910089</ns0:v>
      </ns0:c>
      <ns0:c r="B90" s="2" t="n">
        <ns0:v>5</ns0:v>
      </ns0:c>
      <ns0:c r="C90" s="2" t="inlineStr">
        <ns0:is>
          <ns0:t>dk-food-links</ns0:t>
        </ns0:is>
      </ns0:c>
      <ns0:c r="D90" s="2" t="n">
        <ns0:v>1</ns0:v>
      </ns0:c>
      <ns0:c r="E90" s="6" t="inlineStr">
        <ns0:is>
          <ns0:t>Which tiny organisms help support the marine food web?</ns0:t>
        </ns0:is>
      </ns0:c>
      <ns0:c r="F90" s="6" t="inlineStr">
        <ns0:is>
          <ns0:t>Phytoplankton</ns0:t>
        </ns0:is>
      </ns0:c>
      <ns0:c r="G90" s="6" t="inlineStr">
        <ns0:is>
          <ns0:t>Seodo’s rock itself</ns0:t>
        </ns0:is>
      </ns0:c>
      <ns0:c r="H90" s="6" t="inlineStr">
        <ns0:is>
          <ns0:t>Lighthouse lamps</ns0:t>
        </ns0:is>
      </ns0:c>
      <ns0:c r="I90" s="6" t="n">
        <ns0:v>1</ns0:v>
      </ns0:c>
      <ns0:c r="J90" s="6" t="inlineStr">
        <ns0:is>
          <ns0:t>Phytoplankton support food relationships around Dokdo, including links to zooplankton and young fish.</ns0:t>
        </ns0:is>
      </ns0:c>
      <ns0:c r="K90" s="6" t="inlineStr">
        <ns0:is>
          <ns0:t>Phytoplankton support food relationships around Dokdo, including links to zooplankton and young fish.</ns0:t>
        </ns0:is>
      </ns0:c>
      <ns0:c r="L90" s="6" t="inlineStr">
        <ns0:is>
          <ns0:t>The selected option, “Seodo’s rock itself”, does not fit. The answer is “Phytoplankton”. Phytoplankton support food relationships around Dokdo, including links to zooplankton and young fish.</ns0:t>
        </ns0:is>
      </ns0:c>
      <ns0:c r="M90" s="6" t="inlineStr">
        <ns0:is>
          <ns0:t>The selected option, “Lighthouse lamps”, does not fit. The answer is “Phytoplankton”. Phytoplankton support food relationships around Dokdo, including links to zooplankton and young fish.</ns0:t>
        </ns0:is>
      </ns0:c>
      <ns0:c r="N90" s="6" t="inlineStr"/>
      <ns0:c r="O90" s="6" t="inlineStr">
        <ns0:is>
          <ns0:t>https://www.dokdo.re.kr/home/cms/cmsCont.do?cntnts_sn=82</ns0:t>
        </ns0:is>
      </ns0:c>
      <ns0:c r="P90" s="3">
        <ns0:f>LEN(E90)+MAX(LEN(F90),LEN(G90),LEN(H90))</ns0:f>
        <ns0:v>73</ns0:v>
      </ns0:c>
      <ns0:c r="Q90" s="7" t="inlineStr">
        <ns0:is>
          <ns0:t>출처 기반 자체 검토 / 독립 승인 전</ns0:t>
        </ns0:is>
      </ns0:c>
    </ns0:row>
    <ns0:row r="91" ht="98" customHeight="1">
      <ns0:c r="A91" s="4" t="n">
        <ns0:v>910090</ns0:v>
      </ns0:c>
      <ns0:c r="B91" s="4" t="n">
        <ns0:v>5</ns0:v>
      </ns0:c>
      <ns0:c r="C91" s="4" t="inlineStr">
        <ns0:is>
          <ns0:t>dk-food-links</ns0:t>
        </ns0:is>
      </ns0:c>
      <ns0:c r="D91" s="4" t="n">
        <ns0:v>2</ns0:v>
      </ns0:c>
      <ns0:c r="E91" s="8" t="inlineStr">
        <ns0:is>
          <ns0:t>What may follow an increase in phytoplankton?</ns0:t>
        </ns0:is>
      </ns0:c>
      <ns0:c r="F91" s="8" t="inlineStr">
        <ns0:is>
          <ns0:t>Dokdo’s area doubling</ns0:t>
        </ns0:is>
      </ns0:c>
      <ns0:c r="G91" s="8" t="inlineStr">
        <ns0:is>
          <ns0:t>The islands acquiring one name</ns0:t>
        </ns0:is>
      </ns0:c>
      <ns0:c r="H91" s="8" t="inlineStr">
        <ns0:is>
          <ns0:t>More food for organisms that eat them</ns0:t>
        </ns0:is>
      </ns0:c>
      <ns0:c r="I91" s="8" t="n">
        <ns0:v>3</ns0:v>
      </ns0:c>
      <ns0:c r="J91" s="8" t="inlineStr">
        <ns0:is>
          <ns0:t>Phytoplankton support food relationships around Dokdo, including links to zooplankton and young fish.</ns0:t>
        </ns0:is>
      </ns0:c>
      <ns0:c r="K91" s="8" t="inlineStr">
        <ns0:is>
          <ns0:t>The selected option, “Dokdo’s area doubling”, does not fit. The answer is “More food for organisms that eat them”. Phytoplankton support food relationships around Dokdo, including links to zooplankton and young fish.</ns0:t>
        </ns0:is>
      </ns0:c>
      <ns0:c r="L91" s="8" t="inlineStr">
        <ns0:is>
          <ns0:t>The selected option, “The islands acquiring one name”, does not fit. The answer is “More food for organisms that eat them”. Phytoplankton support food relationships around Dokdo, including links to zooplankton and young fish.</ns0:t>
        </ns0:is>
      </ns0:c>
      <ns0:c r="M91" s="8" t="inlineStr">
        <ns0:is>
          <ns0:t>Phytoplankton support food relationships around Dokdo, including links to zooplankton and young fish.</ns0:t>
        </ns0:is>
      </ns0:c>
      <ns0:c r="N91" s="8" t="inlineStr"/>
      <ns0:c r="O91" s="8" t="inlineStr">
        <ns0:is>
          <ns0:t>https://www.dokdo.re.kr/home/cms/cmsCont.do?cntnts_sn=82</ns0:t>
        </ns0:is>
      </ns0:c>
      <ns0:c r="P91" s="5">
        <ns0:f>LEN(E91)+MAX(LEN(F91),LEN(G91),LEN(H91))</ns0:f>
        <ns0:v>82</ns0:v>
      </ns0:c>
      <ns0:c r="Q91" s="9" t="inlineStr">
        <ns0:is>
          <ns0:t>출처 기반 자체 검토 / 독립 승인 전</ns0:t>
        </ns0:is>
      </ns0:c>
    </ns0:row>
    <ns0:row r="92" ht="98" customHeight="1">
      <ns0:c r="A92" s="2" t="n">
        <ns0:v>910091</ns0:v>
      </ns0:c>
      <ns0:c r="B92" s="2" t="n">
        <ns0:v>5</ns0:v>
      </ns0:c>
      <ns0:c r="C92" s="2" t="inlineStr">
        <ns0:is>
          <ns0:t>dk-food-links</ns0:t>
        </ns0:is>
      </ns0:c>
      <ns0:c r="D92" s="2" t="n">
        <ns0:v>3</ns0:v>
      </ns0:c>
      <ns0:c r="E92" s="6" t="inlineStr">
        <ns0:is>
          <ns0:t>Which comes next in the supplied food relationship?</ns0:t>
        </ns0:is>
      </ns0:c>
      <ns0:c r="F92" s="6" t="inlineStr">
        <ns0:is>
          <ns0:t>Uldo-gun’s administrative territory</ns0:t>
        </ns0:is>
      </ns0:c>
      <ns0:c r="G92" s="6" t="inlineStr">
        <ns0:is>
          <ns0:t>Food for zooplankton</ns0:t>
        </ns0:is>
      </ns0:c>
      <ns0:c r="H92" s="6" t="inlineStr">
        <ns0:is>
          <ns0:t>Electricity for the lighthouse</ns0:t>
        </ns0:is>
      </ns0:c>
      <ns0:c r="I92" s="6" t="n">
        <ns0:v>2</ns0:v>
      </ns0:c>
      <ns0:c r="J92" s="6" t="inlineStr">
        <ns0:is>
          <ns0:t>Phytoplankton support food relationships around Dokdo, including links to zooplankton and young fish.</ns0:t>
        </ns0:is>
      </ns0:c>
      <ns0:c r="K92" s="6" t="inlineStr">
        <ns0:is>
          <ns0:t>The selected option, “Uldo-gun’s administrative territory”, does not fit. The answer is “Food for zooplankton”. Phytoplankton support food relationships around Dokdo, including links to zooplankton and young fish.</ns0:t>
        </ns0:is>
      </ns0:c>
      <ns0:c r="L92" s="6" t="inlineStr">
        <ns0:is>
          <ns0:t>Phytoplankton support food relationships around Dokdo, including links to zooplankton and young fish.</ns0:t>
        </ns0:is>
      </ns0:c>
      <ns0:c r="M92" s="6" t="inlineStr">
        <ns0:is>
          <ns0:t>The selected option, “Electricity for the lighthouse”, does not fit. The answer is “Food for zooplankton”. Phytoplankton support food relationships around Dokdo, including links to zooplankton and young fish.</ns0:t>
        </ns0:is>
      </ns0:c>
      <ns0:c r="N92" s="6" t="inlineStr">
        <ns0:is>
          <ns0:t>The research account links nutrient supply, phytoplankton growth, zooplankton food and food for young fish. It describes a potential contribution to nursery functions.</ns0:t>
        </ns0:is>
      </ns0:c>
      <ns0:c r="O92" s="6" t="inlineStr">
        <ns0:is>
          <ns0:t>https://www.dokdo.re.kr/home/cms/cmsCont.do?cntnts_sn=82</ns0:t>
        </ns0:is>
      </ns0:c>
      <ns0:c r="P92" s="3">
        <ns0:f>LEN(E92)+MAX(LEN(F92),LEN(G92),LEN(H92))</ns0:f>
        <ns0:v>86</ns0:v>
      </ns0:c>
      <ns0:c r="Q92" s="7" t="inlineStr">
        <ns0:is>
          <ns0:t>출처 기반 자체 검토 / 독립 승인 전</ns0:t>
        </ns0:is>
      </ns0:c>
    </ns0:row>
    <ns0:row r="93" ht="98" customHeight="1">
      <ns0:c r="A93" s="4" t="n">
        <ns0:v>910092</ns0:v>
      </ns0:c>
      <ns0:c r="B93" s="4" t="n">
        <ns0:v>5</ns0:v>
      </ns0:c>
      <ns0:c r="C93" s="4" t="inlineStr">
        <ns0:is>
          <ns0:t>dk-food-links</ns0:t>
        </ns0:is>
      </ns0:c>
      <ns0:c r="D93" s="4" t="n">
        <ns0:v>4</ns0:v>
      </ns0:c>
      <ns0:c r="E93" s="8" t="inlineStr">
        <ns0:is>
          <ns0:t>How should “expected to contribute to nursery functions” be summarised?</ns0:t>
        </ns0:is>
      </ns0:c>
      <ns0:c r="F93" s="8" t="inlineStr">
        <ns0:is>
          <ns0:t>Retain its status as an expected contribution</ns0:t>
        </ns0:is>
      </ns0:c>
      <ns0:c r="G93" s="8" t="inlineStr">
        <ns0:is>
          <ns0:t>Claim every fish population has already doubled</ns0:t>
        </ns0:is>
      </ns0:c>
      <ns0:c r="H93" s="8" t="inlineStr">
        <ns0:is>
          <ns0:t>Discard all observations because the conclusion is qualified</ns0:t>
        </ns0:is>
      </ns0:c>
      <ns0:c r="I93" s="8" t="n">
        <ns0:v>1</ns0:v>
      </ns0:c>
      <ns0:c r="J93" s="8" t="inlineStr">
        <ns0:is>
          <ns0:t>Phytoplankton support food relationships around Dokdo, including links to zooplankton and young fish.</ns0:t>
        </ns0:is>
      </ns0:c>
      <ns0:c r="K93" s="8" t="inlineStr">
        <ns0:is>
          <ns0:t>Phytoplankton support food relationships around Dokdo, including links to zooplankton and young fish.</ns0:t>
        </ns0:is>
      </ns0:c>
      <ns0:c r="L93" s="8" t="inlineStr">
        <ns0:is>
          <ns0:t>The selected option, “Claim every fish population has already doubled”, does not fit. The answer is “Retain its status as an expected contribution”. Phytoplankton support food relationships around Dokdo, including links to zooplankton and young fish.</ns0:t>
        </ns0:is>
      </ns0:c>
      <ns0:c r="M93" s="8" t="inlineStr">
        <ns0:is>
          <ns0:t>The selected option, “Discard all observations because the conclusion is qualified”, does not fit. The answer is “Retain its status as an expected contribution”. Phytoplankton support food relationships around Dokdo, including links to zooplankton and young fish.</ns0:t>
        </ns0:is>
      </ns0:c>
      <ns0:c r="N93" s="8" t="inlineStr">
        <ns0:is>
          <ns0:t>The research account links nutrient supply, phytoplankton growth, zooplankton food and food for young fish. It describes a potential contribution to nursery functions.</ns0:t>
        </ns0:is>
      </ns0:c>
      <ns0:c r="O93" s="8" t="inlineStr">
        <ns0:is>
          <ns0:t>https://www.dokdo.re.kr/home/cms/cmsCont.do?cntnts_sn=82</ns0:t>
        </ns0:is>
      </ns0:c>
      <ns0:c r="P93" s="5">
        <ns0:f>LEN(E93)+MAX(LEN(F93),LEN(G93),LEN(H93))</ns0:f>
        <ns0:v>131</ns0:v>
      </ns0:c>
      <ns0:c r="Q93" s="9" t="inlineStr">
        <ns0:is>
          <ns0:t>출처 기반 자체 검토 / 독립 승인 전</ns0:t>
        </ns0:is>
      </ns0:c>
    </ns0:row>
    <ns0:row r="94" ht="98" customHeight="1">
      <ns0:c r="A94" s="2" t="n">
        <ns0:v>910093</ns0:v>
      </ns0:c>
      <ns0:c r="B94" s="2" t="n">
        <ns0:v>5</ns0:v>
      </ns0:c>
      <ns0:c r="C94" s="2" t="inlineStr">
        <ns0:is>
          <ns0:t>dk-gangchi-history</ns0:t>
        </ns0:is>
      </ns0:c>
      <ns0:c r="D94" s="2" t="n">
        <ns0:v>1</ns0:v>
      </ns0:c>
      <ns0:c r="E94" s="6" t="inlineStr">
        <ns0:is>
          <ns0:t>Which animal formerly lived around Dokdo?</ns0:t>
        </ns0:is>
      </ns0:c>
      <ns0:c r="F94" s="6" t="inlineStr">
        <ns0:is>
          <ns0:t>A freshwater river dolphin</ns0:t>
        </ns0:is>
      </ns0:c>
      <ns0:c r="G94" s="6" t="inlineStr">
        <ns0:is>
          <ns0:t>Fennec fox</ns0:t>
        </ns0:is>
      </ns0:c>
      <ns0:c r="H94" s="6" t="inlineStr">
        <ns0:is>
          <ns0:t>Japanese sea lion</ns0:t>
        </ns0:is>
      </ns0:c>
      <ns0:c r="I94" s="6" t="n">
        <ns0:v>3</ns0:v>
      </ns0:c>
      <ns0:c r="J94" s="6" t="inlineStr">
        <ns0:is>
          <ns0:t>Sea lions once lived on Dokdo. Research explains how excessive hunting contributed greatly to their decline and extinction.</ns0:t>
        </ns0:is>
      </ns0:c>
      <ns0:c r="K94" s="6" t="inlineStr">
        <ns0:is>
          <ns0:t>The selected option, “A freshwater river dolphin”, does not fit. The answer is “Japanese sea lion”. Sea lions once lived on Dokdo. Research explains how excessive hunting contributed greatly to their decline and extinction.</ns0:t>
        </ns0:is>
      </ns0:c>
      <ns0:c r="L94" s="6" t="inlineStr">
        <ns0:is>
          <ns0:t>The selected option, “Fennec fox”, does not fit. The answer is “Japanese sea lion”. Sea lions once lived on Dokdo. Research explains how excessive hunting contributed greatly to their decline and extinction.</ns0:t>
        </ns0:is>
      </ns0:c>
      <ns0:c r="M94" s="6" t="inlineStr">
        <ns0:is>
          <ns0:t>Sea lions once lived on Dokdo. Research explains how excessive hunting contributed greatly to their decline and extinction.</ns0:t>
        </ns0:is>
      </ns0:c>
      <ns0:c r="N94" s="6" t="inlineStr"/>
      <ns0:c r="O94" s="6" t="inlineStr">
        <ns0:is>
          <ns0:t>https://www.mof.go.kr/doc/ko/selectDoc.do?bbsSeq=10&amp;docSeq=45126&amp;menuSeq=971
https://www.mdpi.com/2077-1312/10/2/271</ns0:t>
        </ns0:is>
      </ns0:c>
      <ns0:c r="P94" s="3">
        <ns0:f>LEN(E94)+MAX(LEN(F94),LEN(G94),LEN(H94))</ns0:f>
        <ns0:v>67</ns0:v>
      </ns0:c>
      <ns0:c r="Q94" s="7" t="inlineStr">
        <ns0:is>
          <ns0:t>출처 기반 자체 검토 / 독립 승인 전</ns0:t>
        </ns0:is>
      </ns0:c>
    </ns0:row>
    <ns0:row r="95" ht="98" customHeight="1">
      <ns0:c r="A95" s="4" t="n">
        <ns0:v>910094</ns0:v>
      </ns0:c>
      <ns0:c r="B95" s="4" t="n">
        <ns0:v>5</ns0:v>
      </ns0:c>
      <ns0:c r="C95" s="4" t="inlineStr">
        <ns0:is>
          <ns0:t>dk-gangchi-history</ns0:t>
        </ns0:is>
      </ns0:c>
      <ns0:c r="D95" s="4" t="n">
        <ns0:v>2</ns0:v>
      </ns0:c>
      <ns0:c r="E95" s="8" t="inlineStr">
        <ns0:is>
          <ns0:t>Which human activity did the study link to sea lion decline?</ns0:t>
        </ns0:is>
      </ns0:c>
      <ns0:c r="F95" s="8" t="inlineStr">
        <ns0:is>
          <ns0:t>Cataloguing historical documents</ns0:t>
        </ns0:is>
      </ns0:c>
      <ns0:c r="G95" s="8" t="inlineStr">
        <ns0:is>
          <ns0:t>Excessive hunting</ns0:t>
        </ns0:is>
      </ns0:c>
      <ns0:c r="H95" s="8" t="inlineStr">
        <ns0:is>
          <ns0:t>Measuring island elevation</ns0:t>
        </ns0:is>
      </ns0:c>
      <ns0:c r="I95" s="8" t="n">
        <ns0:v>2</ns0:v>
      </ns0:c>
      <ns0:c r="J95" s="8" t="inlineStr">
        <ns0:is>
          <ns0:t>Sea lions once lived on Dokdo. Research explains how excessive hunting contributed greatly to their decline and extinction.</ns0:t>
        </ns0:is>
      </ns0:c>
      <ns0:c r="K95" s="8" t="inlineStr">
        <ns0:is>
          <ns0:t>The selected option, “Cataloguing historical documents”, does not fit. The answer is “Excessive hunting”. Sea lions once lived on Dokdo. Research explains how excessive hunting contributed greatly to their decline and extinction.</ns0:t>
        </ns0:is>
      </ns0:c>
      <ns0:c r="L95" s="8" t="inlineStr">
        <ns0:is>
          <ns0:t>Sea lions once lived on Dokdo. Research explains how excessive hunting contributed greatly to their decline and extinction.</ns0:t>
        </ns0:is>
      </ns0:c>
      <ns0:c r="M95" s="8" t="inlineStr">
        <ns0:is>
          <ns0:t>The selected option, “Measuring island elevation”, does not fit. The answer is “Excessive hunting”. Sea lions once lived on Dokdo. Research explains how excessive hunting contributed greatly to their decline and extinction.</ns0:t>
        </ns0:is>
      </ns0:c>
      <ns0:c r="N95" s="8" t="inlineStr"/>
      <ns0:c r="O95" s="8" t="inlineStr">
        <ns0:is>
          <ns0:t>https://www.mof.go.kr/doc/ko/selectDoc.do?bbsSeq=10&amp;docSeq=45126&amp;menuSeq=971
https://www.mdpi.com/2077-1312/10/2/271</ns0:t>
        </ns0:is>
      </ns0:c>
      <ns0:c r="P95" s="5">
        <ns0:f>LEN(E95)+MAX(LEN(F95),LEN(G95),LEN(H95))</ns0:f>
        <ns0:v>92</ns0:v>
      </ns0:c>
      <ns0:c r="Q95" s="9" t="inlineStr">
        <ns0:is>
          <ns0:t>출처 기반 자체 검토 / 독립 승인 전</ns0:t>
        </ns0:is>
      </ns0:c>
    </ns0:row>
    <ns0:row r="96" ht="98" customHeight="1">
      <ns0:c r="A96" s="2" t="n">
        <ns0:v>910095</ns0:v>
      </ns0:c>
      <ns0:c r="B96" s="2" t="n">
        <ns0:v>5</ns0:v>
      </ns0:c>
      <ns0:c r="C96" s="2" t="inlineStr">
        <ns0:is>
          <ns0:t>dk-gangchi-history</ns0:t>
        </ns0:is>
      </ns0:c>
      <ns0:c r="D96" s="2" t="n">
        <ns0:v>3</ns0:v>
      </ns0:c>
      <ns0:c r="E96" s="6" t="inlineStr">
        <ns0:is>
          <ns0:t>How did the study examine historical sea lion numbers?</ns0:t>
        </ns0:is>
      </ns0:c>
      <ns0:c r="F96" s="6" t="inlineStr">
        <ns0:is>
          <ns0:t>Capture records and a population model</ns0:t>
        </ns0:is>
      </ns0:c>
      <ns0:c r="G96" s="6" t="inlineStr">
        <ns0:is>
          <ns0:t>Counting all currently living animals</ns0:t>
        </ns0:is>
      </ns0:c>
      <ns0:c r="H96" s="6" t="inlineStr">
        <ns0:is>
          <ns0:t>Counting animals drawn in an app</ns0:t>
        </ns0:is>
      </ns0:c>
      <ns0:c r="I96" s="6" t="n">
        <ns0:v>1</ns0:v>
      </ns0:c>
      <ns0:c r="J96" s="6" t="inlineStr">
        <ns0:is>
          <ns0:t>Sea lions once lived on Dokdo. Research explains how excessive hunting contributed greatly to their decline and extinction.</ns0:t>
        </ns0:is>
      </ns0:c>
      <ns0:c r="K96" s="6" t="inlineStr">
        <ns0:is>
          <ns0:t>Sea lions once lived on Dokdo. Research explains how excessive hunting contributed greatly to their decline and extinction.</ns0:t>
        </ns0:is>
      </ns0:c>
      <ns0:c r="L96" s="6" t="inlineStr">
        <ns0:is>
          <ns0:t>The selected option, “Counting all currently living animals”, does not fit. The answer is “Capture records and a population model”. Sea lions once lived on Dokdo. Research explains how excessive hunting contributed greatly to their decline and extinction.</ns0:t>
        </ns0:is>
      </ns0:c>
      <ns0:c r="M96" s="6" t="inlineStr">
        <ns0:is>
          <ns0:t>The selected option, “Counting animals drawn in an app”, does not fit. The answer is “Capture records and a population model”. Sea lions once lived on Dokdo. Research explains how excessive hunting contributed greatly to their decline and extinction.</ns0:t>
        </ns0:is>
      </ns0:c>
      <ns0:c r="N96" s="6" t="inlineStr">
        <ns0:is>
          <ns0:t>A 2022 study examined hunting pressure using historical capture records and a population model. The focus is Dokdo sea lion history, not memorising present animal counts.</ns0:t>
        </ns0:is>
      </ns0:c>
      <ns0:c r="O96" s="6" t="inlineStr">
        <ns0:is>
          <ns0:t>https://www.mof.go.kr/doc/ko/selectDoc.do?bbsSeq=10&amp;docSeq=45126&amp;menuSeq=971
https://www.mdpi.com/2077-1312/10/2/271</ns0:t>
        </ns0:is>
      </ns0:c>
      <ns0:c r="P96" s="3">
        <ns0:f>LEN(E96)+MAX(LEN(F96),LEN(G96),LEN(H96))</ns0:f>
        <ns0:v>92</ns0:v>
      </ns0:c>
      <ns0:c r="Q96" s="7" t="inlineStr">
        <ns0:is>
          <ns0:t>출처 기반 자체 검토 / 독립 승인 전</ns0:t>
        </ns0:is>
      </ns0:c>
    </ns0:row>
    <ns0:row r="97" ht="98" customHeight="1">
      <ns0:c r="A97" s="4" t="n">
        <ns0:v>910096</ns0:v>
      </ns0:c>
      <ns0:c r="B97" s="4" t="n">
        <ns0:v>5</ns0:v>
      </ns0:c>
      <ns0:c r="C97" s="4" t="inlineStr">
        <ns0:is>
          <ns0:t>dk-gangchi-history</ns0:t>
        </ns0:is>
      </ns0:c>
      <ns0:c r="D97" s="4" t="n">
        <ns0:v>4</ns0:v>
      </ns0:c>
      <ns0:c r="E97" s="8" t="inlineStr">
        <ns0:is>
          <ns0:t>Is “all factors other than hunting are impossible” an accurate summary?</ns0:t>
        </ns0:is>
      </ns0:c>
      <ns0:c r="F97" s="8" t="inlineStr">
        <ns0:is>
          <ns0:t>A hunting study necessarily tested every possible factor</ns0:t>
        </ns0:is>
      </ns0:c>
      <ns0:c r="G97" s="8" t="inlineStr">
        <ns0:is>
          <ns0:t>Historical research can never support a conclusion</ns0:t>
        </ns0:is>
      </ns0:c>
      <ns0:c r="H97" s="8" t="inlineStr">
        <ns0:is>
          <ns0:t>It exceeds the model’s assumptions and unexamined factors</ns0:t>
        </ns0:is>
      </ns0:c>
      <ns0:c r="I97" s="8" t="n">
        <ns0:v>3</ns0:v>
      </ns0:c>
      <ns0:c r="J97" s="8" t="inlineStr">
        <ns0:is>
          <ns0:t>Sea lions once lived on Dokdo. Research explains how excessive hunting contributed greatly to their decline and extinction.</ns0:t>
        </ns0:is>
      </ns0:c>
      <ns0:c r="K97" s="8" t="inlineStr">
        <ns0:is>
          <ns0:t>The selected option, “A hunting study necessarily tested every possible factor”, does not fit. The answer is “It exceeds the model’s assumptions and unexamined factors”. Sea lions once lived on Dokdo. Research explains how excessive hunting contributed greatly to their decline and extinction.</ns0:t>
        </ns0:is>
      </ns0:c>
      <ns0:c r="L97" s="8" t="inlineStr">
        <ns0:is>
          <ns0:t>The selected option, “Historical research can never support a conclusion”, does not fit. The answer is “It exceeds the model’s assumptions and unexamined factors”. Sea lions once lived on Dokdo. Research explains how excessive hunting contributed greatly to their decline and extinction.</ns0:t>
        </ns0:is>
      </ns0:c>
      <ns0:c r="M97" s="8" t="inlineStr">
        <ns0:is>
          <ns0:t>Sea lions once lived on Dokdo. Research explains how excessive hunting contributed greatly to their decline and extinction.</ns0:t>
        </ns0:is>
      </ns0:c>
      <ns0:c r="N97" s="8" t="inlineStr">
        <ns0:is>
          <ns0:t>A 2022 study examined hunting pressure using historical capture records and a population model. The focus is Dokdo sea lion history, not memorising present animal counts.</ns0:t>
        </ns0:is>
      </ns0:c>
      <ns0:c r="O97" s="8" t="inlineStr">
        <ns0:is>
          <ns0:t>https://www.mof.go.kr/doc/ko/selectDoc.do?bbsSeq=10&amp;docSeq=45126&amp;menuSeq=971
https://www.mdpi.com/2077-1312/10/2/271</ns0:t>
        </ns0:is>
      </ns0:c>
      <ns0:c r="P97" s="5">
        <ns0:f>LEN(E97)+MAX(LEN(F97),LEN(G97),LEN(H97))</ns0:f>
        <ns0:v>128</ns0:v>
      </ns0:c>
      <ns0:c r="Q97" s="9" t="inlineStr">
        <ns0:is>
          <ns0:t>출처 기반 자체 검토 / 독립 승인 전</ns0:t>
        </ns0:is>
      </ns0:c>
    </ns0:row>
    <ns0:row r="98" ht="98" customHeight="1">
      <ns0:c r="A98" s="2" t="n">
        <ns0:v>910097</ns0:v>
      </ns0:c>
      <ns0:c r="B98" s="2" t="n">
        <ns0:v>5</ns0:v>
      </ns0:c>
      <ns0:c r="C98" s="2" t="inlineStr">
        <ns0:is>
          <ns0:t>dk-model-evidence</ns0:t>
        </ns0:is>
      </ns0:c>
      <ns0:c r="D98" s="2" t="n">
        <ns0:v>1</ns0:v>
      </ns0:c>
      <ns0:c r="E98" s="6" t="inlineStr">
        <ns0:is>
          <ns0:t>What can help investigate past sea lion numbers?</ns0:t>
        </ns0:is>
      </ns0:c>
      <ns0:c r="F98" s="6" t="inlineStr">
        <ns0:is>
          <ns0:t>Only lighthouse colour names</ns0:t>
        </ns0:is>
      </ns0:c>
      <ns0:c r="G98" s="6" t="inlineStr">
        <ns0:is>
          <ns0:t>Surviving capture records</ns0:t>
        </ns0:is>
      </ns0:c>
      <ns0:c r="H98" s="6" t="inlineStr">
        <ns0:is>
          <ns0:t>Only today’s ferry timetable</ns0:t>
        </ns0:is>
      </ns0:c>
      <ns0:c r="I98" s="6" t="n">
        <ns0:v>2</ns0:v>
      </ns0:c>
      <ns0:c r="J98" s="6" t="inlineStr">
        <ns0:is>
          <ns0:t>Historical sea lion populations can be estimated from surviving records. Modelled estimates must be distinguished from direct counts.</ns0:t>
        </ns0:is>
      </ns0:c>
      <ns0:c r="K98" s="6" t="inlineStr">
        <ns0:is>
          <ns0:t>The selected option, “Only lighthouse colour names”, does not fit. The answer is “Surviving capture records”. Historical sea lion populations can be estimated from surviving records. Modelled estimates must be distinguished from direct counts.</ns0:t>
        </ns0:is>
      </ns0:c>
      <ns0:c r="L98" s="6" t="inlineStr">
        <ns0:is>
          <ns0:t>Historical sea lion populations can be estimated from surviving records. Modelled estimates must be distinguished from direct counts.</ns0:t>
        </ns0:is>
      </ns0:c>
      <ns0:c r="M98" s="6" t="inlineStr">
        <ns0:is>
          <ns0:t>The selected option, “Only today’s ferry timetable”, does not fit. The answer is “Surviving capture records”. Historical sea lion populations can be estimated from surviving records. Modelled estimates must be distinguished from direct counts.</ns0:t>
        </ns0:is>
      </ns0:c>
      <ns0:c r="N98" s="6" t="inlineStr"/>
      <ns0:c r="O98" s="6" t="inlineStr">
        <ns0:is>
          <ns0:t>https://www.mdpi.com/2077-1312/10/2/271</ns0:t>
        </ns0:is>
      </ns0:c>
      <ns0:c r="P98" s="3">
        <ns0:f>LEN(E98)+MAX(LEN(F98),LEN(G98),LEN(H98))</ns0:f>
        <ns0:v>76</ns0:v>
      </ns0:c>
      <ns0:c r="Q98" s="7" t="inlineStr">
        <ns0:is>
          <ns0:t>출처 기반 자체 검토 / 독립 승인 전</ns0:t>
        </ns0:is>
      </ns0:c>
    </ns0:row>
    <ns0:row r="99" ht="98" customHeight="1">
      <ns0:c r="A99" s="4" t="n">
        <ns0:v>910098</ns0:v>
      </ns0:c>
      <ns0:c r="B99" s="4" t="n">
        <ns0:v>5</ns0:v>
      </ns0:c>
      <ns0:c r="C99" s="4" t="inlineStr">
        <ns0:is>
          <ns0:t>dk-model-evidence</ns0:t>
        </ns0:is>
      </ns0:c>
      <ns0:c r="D99" s="4" t="n">
        <ns0:v>2</ns0:v>
      </ns0:c>
      <ns0:c r="E99" s="8" t="inlineStr">
        <ns0:is>
          <ns0:t>What is a sea lion population value obtained from a model?</ns0:t>
        </ns0:is>
      </ns0:c>
      <ns0:c r="F99" s="8" t="inlineStr">
        <ns0:is>
          <ns0:t>An estimate based on records and assumptions</ns0:t>
        </ns0:is>
      </ns0:c>
      <ns0:c r="G99" s="8" t="inlineStr">
        <ns0:is>
          <ns0:t>A direct count of every animal on that day</ns0:t>
        </ns0:is>
      </ns0:c>
      <ns0:c r="H99" s="8" t="inlineStr">
        <ns0:is>
          <ns0:t>An exact coastline length</ns0:t>
        </ns0:is>
      </ns0:c>
      <ns0:c r="I99" s="8" t="n">
        <ns0:v>1</ns0:v>
      </ns0:c>
      <ns0:c r="J99" s="8" t="inlineStr">
        <ns0:is>
          <ns0:t>Historical sea lion populations can be estimated from surviving records. Modelled estimates must be distinguished from direct counts.</ns0:t>
        </ns0:is>
      </ns0:c>
      <ns0:c r="K99" s="8" t="inlineStr">
        <ns0:is>
          <ns0:t>Historical sea lion populations can be estimated from surviving records. Modelled estimates must be distinguished from direct counts.</ns0:t>
        </ns0:is>
      </ns0:c>
      <ns0:c r="L99" s="8" t="inlineStr">
        <ns0:is>
          <ns0:t>The selected option, “A direct count of every animal on that day”, does not fit. The answer is “An estimate based on records and assumptions”. Historical sea lion populations can be estimated from surviving records. Modelled estimates must be distinguished from direct counts.</ns0:t>
        </ns0:is>
      </ns0:c>
      <ns0:c r="M99" s="8" t="inlineStr">
        <ns0:is>
          <ns0:t>The selected option, “An exact coastline length”, does not fit. The answer is “An estimate based on records and assumptions”. Historical sea lion populations can be estimated from surviving records. Modelled estimates must be distinguished from direct counts.</ns0:t>
        </ns0:is>
      </ns0:c>
      <ns0:c r="N99" s="8" t="inlineStr"/>
      <ns0:c r="O99" s="8" t="inlineStr">
        <ns0:is>
          <ns0:t>https://www.mdpi.com/2077-1312/10/2/271</ns0:t>
        </ns0:is>
      </ns0:c>
      <ns0:c r="P99" s="5">
        <ns0:f>LEN(E99)+MAX(LEN(F99),LEN(G99),LEN(H99))</ns0:f>
        <ns0:v>102</ns0:v>
      </ns0:c>
      <ns0:c r="Q99" s="9" t="inlineStr">
        <ns0:is>
          <ns0:t>출처 기반 자체 검토 / 독립 승인 전</ns0:t>
        </ns0:is>
      </ns0:c>
    </ns0:row>
    <ns0:row r="100" ht="98" customHeight="1">
      <ns0:c r="A100" s="2" t="n">
        <ns0:v>910099</ns0:v>
      </ns0:c>
      <ns0:c r="B100" s="2" t="n">
        <ns0:v>5</ns0:v>
      </ns0:c>
      <ns0:c r="C100" s="2" t="inlineStr">
        <ns0:is>
          <ns0:t>dk-model-evidence</ns0:t>
        </ns0:is>
      </ns0:c>
      <ns0:c r="D100" s="2" t="n">
        <ns0:v>3</ns0:v>
      </ns0:c>
      <ns0:c r="E100" s="6" t="inlineStr">
        <ns0:is>
          <ns0:t>Which limitation is acknowledged in the source?</ns0:t>
        </ns0:is>
      </ns0:c>
      <ns0:c r="F100" s="6" t="inlineStr">
        <ns0:is>
          <ns0:t>No capture records were used</ns0:t>
        </ns0:is>
      </ns0:c>
      <ns0:c r="G100" s="6" t="inlineStr">
        <ns0:is>
          <ns0:t>Only modern vessel lengths were studied</ns0:t>
        </ns0:is>
      </ns0:c>
      <ns0:c r="H100" s="6" t="inlineStr">
        <ns0:is>
          <ns0:t>Limited ecological information and model assumptions</ns0:t>
        </ns0:is>
      </ns0:c>
      <ns0:c r="I100" s="6" t="n">
        <ns0:v>3</ns0:v>
      </ns0:c>
      <ns0:c r="J100" s="6" t="inlineStr">
        <ns0:is>
          <ns0:t>Historical sea lion populations can be estimated from surviving records. Modelled estimates must be distinguished from direct counts.</ns0:t>
        </ns0:is>
      </ns0:c>
      <ns0:c r="K100" s="6" t="inlineStr">
        <ns0:is>
          <ns0:t>The selected option, “No capture records were used”, does not fit. The answer is “Limited ecological information and model assumptions”. Historical sea lion populations can be estimated from surviving records. Modelled estimates must be distinguished from direct counts.</ns0:t>
        </ns0:is>
      </ns0:c>
      <ns0:c r="L100" s="6" t="inlineStr">
        <ns0:is>
          <ns0:t>The selected option, “Only modern vessel lengths were studied”, does not fit. The answer is “Limited ecological information and model assumptions”. Historical sea lion populations can be estimated from surviving records. Modelled estimates must be distinguished from direct counts.</ns0:t>
        </ns0:is>
      </ns0:c>
      <ns0:c r="M100" s="6" t="inlineStr">
        <ns0:is>
          <ns0:t>Historical sea lion populations can be estimated from surviving records. Modelled estimates must be distinguished from direct counts.</ns0:t>
        </ns0:is>
      </ns0:c>
      <ns0:c r="N100" s="6" t="inlineStr">
        <ns0:is>
          <ns0:t>Lee and colleagues (2022) reconstructed Dokdo sea lion populations for 1900–1951 using capture records and a population model. They acknowledge limited ecological information and modelling assumptions.</ns0:t>
        </ns0:is>
      </ns0:c>
      <ns0:c r="O100" s="6" t="inlineStr">
        <ns0:is>
          <ns0:t>https://www.mdpi.com/2077-1312/10/2/271</ns0:t>
        </ns0:is>
      </ns0:c>
      <ns0:c r="P100" s="3">
        <ns0:f>LEN(E100)+MAX(LEN(F100),LEN(G100),LEN(H100))</ns0:f>
        <ns0:v>99</ns0:v>
      </ns0:c>
      <ns0:c r="Q100" s="7" t="inlineStr">
        <ns0:is>
          <ns0:t>출처 기반 자체 검토 / 독립 승인 전</ns0:t>
        </ns0:is>
      </ns0:c>
    </ns0:row>
    <ns0:row r="101" ht="98" customHeight="1">
      <ns0:c r="A101" s="4" t="n">
        <ns0:v>910100</ns0:v>
      </ns0:c>
      <ns0:c r="B101" s="4" t="n">
        <ns0:v>5</ns0:v>
      </ns0:c>
      <ns0:c r="C101" s="4" t="inlineStr">
        <ns0:is>
          <ns0:t>dk-model-evidence</ns0:t>
        </ns0:is>
      </ns0:c>
      <ns0:c r="D101" s="4" t="n">
        <ns0:v>4</ns0:v>
      </ns0:c>
      <ns0:c r="E101" s="8" t="inlineStr">
        <ns0:is>
          <ns0:t>What happens if a model estimate is presented as a direct confirmed count?</ns0:t>
        </ns0:is>
      </ns0:c>
      <ns0:c r="F101" s="8" t="inlineStr">
        <ns0:is>
          <ns0:t>Estimates can never be used in historical research</ns0:t>
        </ns0:is>
      </ns0:c>
      <ns0:c r="G101" s="8" t="inlineStr">
        <ns0:is>
          <ns0:t>It hides the type of evidence and its uncertainty</ns0:t>
        </ns0:is>
      </ns0:c>
      <ns0:c r="H101" s="8" t="inlineStr">
        <ns0:is>
          <ns0:t>Models necessarily have no error</ns0:t>
        </ns0:is>
      </ns0:c>
      <ns0:c r="I101" s="8" t="n">
        <ns0:v>2</ns0:v>
      </ns0:c>
      <ns0:c r="J101" s="8" t="inlineStr">
        <ns0:is>
          <ns0:t>Historical sea lion populations can be estimated from surviving records. Modelled estimates must be distinguished from direct counts.</ns0:t>
        </ns0:is>
      </ns0:c>
      <ns0:c r="K101" s="8" t="inlineStr">
        <ns0:is>
          <ns0:t>The selected option, “Estimates can never be used in historical research”, does not fit. The answer is “It hides the type of evidence and its uncertainty”. Historical sea lion populations can be estimated from surviving records. Modelled estimates must be distinguished from direct counts.</ns0:t>
        </ns0:is>
      </ns0:c>
      <ns0:c r="L101" s="8" t="inlineStr">
        <ns0:is>
          <ns0:t>Historical sea lion populations can be estimated from surviving records. Modelled estimates must be distinguished from direct counts.</ns0:t>
        </ns0:is>
      </ns0:c>
      <ns0:c r="M101" s="8" t="inlineStr">
        <ns0:is>
          <ns0:t>The selected option, “Models necessarily have no error”, does not fit. The answer is “It hides the type of evidence and its uncertainty”. Historical sea lion populations can be estimated from surviving records. Modelled estimates must be distinguished from direct counts.</ns0:t>
        </ns0:is>
      </ns0:c>
      <ns0:c r="N101" s="8" t="inlineStr">
        <ns0:is>
          <ns0:t>Lee and colleagues (2022) reconstructed Dokdo sea lion populations for 1900–1951 using capture records and a population model. They acknowledge limited ecological information and modelling assumptions.</ns0:t>
        </ns0:is>
      </ns0:c>
      <ns0:c r="O101" s="8" t="inlineStr">
        <ns0:is>
          <ns0:t>https://www.mdpi.com/2077-1312/10/2/271</ns0:t>
        </ns0:is>
      </ns0:c>
      <ns0:c r="P101" s="5">
        <ns0:f>LEN(E101)+MAX(LEN(F101),LEN(G101),LEN(H101))</ns0:f>
        <ns0:v>124</ns0:v>
      </ns0:c>
      <ns0:c r="Q101" s="9" t="inlineStr">
        <ns0:is>
          <ns0:t>출처 기반 자체 검토 / 독립 승인 전</ns0:t>
        </ns0:is>
      </ns0:c>
    </ns0:row>
    <ns0:row r="102" ht="98" customHeight="1">
      <ns0:c r="A102" s="2" t="n">
        <ns0:v>910101</ns0:v>
      </ns0:c>
      <ns0:c r="B102" s="2" t="n">
        <ns0:v>6</ns0:v>
      </ns0:c>
      <ns0:c r="C102" s="2" t="inlineStr">
        <ns0:is>
          <ns0:t>dk-lighthouse</ns0:t>
        </ns0:is>
      </ns0:c>
      <ns0:c r="D102" s="2" t="n">
        <ns0:v>1</ns0:v>
      </ns0:c>
      <ns0:c r="E102" s="6" t="inlineStr">
        <ns0:is>
          <ns0:t>Which island contains the Dokdo lighthouse?</ns0:t>
        </ns0:is>
      </ns0:c>
      <ns0:c r="F102" s="6" t="inlineStr">
        <ns0:is>
          <ns0:t>Dongdo</ns0:t>
        </ns0:is>
      </ns0:c>
      <ns0:c r="G102" s="6" t="inlineStr">
        <ns0:is>
          <ns0:t>Seodo</ns0:t>
        </ns0:is>
      </ns0:c>
      <ns0:c r="H102" s="6" t="inlineStr">
        <ns0:is>
          <ns0:t>Ulleungdo</ns0:t>
        </ns0:is>
      </ns0:c>
      <ns0:c r="I102" s="6" t="n">
        <ns0:v>1</ns0:v>
      </ns0:c>
      <ns0:c r="J102" s="6" t="inlineStr">
        <ns0:is>
          <ns0:t>The Dokdo lighthouse is on Dongdo and helps vessels recognise their location at sea.</ns0:t>
        </ns0:is>
      </ns0:c>
      <ns0:c r="K102" s="6" t="inlineStr">
        <ns0:is>
          <ns0:t>The Dokdo lighthouse is on Dongdo and helps vessels recognise their location at sea.</ns0:t>
        </ns0:is>
      </ns0:c>
      <ns0:c r="L102" s="6" t="inlineStr">
        <ns0:is>
          <ns0:t>The selected option, “Seodo”, does not fit. The answer is “Dongdo”. The Dokdo lighthouse is on Dongdo and helps vessels recognise their location at sea.</ns0:t>
        </ns0:is>
      </ns0:c>
      <ns0:c r="M102" s="6" t="inlineStr">
        <ns0:is>
          <ns0:t>The selected option, “Ulleungdo”, does not fit. The answer is “Dongdo”. The Dokdo lighthouse is on Dongdo and helps vessels recognise their location at sea.</ns0:t>
        </ns0:is>
      </ns0:c>
      <ns0:c r="N102" s="6" t="inlineStr"/>
      <ns0:c r="O102" s="6" t="inlineStr">
        <ns0:is>
          <ns0:t>https://dokdo.mofa.go.kr/kor/introduce/facility.jsp</ns0:t>
        </ns0:is>
      </ns0:c>
      <ns0:c r="P102" s="3">
        <ns0:f>LEN(E102)+MAX(LEN(F102),LEN(G102),LEN(H102))</ns0:f>
        <ns0:v>52</ns0:v>
      </ns0:c>
      <ns0:c r="Q102" s="7" t="inlineStr">
        <ns0:is>
          <ns0:t>출처 기반 자체 검토 / 독립 승인 전</ns0:t>
        </ns0:is>
      </ns0:c>
    </ns0:row>
    <ns0:row r="103" ht="98" customHeight="1">
      <ns0:c r="A103" s="4" t="n">
        <ns0:v>910102</ns0:v>
      </ns0:c>
      <ns0:c r="B103" s="4" t="n">
        <ns0:v>6</ns0:v>
      </ns0:c>
      <ns0:c r="C103" s="4" t="inlineStr">
        <ns0:is>
          <ns0:t>dk-lighthouse</ns0:t>
        </ns0:is>
      </ns0:c>
      <ns0:c r="D103" s="4" t="n">
        <ns0:v>2</ns0:v>
      </ns0:c>
      <ns0:c r="E103" s="8" t="inlineStr">
        <ns0:is>
          <ns0:t>What role is linked to the Dokdo lighthouse?</ns0:t>
        </ns0:is>
      </ns0:c>
      <ns0:c r="F103" s="8" t="inlineStr">
        <ns0:is>
          <ns0:t>Storing Mulgol’s water</ns0:t>
        </ns0:is>
      </ns0:c>
      <ns0:c r="G103" s="8" t="inlineStr">
        <ns0:is>
          <ns0:t>Scheduling bird migration</ns0:t>
        </ns0:is>
      </ns0:c>
      <ns0:c r="H103" s="8" t="inlineStr">
        <ns0:is>
          <ns0:t>Helping vessels recognise location</ns0:t>
        </ns0:is>
      </ns0:c>
      <ns0:c r="I103" s="8" t="n">
        <ns0:v>3</ns0:v>
      </ns0:c>
      <ns0:c r="J103" s="8" t="inlineStr">
        <ns0:is>
          <ns0:t>The Dokdo lighthouse is on Dongdo and helps vessels recognise their location at sea.</ns0:t>
        </ns0:is>
      </ns0:c>
      <ns0:c r="K103" s="8" t="inlineStr">
        <ns0:is>
          <ns0:t>The selected option, “Storing Mulgol’s water”, does not fit. The answer is “Helping vessels recognise location”. The Dokdo lighthouse is on Dongdo and helps vessels recognise their location at sea.</ns0:t>
        </ns0:is>
      </ns0:c>
      <ns0:c r="L103" s="8" t="inlineStr">
        <ns0:is>
          <ns0:t>The selected option, “Scheduling bird migration”, does not fit. The answer is “Helping vessels recognise location”. The Dokdo lighthouse is on Dongdo and helps vessels recognise their location at sea.</ns0:t>
        </ns0:is>
      </ns0:c>
      <ns0:c r="M103" s="8" t="inlineStr">
        <ns0:is>
          <ns0:t>The Dokdo lighthouse is on Dongdo and helps vessels recognise their location at sea.</ns0:t>
        </ns0:is>
      </ns0:c>
      <ns0:c r="N103" s="8" t="inlineStr"/>
      <ns0:c r="O103" s="8" t="inlineStr">
        <ns0:is>
          <ns0:t>https://dokdo.mofa.go.kr/kor/introduce/facility.jsp</ns0:t>
        </ns0:is>
      </ns0:c>
      <ns0:c r="P103" s="5">
        <ns0:f>LEN(E103)+MAX(LEN(F103),LEN(G103),LEN(H103))</ns0:f>
        <ns0:v>78</ns0:v>
      </ns0:c>
      <ns0:c r="Q103" s="9" t="inlineStr">
        <ns0:is>
          <ns0:t>출처 기반 자체 검토 / 독립 승인 전</ns0:t>
        </ns0:is>
      </ns0:c>
    </ns0:row>
    <ns0:row r="104" ht="98" customHeight="1">
      <ns0:c r="A104" s="2" t="n">
        <ns0:v>910103</ns0:v>
      </ns0:c>
      <ns0:c r="B104" s="2" t="n">
        <ns0:v>6</ns0:v>
      </ns0:c>
      <ns0:c r="C104" s="2" t="inlineStr">
        <ns0:is>
          <ns0:t>dk-lighthouse</ns0:t>
        </ns0:is>
      </ns0:c>
      <ns0:c r="D104" s="2" t="n">
        <ns0:v>3</ns0:v>
      </ns0:c>
      <ns0:c r="E104" s="6" t="inlineStr">
        <ns0:is>
          <ns0:t>Which reading of the two facility dates is correct?</ns0:t>
        </ns0:is>
      </ns0:c>
      <ns0:c r="F104" s="6" t="inlineStr">
        <ns0:is>
          <ns0:t>Both date the formation of the volcano</ns0:t>
        </ns0:is>
      </ns0:c>
      <ns0:c r="G104" s="6" t="inlineStr">
        <ns0:is>
          <ns0:t>Installed in 1954; enlarged and staffed in 1998</ns0:t>
        </ns0:is>
      </ns0:c>
      <ns0:c r="H104" s="6" t="inlineStr">
        <ns0:is>
          <ns0:t>Installed in 1998; enlarged in 1954</ns0:t>
        </ns0:is>
      </ns0:c>
      <ns0:c r="I104" s="6" t="n">
        <ns0:v>2</ns0:v>
      </ns0:c>
      <ns0:c r="J104" s="6" t="inlineStr">
        <ns0:is>
          <ns0:t>The Dokdo lighthouse is on Dongdo and helps vessels recognise their location at sea.</ns0:t>
        </ns0:is>
      </ns0:c>
      <ns0:c r="K104" s="6" t="inlineStr">
        <ns0:is>
          <ns0:t>The selected option, “Both date the formation of the volcano”, does not fit. The answer is “Installed in 1954; enlarged and staffed in 1998”. The Dokdo lighthouse is on Dongdo and helps vessels recognise their location at sea.</ns0:t>
        </ns0:is>
      </ns0:c>
      <ns0:c r="L104" s="6" t="inlineStr">
        <ns0:is>
          <ns0:t>The Dokdo lighthouse is on Dongdo and helps vessels recognise their location at sea.</ns0:t>
        </ns0:is>
      </ns0:c>
      <ns0:c r="M104" s="6" t="inlineStr">
        <ns0:is>
          <ns0:t>The selected option, “Installed in 1998; enlarged in 1954”, does not fit. The answer is “Installed in 1954; enlarged and staffed in 1998”. The Dokdo lighthouse is on Dongdo and helps vessels recognise their location at sea.</ns0:t>
        </ns0:is>
      </ns0:c>
      <ns0:c r="N104" s="6" t="inlineStr">
        <ns0:is>
          <ns0:t>MOFA facility information gives first installation in August 1954 and enlargement and manning in December 1998. The tower’s 15 m height is not Dongdo’s whole elevation.</ns0:t>
        </ns0:is>
      </ns0:c>
      <ns0:c r="O104" s="6" t="inlineStr">
        <ns0:is>
          <ns0:t>https://dokdo.mofa.go.kr/kor/introduce/facility.jsp</ns0:t>
        </ns0:is>
      </ns0:c>
      <ns0:c r="P104" s="3">
        <ns0:f>LEN(E104)+MAX(LEN(F104),LEN(G104),LEN(H104))</ns0:f>
        <ns0:v>98</ns0:v>
      </ns0:c>
      <ns0:c r="Q104" s="7" t="inlineStr">
        <ns0:is>
          <ns0:t>출처 기반 자체 검토 / 독립 승인 전</ns0:t>
        </ns0:is>
      </ns0:c>
    </ns0:row>
    <ns0:row r="105" ht="98" customHeight="1">
      <ns0:c r="A105" s="4" t="n">
        <ns0:v>910104</ns0:v>
      </ns0:c>
      <ns0:c r="B105" s="4" t="n">
        <ns0:v>6</ns0:v>
      </ns0:c>
      <ns0:c r="C105" s="4" t="inlineStr">
        <ns0:is>
          <ns0:t>dk-lighthouse</ns0:t>
        </ns0:is>
      </ns0:c>
      <ns0:c r="D105" s="4" t="n">
        <ns0:v>4</ns0:v>
      </ns0:c>
      <ns0:c r="E105" s="8" t="inlineStr">
        <ns0:is>
          <ns0:t>What is wrong with using the tower’s 15 m as Dongdo’s elevation?</ns0:t>
        </ns0:is>
      </ns0:c>
      <ns0:c r="F105" s="8" t="inlineStr">
        <ns0:is>
          <ns0:t>It confuses tower height with island elevation</ns0:t>
        </ns0:is>
      </ns0:c>
      <ns0:c r="G105" s="8" t="inlineStr">
        <ns0:is>
          <ns0:t>Every facility equals the island’s entire height</ns0:t>
        </ns0:is>
      </ns0:c>
      <ns0:c r="H105" s="8" t="inlineStr">
        <ns0:is>
          <ns0:t>The lighthouse makes island elevation irrelevant</ns0:t>
        </ns0:is>
      </ns0:c>
      <ns0:c r="I105" s="8" t="n">
        <ns0:v>1</ns0:v>
      </ns0:c>
      <ns0:c r="J105" s="8" t="inlineStr">
        <ns0:is>
          <ns0:t>The Dokdo lighthouse is on Dongdo and helps vessels recognise their location at sea.</ns0:t>
        </ns0:is>
      </ns0:c>
      <ns0:c r="K105" s="8" t="inlineStr">
        <ns0:is>
          <ns0:t>The Dokdo lighthouse is on Dongdo and helps vessels recognise their location at sea.</ns0:t>
        </ns0:is>
      </ns0:c>
      <ns0:c r="L105" s="8" t="inlineStr">
        <ns0:is>
          <ns0:t>The selected option, “Every facility equals the island’s entire height”, does not fit. The answer is “It confuses tower height with island elevation”. The Dokdo lighthouse is on Dongdo and helps vessels recognise their location at sea.</ns0:t>
        </ns0:is>
      </ns0:c>
      <ns0:c r="M105" s="8" t="inlineStr">
        <ns0:is>
          <ns0:t>The selected option, “The lighthouse makes island elevation irrelevant”, does not fit. The answer is “It confuses tower height with island elevation”. The Dokdo lighthouse is on Dongdo and helps vessels recognise their location at sea.</ns0:t>
        </ns0:is>
      </ns0:c>
      <ns0:c r="N105" s="8" t="inlineStr">
        <ns0:is>
          <ns0:t>MOFA facility information gives first installation in August 1954 and enlargement and manning in December 1998. The tower’s 15 m height is not Dongdo’s whole elevation.</ns0:t>
        </ns0:is>
      </ns0:c>
      <ns0:c r="O105" s="8" t="inlineStr">
        <ns0:is>
          <ns0:t>https://dokdo.mofa.go.kr/kor/introduce/facility.jsp</ns0:t>
        </ns0:is>
      </ns0:c>
      <ns0:c r="P105" s="5">
        <ns0:f>LEN(E105)+MAX(LEN(F105),LEN(G105),LEN(H105))</ns0:f>
        <ns0:v>112</ns0:v>
      </ns0:c>
      <ns0:c r="Q105" s="9" t="inlineStr">
        <ns0:is>
          <ns0:t>출처 기반 자체 검토 / 독립 승인 전</ns0:t>
        </ns0:is>
      </ns0:c>
    </ns0:row>
    <ns0:row r="106" ht="98" customHeight="1">
      <ns0:c r="A106" s="2" t="n">
        <ns0:v>910105</ns0:v>
      </ns0:c>
      <ns0:c r="B106" s="2" t="n">
        <ns0:v>6</ns0:v>
      </ns0:c>
      <ns0:c r="C106" s="2" t="inlineStr">
        <ns0:is>
          <ns0:t>dk-dock</ns0:t>
        </ns0:is>
      </ns0:c>
      <ns0:c r="D106" s="2" t="n">
        <ns0:v>1</ns0:v>
      </ns0:c>
      <ns0:c r="E106" s="6" t="inlineStr">
        <ns0:is>
          <ns0:t>Which Dongdo facility receives boats?</ns0:t>
        </ns0:is>
      </ns0:c>
      <ns0:c r="F106" s="6" t="inlineStr">
        <ns0:is>
          <ns0:t>The helipad</ns0:t>
        </ns0:is>
      </ns0:c>
      <ns0:c r="G106" s="6" t="inlineStr">
        <ns0:is>
          <ns0:t>Mulgol</ns0:t>
        </ns0:is>
      </ns0:c>
      <ns0:c r="H106" s="6" t="inlineStr">
        <ns0:is>
          <ns0:t>The landing dock</ns0:t>
        </ns0:is>
      </ns0:c>
      <ns0:c r="I106" s="6" t="n">
        <ns0:v>3</ns0:v>
      </ns0:c>
      <ns0:c r="J106" s="6" t="inlineStr">
        <ns0:is>
          <ns0:t>Dokdo’s docking facility is on Dongdo. The landing point is distinct from facilities higher up the island.</ns0:t>
        </ns0:is>
      </ns0:c>
      <ns0:c r="K106" s="6" t="inlineStr">
        <ns0:is>
          <ns0:t>The selected option, “The helipad”, does not fit. The answer is “The landing dock”. Dokdo’s docking facility is on Dongdo. The landing point is distinct from facilities higher up the island.</ns0:t>
        </ns0:is>
      </ns0:c>
      <ns0:c r="L106" s="6" t="inlineStr">
        <ns0:is>
          <ns0:t>The selected option, “Mulgol”, does not fit. The answer is “The landing dock”. Dokdo’s docking facility is on Dongdo. The landing point is distinct from facilities higher up the island.</ns0:t>
        </ns0:is>
      </ns0:c>
      <ns0:c r="M106" s="6" t="inlineStr">
        <ns0:is>
          <ns0:t>Dokdo’s docking facility is on Dongdo. The landing point is distinct from facilities higher up the island.</ns0:t>
        </ns0:is>
      </ns0:c>
      <ns0:c r="N106" s="6" t="inlineStr"/>
      <ns0:c r="O106" s="6" t="inlineStr">
        <ns0:is>
          <ns0:t>https://dokdo.mofa.go.kr/kor/introduce/facility.jsp
https://dokdo.mofa.go.kr/kor/introduce/residence.jsp</ns0:t>
        </ns0:is>
      </ns0:c>
      <ns0:c r="P106" s="3">
        <ns0:f>LEN(E106)+MAX(LEN(F106),LEN(G106),LEN(H106))</ns0:f>
        <ns0:v>53</ns0:v>
      </ns0:c>
      <ns0:c r="Q106" s="7" t="inlineStr">
        <ns0:is>
          <ns0:t>출처 기반 자체 검토 / 독립 승인 전</ns0:t>
        </ns0:is>
      </ns0:c>
    </ns0:row>
    <ns0:row r="107" ht="98" customHeight="1">
      <ns0:c r="A107" s="4" t="n">
        <ns0:v>910106</ns0:v>
      </ns0:c>
      <ns0:c r="B107" s="4" t="n">
        <ns0:v>6</ns0:v>
      </ns0:c>
      <ns0:c r="C107" s="4" t="inlineStr">
        <ns0:is>
          <ns0:t>dk-dock</ns0:t>
        </ns0:is>
      </ns0:c>
      <ns0:c r="D107" s="4" t="n">
        <ns0:v>2</ns0:v>
      </ns0:c>
      <ns0:c r="E107" s="8" t="inlineStr">
        <ns0:is>
          <ns0:t>Which pairing correctly distinguishes dock and lighthouse?</ns0:t>
        </ns0:is>
      </ns0:c>
      <ns0:c r="F107" s="8" t="inlineStr">
        <ns0:is>
          <ns0:t>Both are helicopter landing sites</ns0:t>
        </ns0:is>
      </ns0:c>
      <ns0:c r="G107" s="8" t="inlineStr">
        <ns0:is>
          <ns0:t>Dock = landing; lighthouse = navigation aid</ns0:t>
        </ns0:is>
      </ns0:c>
      <ns0:c r="H107" s="8" t="inlineStr">
        <ns0:is>
          <ns0:t>Dock = bird nest; lighthouse = water source</ns0:t>
        </ns0:is>
      </ns0:c>
      <ns0:c r="I107" s="8" t="n">
        <ns0:v>2</ns0:v>
      </ns0:c>
      <ns0:c r="J107" s="8" t="inlineStr">
        <ns0:is>
          <ns0:t>Dokdo’s docking facility is on Dongdo. The landing point is distinct from facilities higher up the island.</ns0:t>
        </ns0:is>
      </ns0:c>
      <ns0:c r="K107" s="8" t="inlineStr">
        <ns0:is>
          <ns0:t>The selected option, “Both are helicopter landing sites”, does not fit. The answer is “Dock = landing; lighthouse = navigation aid”. Dokdo’s docking facility is on Dongdo. The landing point is distinct from facilities higher up the island.</ns0:t>
        </ns0:is>
      </ns0:c>
      <ns0:c r="L107" s="8" t="inlineStr">
        <ns0:is>
          <ns0:t>Dokdo’s docking facility is on Dongdo. The landing point is distinct from facilities higher up the island.</ns0:t>
        </ns0:is>
      </ns0:c>
      <ns0:c r="M107" s="8" t="inlineStr">
        <ns0:is>
          <ns0:t>The selected option, “Dock = bird nest; lighthouse = water source”, does not fit. The answer is “Dock = landing; lighthouse = navigation aid”. Dokdo’s docking facility is on Dongdo. The landing point is distinct from facilities higher up the island.</ns0:t>
        </ns0:is>
      </ns0:c>
      <ns0:c r="N107" s="8" t="inlineStr"/>
      <ns0:c r="O107" s="8" t="inlineStr">
        <ns0:is>
          <ns0:t>https://dokdo.mofa.go.kr/kor/introduce/facility.jsp
https://dokdo.mofa.go.kr/kor/introduce/residence.jsp</ns0:t>
        </ns0:is>
      </ns0:c>
      <ns0:c r="P107" s="5">
        <ns0:f>LEN(E107)+MAX(LEN(F107),LEN(G107),LEN(H107))</ns0:f>
        <ns0:v>101</ns0:v>
      </ns0:c>
      <ns0:c r="Q107" s="9" t="inlineStr">
        <ns0:is>
          <ns0:t>출처 기반 자체 검토 / 독립 승인 전</ns0:t>
        </ns0:is>
      </ns0:c>
    </ns0:row>
    <ns0:row r="108" ht="98" customHeight="1">
      <ns0:c r="A108" s="2" t="n">
        <ns0:v>910107</ns0:v>
      </ns0:c>
      <ns0:c r="B108" s="2" t="n">
        <ns0:v>6</ns0:v>
      </ns0:c>
      <ns0:c r="C108" s="2" t="inlineStr">
        <ns0:is>
          <ns0:t>dk-dock</ns0:t>
        </ns0:is>
      </ns0:c>
      <ns0:c r="D108" s="2" t="n">
        <ns0:v>3</ns0:v>
      </ns0:c>
      <ns0:c r="E108" s="6" t="inlineStr">
        <ns0:is>
          <ns0:t>What ordinary viewing area does the guidance identify?</ns0:t>
        </ns0:is>
      </ns0:c>
      <ns0:c r="F108" s="6" t="inlineStr">
        <ns0:is>
          <ns0:t>Dongdo’s landing area</ns0:t>
        </ns0:is>
      </ns0:c>
      <ns0:c r="G108" s="6" t="inlineStr">
        <ns0:is>
          <ns0:t>All of Seodo’s summit</ns0:t>
        </ns0:is>
      </ns0:c>
      <ns0:c r="H108" s="6" t="inlineStr">
        <ns0:is>
          <ns0:t>Inside every cave on Dokdo</ns0:t>
        </ns0:is>
      </ns0:c>
      <ns0:c r="I108" s="6" t="n">
        <ns0:v>1</ns0:v>
      </ns0:c>
      <ns0:c r="J108" s="6" t="inlineStr">
        <ns0:is>
          <ns0:t>Dokdo’s docking facility is on Dongdo. The landing point is distinct from facilities higher up the island.</ns0:t>
        </ns0:is>
      </ns0:c>
      <ns0:c r="K108" s="6" t="inlineStr">
        <ns0:is>
          <ns0:t>Dokdo’s docking facility is on Dongdo. The landing point is distinct from facilities higher up the island.</ns0:t>
        </ns0:is>
      </ns0:c>
      <ns0:c r="L108" s="6" t="inlineStr">
        <ns0:is>
          <ns0:t>The selected option, “All of Seodo’s summit”, does not fit. The answer is “Dongdo’s landing area”. Dokdo’s docking facility is on Dongdo. The landing point is distinct from facilities higher up the island.</ns0:t>
        </ns0:is>
      </ns0:c>
      <ns0:c r="M108" s="6" t="inlineStr">
        <ns0:is>
          <ns0:t>The selected option, “Inside every cave on Dokdo”, does not fit. The answer is “Dongdo’s landing area”. Dokdo’s docking facility is on Dongdo. The landing point is distinct from facilities higher up the island.</ns0:t>
        </ns0:is>
      </ns0:c>
      <ns0:c r="N108" s="6" t="inlineStr">
        <ns0:is>
          <ns0:t>MOFA lists Dongdo’s docking facility separately from its ascent path. Ordinary visits are limited to the Dongdo landing area and can be restricted by weather or vessel conditions. Checked 2026-09-11.</ns0:t>
        </ns0:is>
      </ns0:c>
      <ns0:c r="O108" s="6" t="inlineStr">
        <ns0:is>
          <ns0:t>https://dokdo.mofa.go.kr/kor/introduce/facility.jsp
https://dokdo.mofa.go.kr/kor/introduce/residence.jsp</ns0:t>
        </ns0:is>
      </ns0:c>
      <ns0:c r="P108" s="3">
        <ns0:f>LEN(E108)+MAX(LEN(F108),LEN(G108),LEN(H108))</ns0:f>
        <ns0:v>80</ns0:v>
      </ns0:c>
      <ns0:c r="Q108" s="7" t="inlineStr">
        <ns0:is>
          <ns0:t>출처 기반 자체 검토 / 독립 승인 전</ns0:t>
        </ns0:is>
      </ns0:c>
    </ns0:row>
    <ns0:row r="109" ht="98" customHeight="1">
      <ns0:c r="A109" s="4" t="n">
        <ns0:v>910108</ns0:v>
      </ns0:c>
      <ns0:c r="B109" s="4" t="n">
        <ns0:v>6</ns0:v>
      </ns0:c>
      <ns0:c r="C109" s="4" t="inlineStr">
        <ns0:is>
          <ns0:t>dk-dock</ns0:t>
        </ns0:is>
      </ns0:c>
      <ns0:c r="D109" s="4" t="n">
        <ns0:v>4</ns0:v>
      </ns0:c>
      <ns0:c r="E109" s="8" t="inlineStr">
        <ns0:is>
          <ns0:t>Does landing at the dock imply unrestricted access to the summit?</ns0:t>
        </ns0:is>
      </ns0:c>
      <ns0:c r="F109" s="8" t="inlineStr">
        <ns0:is>
          <ns0:t>Landing opens every facility to visitors</ns0:t>
        </ns0:is>
      </ns0:c>
      <ns0:c r="G109" s="8" t="inlineStr">
        <ns0:is>
          <ns0:t>A lighthouse photo grants access permission</ns0:t>
        </ns0:is>
      </ns0:c>
      <ns0:c r="H109" s="8" t="inlineStr">
        <ns0:is>
          <ns0:t>No; permitted areas and authorisations differ</ns0:t>
        </ns0:is>
      </ns0:c>
      <ns0:c r="I109" s="8" t="n">
        <ns0:v>3</ns0:v>
      </ns0:c>
      <ns0:c r="J109" s="8" t="inlineStr">
        <ns0:is>
          <ns0:t>Dokdo’s docking facility is on Dongdo. The landing point is distinct from facilities higher up the island.</ns0:t>
        </ns0:is>
      </ns0:c>
      <ns0:c r="K109" s="8" t="inlineStr">
        <ns0:is>
          <ns0:t>The selected option, “Landing opens every facility to visitors”, does not fit. The answer is “No; permitted areas and authorisations differ”. Dokdo’s docking facility is on Dongdo. The landing point is distinct from facilities higher up the island.</ns0:t>
        </ns0:is>
      </ns0:c>
      <ns0:c r="L109" s="8" t="inlineStr">
        <ns0:is>
          <ns0:t>The selected option, “A lighthouse photo grants access permission”, does not fit. The answer is “No; permitted areas and authorisations differ”. Dokdo’s docking facility is on Dongdo. The landing point is distinct from facilities higher up the island.</ns0:t>
        </ns0:is>
      </ns0:c>
      <ns0:c r="M109" s="8" t="inlineStr">
        <ns0:is>
          <ns0:t>Dokdo’s docking facility is on Dongdo. The landing point is distinct from facilities higher up the island.</ns0:t>
        </ns0:is>
      </ns0:c>
      <ns0:c r="N109" s="8" t="inlineStr">
        <ns0:is>
          <ns0:t>MOFA lists Dongdo’s docking facility separately from its ascent path. Ordinary visits are limited to the Dongdo landing area and can be restricted by weather or vessel conditions. Checked 2026-09-11.</ns0:t>
        </ns0:is>
      </ns0:c>
      <ns0:c r="O109" s="8" t="inlineStr">
        <ns0:is>
          <ns0:t>https://dokdo.mofa.go.kr/kor/introduce/facility.jsp
https://dokdo.mofa.go.kr/kor/introduce/residence.jsp</ns0:t>
        </ns0:is>
      </ns0:c>
      <ns0:c r="P109" s="5">
        <ns0:f>LEN(E109)+MAX(LEN(F109),LEN(G109),LEN(H109))</ns0:f>
        <ns0:v>110</ns0:v>
      </ns0:c>
      <ns0:c r="Q109" s="9" t="inlineStr">
        <ns0:is>
          <ns0:t>출처 기반 자체 검토 / 독립 승인 전</ns0:t>
        </ns0:is>
      </ns0:c>
    </ns0:row>
    <ns0:row r="110" ht="98" customHeight="1">
      <ns0:c r="A110" s="2" t="n">
        <ns0:v>910109</ns0:v>
      </ns0:c>
      <ns0:c r="B110" s="2" t="n">
        <ns0:v>6</ns0:v>
      </ns0:c>
      <ns0:c r="C110" s="2" t="inlineStr">
        <ns0:is>
          <ns0:t>dk-residence</ns0:t>
        </ns0:is>
      </ns0:c>
      <ns0:c r="D110" s="2" t="n">
        <ns0:v>1</ns0:v>
      </ns0:c>
      <ns0:c r="E110" s="6" t="inlineStr">
        <ns0:is>
          <ns0:t>Which main island has residents’ accommodation?</ns0:t>
        </ns0:is>
      </ns0:c>
      <ns0:c r="F110" s="6" t="inlineStr">
        <ns0:is>
          <ns0:t>The Oki Islands</ns0:t>
        </ns0:is>
      </ns0:c>
      <ns0:c r="G110" s="6" t="inlineStr">
        <ns0:is>
          <ns0:t>Seodo</ns0:t>
        </ns0:is>
      </ns0:c>
      <ns0:c r="H110" s="6" t="inlineStr">
        <ns0:is>
          <ns0:t>Dongdo</ns0:t>
        </ns0:is>
      </ns0:c>
      <ns0:c r="I110" s="6" t="n">
        <ns0:v>2</ns0:v>
      </ns0:c>
      <ns0:c r="J110" s="6" t="inlineStr">
        <ns0:is>
          <ns0:t>Seodo has residents’ accommodation. Dokdo can be studied through both its natural environment and human life and management.</ns0:t>
        </ns0:is>
      </ns0:c>
      <ns0:c r="K110" s="6" t="inlineStr">
        <ns0:is>
          <ns0:t>The selected option, “The Oki Islands”, does not fit. The answer is “Seodo”. Seodo has residents’ accommodation. Dokdo can be studied through both its natural environment and human life and management.</ns0:t>
        </ns0:is>
      </ns0:c>
      <ns0:c r="L110" s="6" t="inlineStr">
        <ns0:is>
          <ns0:t>Seodo has residents’ accommodation. Dokdo can be studied through both its natural environment and human life and management.</ns0:t>
        </ns0:is>
      </ns0:c>
      <ns0:c r="M110" s="6" t="inlineStr">
        <ns0:is>
          <ns0:t>The selected option, “Dongdo”, does not fit. The answer is “Seodo”. Seodo has residents’ accommodation. Dokdo can be studied through both its natural environment and human life and management.</ns0:t>
        </ns0:is>
      </ns0:c>
      <ns0:c r="N110" s="6" t="inlineStr"/>
      <ns0:c r="O110" s="6" t="inlineStr">
        <ns0:is>
          <ns0:t>https://dokdo.mofa.go.kr/kor/introduce/facility.jsp</ns0:t>
        </ns0:is>
      </ns0:c>
      <ns0:c r="P110" s="3">
        <ns0:f>LEN(E110)+MAX(LEN(F110),LEN(G110),LEN(H110))</ns0:f>
        <ns0:v>62</ns0:v>
      </ns0:c>
      <ns0:c r="Q110" s="7" t="inlineStr">
        <ns0:is>
          <ns0:t>출처 기반 자체 검토 / 독립 승인 전</ns0:t>
        </ns0:is>
      </ns0:c>
    </ns0:row>
    <ns0:row r="111" ht="98" customHeight="1">
      <ns0:c r="A111" s="4" t="n">
        <ns0:v>910110</ns0:v>
      </ns0:c>
      <ns0:c r="B111" s="4" t="n">
        <ns0:v>6</ns0:v>
      </ns0:c>
      <ns0:c r="C111" s="4" t="inlineStr">
        <ns0:is>
          <ns0:t>dk-residence</ns0:t>
        </ns0:is>
      </ns0:c>
      <ns0:c r="D111" s="4" t="n">
        <ns0:v>2</ns0:v>
      </ns0:c>
      <ns0:c r="E111" s="8" t="inlineStr">
        <ns0:is>
          <ns0:t>Which island–facility pairing is correct?</ns0:t>
        </ns0:is>
      </ns0:c>
      <ns0:c r="F111" s="8" t="inlineStr">
        <ns0:is>
          <ns0:t>Seodo = residence; Dongdo = lighthouse</ns0:t>
        </ns0:is>
      </ns0:c>
      <ns0:c r="G111" s="8" t="inlineStr">
        <ns0:is>
          <ns0:t>Seodo = lighthouse; Dongdo = Mulgol</ns0:t>
        </ns0:is>
      </ns0:c>
      <ns0:c r="H111" s="8" t="inlineStr">
        <ns0:is>
          <ns0:t>Neither island has facilities</ns0:t>
        </ns0:is>
      </ns0:c>
      <ns0:c r="I111" s="8" t="n">
        <ns0:v>1</ns0:v>
      </ns0:c>
      <ns0:c r="J111" s="8" t="inlineStr">
        <ns0:is>
          <ns0:t>Seodo has residents’ accommodation. Dokdo can be studied through both its natural environment and human life and management.</ns0:t>
        </ns0:is>
      </ns0:c>
      <ns0:c r="K111" s="8" t="inlineStr">
        <ns0:is>
          <ns0:t>Seodo has residents’ accommodation. Dokdo can be studied through both its natural environment and human life and management.</ns0:t>
        </ns0:is>
      </ns0:c>
      <ns0:c r="L111" s="8" t="inlineStr">
        <ns0:is>
          <ns0:t>The selected option, “Seodo = lighthouse; Dongdo = Mulgol”, does not fit. The answer is “Seodo = residence; Dongdo = lighthouse”. Seodo has residents’ accommodation. Dokdo can be studied through both its natural environment and human life and management.</ns0:t>
        </ns0:is>
      </ns0:c>
      <ns0:c r="M111" s="8" t="inlineStr">
        <ns0:is>
          <ns0:t>The selected option, “Neither island has facilities”, does not fit. The answer is “Seodo = residence; Dongdo = lighthouse”. Seodo has residents’ accommodation. Dokdo can be studied through both its natural environment and human life and management.</ns0:t>
        </ns0:is>
      </ns0:c>
      <ns0:c r="N111" s="8" t="inlineStr"/>
      <ns0:c r="O111" s="8" t="inlineStr">
        <ns0:is>
          <ns0:t>https://dokdo.mofa.go.kr/kor/introduce/facility.jsp</ns0:t>
        </ns0:is>
      </ns0:c>
      <ns0:c r="P111" s="5">
        <ns0:f>LEN(E111)+MAX(LEN(F111),LEN(G111),LEN(H111))</ns0:f>
        <ns0:v>79</ns0:v>
      </ns0:c>
      <ns0:c r="Q111" s="9" t="inlineStr">
        <ns0:is>
          <ns0:t>출처 기반 자체 검토 / 독립 승인 전</ns0:t>
        </ns0:is>
      </ns0:c>
    </ns0:row>
    <ns0:row r="112" ht="98" customHeight="1">
      <ns0:c r="A112" s="2" t="n">
        <ns0:v>910111</ns0:v>
      </ns0:c>
      <ns0:c r="B112" s="2" t="n">
        <ns0:v>6</ns0:v>
      </ns0:c>
      <ns0:c r="C112" s="2" t="inlineStr">
        <ns0:is>
          <ns0:t>dk-residence</ns0:t>
        </ns0:is>
      </ns0:c>
      <ns0:c r="D112" s="2" t="n">
        <ns0:v>3</ns0:v>
      </ns0:c>
      <ns0:c r="E112" s="6" t="inlineStr">
        <ns0:is>
          <ns0:t>Which two accommodations does the source distinguish?</ns0:t>
        </ns0:is>
      </ns0:c>
      <ns0:c r="F112" s="6" t="inlineStr">
        <ns0:is>
          <ns0:t>Dongdo’s residence and Ulleungdo’s police accommodation</ns0:t>
        </ns0:is>
      </ns0:c>
      <ns0:c r="G112" s="6" t="inlineStr">
        <ns0:is>
          <ns0:t>Seodo’s lighthouse and Dongdo’s Mulgol</ns0:t>
        </ns0:is>
      </ns0:c>
      <ns0:c r="H112" s="6" t="inlineStr">
        <ns0:is>
          <ns0:t>Seodo’s residence and Dongdo’s police accommodation</ns0:t>
        </ns0:is>
      </ns0:c>
      <ns0:c r="I112" s="6" t="n">
        <ns0:v>3</ns0:v>
      </ns0:c>
      <ns0:c r="J112" s="6" t="inlineStr">
        <ns0:is>
          <ns0:t>Seodo has residents’ accommodation. Dokdo can be studied through both its natural environment and human life and management.</ns0:t>
        </ns0:is>
      </ns0:c>
      <ns0:c r="K112" s="6" t="inlineStr">
        <ns0:is>
          <ns0:t>The selected option, “Dongdo’s residence and Ulleungdo’s police accommodation”, does not fit. The answer is “Seodo’s residence and Dongdo’s police accommodation”. Seodo has residents’ accommodation. Dokdo can be studied through both its natural environment and human life and management.</ns0:t>
        </ns0:is>
      </ns0:c>
      <ns0:c r="L112" s="6" t="inlineStr">
        <ns0:is>
          <ns0:t>The selected option, “Seodo’s lighthouse and Dongdo’s Mulgol”, does not fit. The answer is “Seodo’s residence and Dongdo’s police accommodation”. Seodo has residents’ accommodation. Dokdo can be studied through both its natural environment and human life and management.</ns0:t>
        </ns0:is>
      </ns0:c>
      <ns0:c r="M112" s="6" t="inlineStr">
        <ns0:is>
          <ns0:t>Seodo has residents’ accommodation. Dokdo can be studied through both its natural environment and human life and management.</ns0:t>
        </ns0:is>
      </ns0:c>
      <ns0:c r="N112" s="6" t="inlineStr">
        <ns0:is>
          <ns0:t>The MOFA facility guide distinguishes Seodo’s residents’ accommodation from Dongdo’s police accommodation. A building’s existence and the number of people living there on a given date are separate facts.</ns0:t>
        </ns0:is>
      </ns0:c>
      <ns0:c r="O112" s="6" t="inlineStr">
        <ns0:is>
          <ns0:t>https://dokdo.mofa.go.kr/kor/introduce/facility.jsp</ns0:t>
        </ns0:is>
      </ns0:c>
      <ns0:c r="P112" s="3">
        <ns0:f>LEN(E112)+MAX(LEN(F112),LEN(G112),LEN(H112))</ns0:f>
        <ns0:v>108</ns0:v>
      </ns0:c>
      <ns0:c r="Q112" s="7" t="inlineStr">
        <ns0:is>
          <ns0:t>출처 기반 자체 검토 / 독립 승인 전</ns0:t>
        </ns0:is>
      </ns0:c>
    </ns0:row>
    <ns0:row r="113" ht="98" customHeight="1">
      <ns0:c r="A113" s="4" t="n">
        <ns0:v>910112</ns0:v>
      </ns0:c>
      <ns0:c r="B113" s="4" t="n">
        <ns0:v>6</ns0:v>
      </ns0:c>
      <ns0:c r="C113" s="4" t="inlineStr">
        <ns0:is>
          <ns0:t>dk-residence</ns0:t>
        </ns0:is>
      </ns0:c>
      <ns0:c r="D113" s="4" t="n">
        <ns0:v>4</ns0:v>
      </ns0:c>
      <ns0:c r="E113" s="8" t="inlineStr">
        <ns0:is>
          <ns0:t>Can a building photo establish today’s resident count?</ns0:t>
        </ns0:is>
      </ns0:c>
      <ns0:c r="F113" s="8" t="inlineStr">
        <ns0:is>
          <ns0:t>An accommodation always holds the same number of people</ns0:t>
        </ns0:is>
      </ns0:c>
      <ns0:c r="G113" s="8" t="inlineStr">
        <ns0:is>
          <ns0:t>Its date and separate population information are needed</ns0:t>
        </ns0:is>
      </ns0:c>
      <ns0:c r="H113" s="8" t="inlineStr">
        <ns0:is>
          <ns0:t>Window count equals current population</ns0:t>
        </ns0:is>
      </ns0:c>
      <ns0:c r="I113" s="8" t="n">
        <ns0:v>2</ns0:v>
      </ns0:c>
      <ns0:c r="J113" s="8" t="inlineStr">
        <ns0:is>
          <ns0:t>Seodo has residents’ accommodation. Dokdo can be studied through both its natural environment and human life and management.</ns0:t>
        </ns0:is>
      </ns0:c>
      <ns0:c r="K113" s="8" t="inlineStr">
        <ns0:is>
          <ns0:t>The selected option, “An accommodation always holds the same number of people”, does not fit. The answer is “Its date and separate population information are needed”. Seodo has residents’ accommodation. Dokdo can be studied through both its natural environment and human life and management.</ns0:t>
        </ns0:is>
      </ns0:c>
      <ns0:c r="L113" s="8" t="inlineStr">
        <ns0:is>
          <ns0:t>Seodo has residents’ accommodation. Dokdo can be studied through both its natural environment and human life and management.</ns0:t>
        </ns0:is>
      </ns0:c>
      <ns0:c r="M113" s="8" t="inlineStr">
        <ns0:is>
          <ns0:t>The selected option, “Window count equals current population”, does not fit. The answer is “Its date and separate population information are needed”. Seodo has residents’ accommodation. Dokdo can be studied through both its natural environment and human life and management.</ns0:t>
        </ns0:is>
      </ns0:c>
      <ns0:c r="N113" s="8" t="inlineStr">
        <ns0:is>
          <ns0:t>The MOFA facility guide distinguishes Seodo’s residents’ accommodation from Dongdo’s police accommodation. A building’s existence and the number of people living there on a given date are separate facts.</ns0:t>
        </ns0:is>
      </ns0:c>
      <ns0:c r="O113" s="8" t="inlineStr">
        <ns0:is>
          <ns0:t>https://dokdo.mofa.go.kr/kor/introduce/facility.jsp</ns0:t>
        </ns0:is>
      </ns0:c>
      <ns0:c r="P113" s="5">
        <ns0:f>LEN(E113)+MAX(LEN(F113),LEN(G113),LEN(H113))</ns0:f>
        <ns0:v>109</ns0:v>
      </ns0:c>
      <ns0:c r="Q113" s="9" t="inlineStr">
        <ns0:is>
          <ns0:t>출처 기반 자체 검토 / 독립 승인 전</ns0:t>
        </ns0:is>
      </ns0:c>
    </ns0:row>
    <ns0:row r="114" ht="98" customHeight="1">
      <ns0:c r="A114" s="2" t="n">
        <ns0:v>910113</ns0:v>
      </ns0:c>
      <ns0:c r="B114" s="2" t="n">
        <ns0:v>6</ns0:v>
      </ns0:c>
      <ns0:c r="C114" s="2" t="inlineStr">
        <ns0:is>
          <ns0:t>dk-freshwater</ns0:t>
        </ns0:is>
      </ns0:c>
      <ns0:c r="D114" s="2" t="n">
        <ns0:v>1</ns0:v>
      </ns0:c>
      <ns0:c r="E114" s="6" t="inlineStr">
        <ns0:is>
          <ns0:t>Which facility helps provide water for life on Dokdo?</ns0:t>
        </ns0:is>
      </ns0:c>
      <ns0:c r="F114" s="6" t="inlineStr">
        <ns0:is>
          <ns0:t>Desalination facilities</ns0:t>
        </ns0:is>
      </ns0:c>
      <ns0:c r="G114" s="6" t="inlineStr">
        <ns0:is>
          <ns0:t>Helipad markings</ns0:t>
        </ns0:is>
      </ns0:c>
      <ns0:c r="H114" s="6" t="inlineStr">
        <ns0:is>
          <ns0:t>A commemorative stone</ns0:t>
        </ns0:is>
      </ns0:c>
      <ns0:c r="I114" s="6" t="n">
        <ns0:v>1</ns0:v>
      </ns0:c>
      <ns0:c r="J114" s="6" t="inlineStr">
        <ns0:is>
          <ns0:t>Life on Dokdo requires fresh water. Facility information includes equipment that converts seawater for use.</ns0:t>
        </ns0:is>
      </ns0:c>
      <ns0:c r="K114" s="6" t="inlineStr">
        <ns0:is>
          <ns0:t>Life on Dokdo requires fresh water. Facility information includes equipment that converts seawater for use.</ns0:t>
        </ns0:is>
      </ns0:c>
      <ns0:c r="L114" s="6" t="inlineStr">
        <ns0:is>
          <ns0:t>The selected option, “Helipad markings”, does not fit. The answer is “Desalination facilities”. Life on Dokdo requires fresh water. Facility information includes equipment that converts seawater for use.</ns0:t>
        </ns0:is>
      </ns0:c>
      <ns0:c r="M114" s="6" t="inlineStr">
        <ns0:is>
          <ns0:t>The selected option, “A commemorative stone”, does not fit. The answer is “Desalination facilities”. Life on Dokdo requires fresh water. Facility information includes equipment that converts seawater for use.</ns0:t>
        </ns0:is>
      </ns0:c>
      <ns0:c r="N114" s="6" t="inlineStr"/>
      <ns0:c r="O114" s="6" t="inlineStr">
        <ns0:is>
          <ns0:t>https://dokdo.mofa.go.kr/kor/introduce/facility.jsp
https://www.dokdo.re.kr/home/cms/cmsCont.do?cntnts_sn=66</ns0:t>
        </ns0:is>
      </ns0:c>
      <ns0:c r="P114" s="3">
        <ns0:f>LEN(E114)+MAX(LEN(F114),LEN(G114),LEN(H114))</ns0:f>
        <ns0:v>76</ns0:v>
      </ns0:c>
      <ns0:c r="Q114" s="7" t="inlineStr">
        <ns0:is>
          <ns0:t>출처 기반 자체 검토 / 독립 승인 전</ns0:t>
        </ns0:is>
      </ns0:c>
    </ns0:row>
    <ns0:row r="115" ht="98" customHeight="1">
      <ns0:c r="A115" s="4" t="n">
        <ns0:v>910114</ns0:v>
      </ns0:c>
      <ns0:c r="B115" s="4" t="n">
        <ns0:v>6</ns0:v>
      </ns0:c>
      <ns0:c r="C115" s="4" t="inlineStr">
        <ns0:is>
          <ns0:t>dk-freshwater</ns0:t>
        </ns0:is>
      </ns0:c>
      <ns0:c r="D115" s="4" t="n">
        <ns0:v>2</ns0:v>
      </ns0:c>
      <ns0:c r="E115" s="8" t="inlineStr">
        <ns0:is>
          <ns0:t>What does desalination equipment help do?</ns0:t>
        </ns0:is>
      </ns0:c>
      <ns0:c r="F115" s="8" t="inlineStr">
        <ns0:is>
          <ns0:t>Move Seodo to Dongdo</ns0:t>
        </ns0:is>
      </ns0:c>
      <ns0:c r="G115" s="8" t="inlineStr">
        <ns0:is>
          <ns0:t>Measure lighthouse height</ns0:t>
        </ns0:is>
      </ns0:c>
      <ns0:c r="H115" s="8" t="inlineStr">
        <ns0:is>
          <ns0:t>Obtain usable fresh water from seawater</ns0:t>
        </ns0:is>
      </ns0:c>
      <ns0:c r="I115" s="8" t="n">
        <ns0:v>3</ns0:v>
      </ns0:c>
      <ns0:c r="J115" s="8" t="inlineStr">
        <ns0:is>
          <ns0:t>Life on Dokdo requires fresh water. Facility information includes equipment that converts seawater for use.</ns0:t>
        </ns0:is>
      </ns0:c>
      <ns0:c r="K115" s="8" t="inlineStr">
        <ns0:is>
          <ns0:t>The selected option, “Move Seodo to Dongdo”, does not fit. The answer is “Obtain usable fresh water from seawater”. Life on Dokdo requires fresh water. Facility information includes equipment that converts seawater for use.</ns0:t>
        </ns0:is>
      </ns0:c>
      <ns0:c r="L115" s="8" t="inlineStr">
        <ns0:is>
          <ns0:t>The selected option, “Measure lighthouse height”, does not fit. The answer is “Obtain usable fresh water from seawater”. Life on Dokdo requires fresh water. Facility information includes equipment that converts seawater for use.</ns0:t>
        </ns0:is>
      </ns0:c>
      <ns0:c r="M115" s="8" t="inlineStr">
        <ns0:is>
          <ns0:t>Life on Dokdo requires fresh water. Facility information includes equipment that converts seawater for use.</ns0:t>
        </ns0:is>
      </ns0:c>
      <ns0:c r="N115" s="8" t="inlineStr"/>
      <ns0:c r="O115" s="8" t="inlineStr">
        <ns0:is>
          <ns0:t>https://dokdo.mofa.go.kr/kor/introduce/facility.jsp
https://www.dokdo.re.kr/home/cms/cmsCont.do?cntnts_sn=66</ns0:t>
        </ns0:is>
      </ns0:c>
      <ns0:c r="P115" s="5">
        <ns0:f>LEN(E115)+MAX(LEN(F115),LEN(G115),LEN(H115))</ns0:f>
        <ns0:v>80</ns0:v>
      </ns0:c>
      <ns0:c r="Q115" s="9" t="inlineStr">
        <ns0:is>
          <ns0:t>출처 기반 자체 검토 / 독립 승인 전</ns0:t>
        </ns0:is>
      </ns0:c>
    </ns0:row>
    <ns0:row r="116" ht="98" customHeight="1">
      <ns0:c r="A116" s="2" t="n">
        <ns0:v>910115</ns0:v>
      </ns0:c>
      <ns0:c r="B116" s="2" t="n">
        <ns0:v>6</ns0:v>
      </ns0:c>
      <ns0:c r="C116" s="2" t="inlineStr">
        <ns0:is>
          <ns0:t>dk-freshwater</ns0:t>
        </ns0:is>
      </ns0:c>
      <ns0:c r="D116" s="2" t="n">
        <ns0:v>3</ns0:v>
      </ns0:c>
      <ns0:c r="E116" s="6" t="inlineStr">
        <ns0:is>
          <ns0:t>What can be learned by comparing Mulgol and desalination facilities?</ns0:t>
        </ns0:is>
      </ns0:c>
      <ns0:c r="F116" s="6" t="inlineStr">
        <ns0:is>
          <ns0:t>Why the main islands became equal in area</ns0:t>
        </ns0:is>
      </ns0:c>
      <ns0:c r="G116" s="6" t="inlineStr">
        <ns0:is>
          <ns0:t>Changes in how water has been obtained on Dokdo</ns0:t>
        </ns0:is>
      </ns0:c>
      <ns0:c r="H116" s="6" t="inlineStr">
        <ns0:is>
          <ns0:t>When the sea disappeared around Dokdo</ns0:t>
        </ns0:is>
      </ns0:c>
      <ns0:c r="I116" s="6" t="n">
        <ns0:v>2</ns0:v>
      </ns0:c>
      <ns0:c r="J116" s="6" t="inlineStr">
        <ns0:is>
          <ns0:t>Life on Dokdo requires fresh water. Facility information includes equipment that converts seawater for use.</ns0:t>
        </ns0:is>
      </ns0:c>
      <ns0:c r="K116" s="6" t="inlineStr">
        <ns0:is>
          <ns0:t>The selected option, “Why the main islands became equal in area”, does not fit. The answer is “Changes in how water has been obtained on Dokdo”. Life on Dokdo requires fresh water. Facility information includes equipment that converts seawater for use.</ns0:t>
        </ns0:is>
      </ns0:c>
      <ns0:c r="L116" s="6" t="inlineStr">
        <ns0:is>
          <ns0:t>Life on Dokdo requires fresh water. Facility information includes equipment that converts seawater for use.</ns0:t>
        </ns0:is>
      </ns0:c>
      <ns0:c r="M116" s="6" t="inlineStr">
        <ns0:is>
          <ns0:t>The selected option, “When the sea disappeared around Dokdo”, does not fit. The answer is “Changes in how water has been obtained on Dokdo”. Life on Dokdo requires fresh water. Facility information includes equipment that converts seawater for use.</ns0:t>
        </ns0:is>
      </ns0:c>
      <ns0:c r="N116" s="6" t="inlineStr">
        <ns0:is>
          <ns0:t>MOFA describes desalination equipment at Seodo’s residence and Dongdo’s police facility. Comparing this with historical Mulgol use shows changes in water provision.</ns0:t>
        </ns0:is>
      </ns0:c>
      <ns0:c r="O116" s="6" t="inlineStr">
        <ns0:is>
          <ns0:t>https://dokdo.mofa.go.kr/kor/introduce/facility.jsp
https://www.dokdo.re.kr/home/cms/cmsCont.do?cntnts_sn=66</ns0:t>
        </ns0:is>
      </ns0:c>
      <ns0:c r="P116" s="3">
        <ns0:f>LEN(E116)+MAX(LEN(F116),LEN(G116),LEN(H116))</ns0:f>
        <ns0:v>115</ns0:v>
      </ns0:c>
      <ns0:c r="Q116" s="7" t="inlineStr">
        <ns0:is>
          <ns0:t>출처 기반 자체 검토 / 독립 승인 전</ns0:t>
        </ns0:is>
      </ns0:c>
    </ns0:row>
    <ns0:row r="117" ht="98" customHeight="1">
      <ns0:c r="A117" s="4" t="n">
        <ns0:v>910116</ns0:v>
      </ns0:c>
      <ns0:c r="B117" s="4" t="n">
        <ns0:v>6</ns0:v>
      </ns0:c>
      <ns0:c r="C117" s="4" t="inlineStr">
        <ns0:is>
          <ns0:t>dk-freshwater</ns0:t>
        </ns0:is>
      </ns0:c>
      <ns0:c r="D117" s="4" t="n">
        <ns0:v>4</ns0:v>
      </ns0:c>
      <ns0:c r="E117" s="8" t="inlineStr">
        <ns0:is>
          <ns0:t>Does rated daily production equal actual daily use?</ns0:t>
        </ns0:is>
      </ns0:c>
      <ns0:c r="F117" s="8" t="inlineStr">
        <ns0:is>
          <ns0:t>Production capacity and actual use are distinct</ns0:t>
        </ns0:is>
      </ns0:c>
      <ns0:c r="G117" s="8" t="inlineStr">
        <ns0:is>
          <ns0:t>Every number in facility information means the same thing</ns0:t>
        </ns0:is>
      </ns0:c>
      <ns0:c r="H117" s="8" t="inlineStr">
        <ns0:is>
          <ns0:t>Adding island elevation gives water consumption</ns0:t>
        </ns0:is>
      </ns0:c>
      <ns0:c r="I117" s="8" t="n">
        <ns0:v>1</ns0:v>
      </ns0:c>
      <ns0:c r="J117" s="8" t="inlineStr">
        <ns0:is>
          <ns0:t>Life on Dokdo requires fresh water. Facility information includes equipment that converts seawater for use.</ns0:t>
        </ns0:is>
      </ns0:c>
      <ns0:c r="K117" s="8" t="inlineStr">
        <ns0:is>
          <ns0:t>Life on Dokdo requires fresh water. Facility information includes equipment that converts seawater for use.</ns0:t>
        </ns0:is>
      </ns0:c>
      <ns0:c r="L117" s="8" t="inlineStr">
        <ns0:is>
          <ns0:t>The selected option, “Every number in facility information means the same thing”, does not fit. The answer is “Production capacity and actual use are distinct”. Life on Dokdo requires fresh water. Facility information includes equipment that converts seawater for use.</ns0:t>
        </ns0:is>
      </ns0:c>
      <ns0:c r="M117" s="8" t="inlineStr">
        <ns0:is>
          <ns0:t>The selected option, “Adding island elevation gives water consumption”, does not fit. The answer is “Production capacity and actual use are distinct”. Life on Dokdo requires fresh water. Facility information includes equipment that converts seawater for use.</ns0:t>
        </ns0:is>
      </ns0:c>
      <ns0:c r="N117" s="8" t="inlineStr">
        <ns0:is>
          <ns0:t>MOFA describes desalination equipment at Seodo’s residence and Dongdo’s police facility. Comparing this with historical Mulgol use shows changes in water provision.</ns0:t>
        </ns0:is>
      </ns0:c>
      <ns0:c r="O117" s="8" t="inlineStr">
        <ns0:is>
          <ns0:t>https://dokdo.mofa.go.kr/kor/introduce/facility.jsp
https://www.dokdo.re.kr/home/cms/cmsCont.do?cntnts_sn=66</ns0:t>
        </ns0:is>
      </ns0:c>
      <ns0:c r="P117" s="5">
        <ns0:f>LEN(E117)+MAX(LEN(F117),LEN(G117),LEN(H117))</ns0:f>
        <ns0:v>108</ns0:v>
      </ns0:c>
      <ns0:c r="Q117" s="9" t="inlineStr">
        <ns0:is>
          <ns0:t>출처 기반 자체 검토 / 독립 승인 전</ns0:t>
        </ns0:is>
      </ns0:c>
    </ns0:row>
    <ns0:row r="118" ht="98" customHeight="1">
      <ns0:c r="A118" s="2" t="n">
        <ns0:v>910117</ns0:v>
      </ns0:c>
      <ns0:c r="B118" s="2" t="n">
        <ns0:v>6</ns0:v>
      </ns0:c>
      <ns0:c r="C118" s="2" t="inlineStr">
        <ns0:is>
          <ns0:t>dk-routes</ns0:t>
        </ns0:is>
      </ns0:c>
      <ns0:c r="D118" s="2" t="n">
        <ns0:v>1</ns0:v>
      </ns0:c>
      <ns0:c r="E118" s="6" t="inlineStr">
        <ns0:is>
          <ns0:t>What links the dock with higher parts of Dongdo?</ns0:t>
        </ns0:is>
      </ns0:c>
      <ns0:c r="F118" s="6" t="inlineStr">
        <ns0:is>
          <ns0:t>A road to Ulleungdo</ns0:t>
        </ns0:is>
      </ns0:c>
      <ns0:c r="G118" s="6" t="inlineStr">
        <ns0:is>
          <ns0:t>A freshwater river from Mulgol</ns0:t>
        </ns0:is>
      </ns0:c>
      <ns0:c r="H118" s="6" t="inlineStr">
        <ns0:is>
          <ns0:t>An ascent path</ns0:t>
        </ns0:is>
      </ns0:c>
      <ns0:c r="I118" s="6" t="n">
        <ns0:v>3</ns0:v>
      </ns0:c>
      <ns0:c r="J118" s="6" t="inlineStr">
        <ns0:is>
          <ns0:t>Dongdo has a route from the dock to facilities above. A straight-line distance in a picture can differ from the length of the actual route.</ns0:t>
        </ns0:is>
      </ns0:c>
      <ns0:c r="K118" s="6" t="inlineStr">
        <ns0:is>
          <ns0:t>The selected option, “A road to Ulleungdo”, does not fit. The answer is “An ascent path”. Dongdo has a route from the dock to facilities above. A straight-line distance in a picture can differ from the length of the actual route.</ns0:t>
        </ns0:is>
      </ns0:c>
      <ns0:c r="L118" s="6" t="inlineStr">
        <ns0:is>
          <ns0:t>The selected option, “A freshwater river from Mulgol”, does not fit. The answer is “An ascent path”. Dongdo has a route from the dock to facilities above. A straight-line distance in a picture can differ from the length of the actual route.</ns0:t>
        </ns0:is>
      </ns0:c>
      <ns0:c r="M118" s="6" t="inlineStr">
        <ns0:is>
          <ns0:t>Dongdo has a route from the dock to facilities above. A straight-line distance in a picture can differ from the length of the actual route.</ns0:t>
        </ns0:is>
      </ns0:c>
      <ns0:c r="N118" s="6" t="inlineStr"/>
      <ns0:c r="O118" s="6" t="inlineStr">
        <ns0:is>
          <ns0:t>https://dokdo.mofa.go.kr/kor/introduce/facility.jsp
https://www.jbe.go.kr/dokdo/assets/sub/picture.html</ns0:t>
        </ns0:is>
      </ns0:c>
      <ns0:c r="P118" s="3">
        <ns0:f>LEN(E118)+MAX(LEN(F118),LEN(G118),LEN(H118))</ns0:f>
        <ns0:v>78</ns0:v>
      </ns0:c>
      <ns0:c r="Q118" s="7" t="inlineStr">
        <ns0:is>
          <ns0:t>출처 기반 자체 검토 / 독립 승인 전</ns0:t>
        </ns0:is>
      </ns0:c>
    </ns0:row>
    <ns0:row r="119" ht="98" customHeight="1">
      <ns0:c r="A119" s="4" t="n">
        <ns0:v>910118</ns0:v>
      </ns0:c>
      <ns0:c r="B119" s="4" t="n">
        <ns0:v>6</ns0:v>
      </ns0:c>
      <ns0:c r="C119" s="4" t="inlineStr">
        <ns0:is>
          <ns0:t>dk-routes</ns0:t>
        </ns0:is>
      </ns0:c>
      <ns0:c r="D119" s="4" t="n">
        <ns0:v>2</ns0:v>
      </ns0:c>
      <ns0:c r="E119" s="8" t="inlineStr">
        <ns0:is>
          <ns0:t>Why can a route on Dongdo bend?</ns0:t>
        </ns0:is>
      </ns0:c>
      <ns0:c r="F119" s="8" t="inlineStr">
        <ns0:is>
          <ns0:t>Lighthouse light lengthens the path</ns0:t>
        </ns0:is>
      </ns0:c>
      <ns0:c r="G119" s="8" t="inlineStr">
        <ns0:is>
          <ns0:t>It follows slopes and terrain</ns0:t>
        </ns0:is>
      </ns0:c>
      <ns0:c r="H119" s="8" t="inlineStr">
        <ns0:is>
          <ns0:t>Island names push the path</ns0:t>
        </ns0:is>
      </ns0:c>
      <ns0:c r="I119" s="8" t="n">
        <ns0:v>2</ns0:v>
      </ns0:c>
      <ns0:c r="J119" s="8" t="inlineStr">
        <ns0:is>
          <ns0:t>Dongdo has a route from the dock to facilities above. A straight-line distance in a picture can differ from the length of the actual route.</ns0:t>
        </ns0:is>
      </ns0:c>
      <ns0:c r="K119" s="8" t="inlineStr">
        <ns0:is>
          <ns0:t>The selected option, “Lighthouse light lengthens the path”, does not fit. The answer is “It follows slopes and terrain”. Dongdo has a route from the dock to facilities above. A straight-line distance in a picture can differ from the length of the actual route.</ns0:t>
        </ns0:is>
      </ns0:c>
      <ns0:c r="L119" s="8" t="inlineStr">
        <ns0:is>
          <ns0:t>Dongdo has a route from the dock to facilities above. A straight-line distance in a picture can differ from the length of the actual route.</ns0:t>
        </ns0:is>
      </ns0:c>
      <ns0:c r="M119" s="8" t="inlineStr">
        <ns0:is>
          <ns0:t>The selected option, “Island names push the path”, does not fit. The answer is “It follows slopes and terrain”. Dongdo has a route from the dock to facilities above. A straight-line distance in a picture can differ from the length of the actual route.</ns0:t>
        </ns0:is>
      </ns0:c>
      <ns0:c r="N119" s="8" t="inlineStr"/>
      <ns0:c r="O119" s="8" t="inlineStr">
        <ns0:is>
          <ns0:t>https://dokdo.mofa.go.kr/kor/introduce/facility.jsp
https://www.jbe.go.kr/dokdo/assets/sub/picture.html</ns0:t>
        </ns0:is>
      </ns0:c>
      <ns0:c r="P119" s="5">
        <ns0:f>LEN(E119)+MAX(LEN(F119),LEN(G119),LEN(H119))</ns0:f>
        <ns0:v>66</ns0:v>
      </ns0:c>
      <ns0:c r="Q119" s="9" t="inlineStr">
        <ns0:is>
          <ns0:t>출처 기반 자체 검토 / 독립 승인 전</ns0:t>
        </ns0:is>
      </ns0:c>
    </ns0:row>
    <ns0:row r="120" ht="98" customHeight="1">
      <ns0:c r="A120" s="2" t="n">
        <ns0:v>910119</ns0:v>
      </ns0:c>
      <ns0:c r="B120" s="2" t="n">
        <ns0:v>6</ns0:v>
      </ns0:c>
      <ns0:c r="C120" s="2" t="inlineStr">
        <ns0:is>
          <ns0:t>dk-routes</ns0:t>
        </ns0:is>
      </ns0:c>
      <ns0:c r="D120" s="2" t="n">
        <ns0:v>3</ns0:v>
      </ns0:c>
      <ns0:c r="E120" s="6" t="inlineStr">
        <ns0:is>
          <ns0:t>What does the source’s 796 m describe?</ns0:t>
        </ns0:is>
      </ns0:c>
      <ns0:c r="F120" s="6" t="inlineStr">
        <ns0:is>
          <ns0:t>Dongdo’s ascent route length</ns0:t>
        </ns0:is>
      </ns0:c>
      <ns0:c r="G120" s="6" t="inlineStr">
        <ns0:is>
          <ns0:t>Seodo’s maximum elevation</ns0:t>
        </ns0:is>
      </ns0:c>
      <ns0:c r="H120" s="6" t="inlineStr">
        <ns0:is>
          <ns0:t>The gap from Ulleungdo to Dokdo</ns0:t>
        </ns0:is>
      </ns0:c>
      <ns0:c r="I120" s="6" t="n">
        <ns0:v>1</ns0:v>
      </ns0:c>
      <ns0:c r="J120" s="6" t="inlineStr">
        <ns0:is>
          <ns0:t>Dongdo has a route from the dock to facilities above. A straight-line distance in a picture can differ from the length of the actual route.</ns0:t>
        </ns0:is>
      </ns0:c>
      <ns0:c r="K120" s="6" t="inlineStr">
        <ns0:is>
          <ns0:t>Dongdo has a route from the dock to facilities above. A straight-line distance in a picture can differ from the length of the actual route.</ns0:t>
        </ns0:is>
      </ns0:c>
      <ns0:c r="L120" s="6" t="inlineStr">
        <ns0:is>
          <ns0:t>The selected option, “Seodo’s maximum elevation”, does not fit. The answer is “Dongdo’s ascent route length”. Dongdo has a route from the dock to facilities above. A straight-line distance in a picture can differ from the length of the actual route.</ns0:t>
        </ns0:is>
      </ns0:c>
      <ns0:c r="M120" s="6" t="inlineStr">
        <ns0:is>
          <ns0:t>The selected option, “The gap from Ulleungdo to Dokdo”, does not fit. The answer is “Dongdo’s ascent route length”. Dongdo has a route from the dock to facilities above. A straight-line distance in a picture can differ from the length of the actual route.</ns0:t>
        </ns0:is>
      </ns0:c>
      <ns0:c r="N120" s="6" t="inlineStr">
        <ns0:is>
          <ns0:t>The MOFA guide lists Dongdo’s ascent path as 796 m. A route follows the slope and terrain and need not equal a straight line between endpoints.</ns0:t>
        </ns0:is>
      </ns0:c>
      <ns0:c r="O120" s="6" t="inlineStr">
        <ns0:is>
          <ns0:t>https://dokdo.mofa.go.kr/kor/introduce/facility.jsp
https://www.jbe.go.kr/dokdo/assets/sub/picture.html</ns0:t>
        </ns0:is>
      </ns0:c>
      <ns0:c r="P120" s="3">
        <ns0:f>LEN(E120)+MAX(LEN(F120),LEN(G120),LEN(H120))</ns0:f>
        <ns0:v>69</ns0:v>
      </ns0:c>
      <ns0:c r="Q120" s="7" t="inlineStr">
        <ns0:is>
          <ns0:t>출처 기반 자체 검토 / 독립 승인 전</ns0:t>
        </ns0:is>
      </ns0:c>
    </ns0:row>
    <ns0:row r="121" ht="98" customHeight="1">
      <ns0:c r="A121" s="4" t="n">
        <ns0:v>910120</ns0:v>
      </ns0:c>
      <ns0:c r="B121" s="4" t="n">
        <ns0:v>6</ns0:v>
      </ns0:c>
      <ns0:c r="C121" s="4" t="inlineStr">
        <ns0:is>
          <ns0:t>dk-routes</ns0:t>
        </ns0:is>
      </ns0:c>
      <ns0:c r="D121" s="4" t="n">
        <ns0:v>4</ns0:v>
      </ns0:c>
      <ns0:c r="E121" s="8" t="inlineStr">
        <ns0:is>
          <ns0:t>What if the straight-line distance differs from the route length?</ns0:t>
        </ns0:is>
      </ns0:c>
      <ns0:c r="F121" s="8" t="inlineStr">
        <ns0:is>
          <ns0:t>One must be false</ns0:t>
        </ns0:is>
      </ns0:c>
      <ns0:c r="G121" s="8" t="inlineStr">
        <ns0:is>
          <ns0:t>A route must equal its straight-line distance</ns0:t>
        </ns0:is>
      </ns0:c>
      <ns0:c r="H121" s="8" t="inlineStr">
        <ns0:is>
          <ns0:t>Distinguish straight distance from the travelled route</ns0:t>
        </ns0:is>
      </ns0:c>
      <ns0:c r="I121" s="8" t="n">
        <ns0:v>3</ns0:v>
      </ns0:c>
      <ns0:c r="J121" s="8" t="inlineStr">
        <ns0:is>
          <ns0:t>Dongdo has a route from the dock to facilities above. A straight-line distance in a picture can differ from the length of the actual route.</ns0:t>
        </ns0:is>
      </ns0:c>
      <ns0:c r="K121" s="8" t="inlineStr">
        <ns0:is>
          <ns0:t>The selected option, “One must be false”, does not fit. The answer is “Distinguish straight distance from the travelled route”. Dongdo has a route from the dock to facilities above. A straight-line distance in a picture can differ from the length of the actual route.</ns0:t>
        </ns0:is>
      </ns0:c>
      <ns0:c r="L121" s="8" t="inlineStr">
        <ns0:is>
          <ns0:t>The selected option, “A route must equal its straight-line distance”, does not fit. The answer is “Distinguish straight distance from the travelled route”. Dongdo has a route from the dock to facilities above. A straight-line distance in a picture can differ from the length of the actual route.</ns0:t>
        </ns0:is>
      </ns0:c>
      <ns0:c r="M121" s="8" t="inlineStr">
        <ns0:is>
          <ns0:t>Dongdo has a route from the dock to facilities above. A straight-line distance in a picture can differ from the length of the actual route.</ns0:t>
        </ns0:is>
      </ns0:c>
      <ns0:c r="N121" s="8" t="inlineStr">
        <ns0:is>
          <ns0:t>The MOFA guide lists Dongdo’s ascent path as 796 m. A route follows the slope and terrain and need not equal a straight line between endpoints.</ns0:t>
        </ns0:is>
      </ns0:c>
      <ns0:c r="O121" s="8" t="inlineStr">
        <ns0:is>
          <ns0:t>https://dokdo.mofa.go.kr/kor/introduce/facility.jsp
https://www.jbe.go.kr/dokdo/assets/sub/picture.html</ns0:t>
        </ns0:is>
      </ns0:c>
      <ns0:c r="P121" s="5">
        <ns0:f>LEN(E121)+MAX(LEN(F121),LEN(G121),LEN(H121))</ns0:f>
        <ns0:v>119</ns0:v>
      </ns0:c>
      <ns0:c r="Q121" s="9" t="inlineStr">
        <ns0:is>
          <ns0:t>출처 기반 자체 검토 / 독립 승인 전</ns0:t>
        </ns0:is>
      </ns0:c>
    </ns0:row>
    <ns0:row r="122" ht="98" customHeight="1">
      <ns0:c r="A122" s="2" t="n">
        <ns0:v>910121</ns0:v>
      </ns0:c>
      <ns0:c r="B122" s="2" t="n">
        <ns0:v>7</ns0:v>
      </ns0:c>
      <ns0:c r="C122" s="2" t="inlineStr">
        <ns0:is>
          <ns0:t>dk-sejong-record</ns0:t>
        </ns0:is>
      </ns0:c>
      <ns0:c r="D122" s="2" t="n">
        <ns0:v>1</ns0:v>
      </ns0:c>
      <ns0:c r="E122" s="6" t="inlineStr">
        <ns0:is>
          <ns0:t>Which old source names Usan and Mureung?</ns0:t>
        </ns0:is>
      </ns0:c>
      <ns0:c r="F122" s="6" t="inlineStr">
        <ns0:is>
          <ns0:t>A current ferry timetable</ns0:t>
        </ns0:is>
      </ns0:c>
      <ns0:c r="G122" s="6" t="inlineStr">
        <ns0:is>
          <ns0:t>The geographical appendix to the Annals of Sejong</ns0:t>
        </ns0:is>
      </ns0:c>
      <ns0:c r="H122" s="6" t="inlineStr">
        <ns0:is>
          <ns0:t>Only the 1900 government gazette</ns0:t>
        </ns0:is>
      </ns0:c>
      <ns0:c r="I122" s="6" t="n">
        <ns0:v>2</ns0:v>
      </ns0:c>
      <ns0:c r="J122" s="6" t="inlineStr">
        <ns0:is>
          <ns0:t>The geographical appendix to the Annals of Sejong describes regions of Joseon. MOFA identifies its Usan and Mureung with Dokdo and Ulleungdo.</ns0:t>
        </ns0:is>
      </ns0:c>
      <ns0:c r="K122" s="6" t="inlineStr">
        <ns0:is>
          <ns0:t>The selected option, “A current ferry timetable”, does not fit. The answer is “The geographical appendix to the Annals of Sejong”. The geographical appendix to the Annals of Sejong describes regions of Joseon. MOFA identifies its Usan and Mureung with Dokdo and Ulleungdo.</ns0:t>
        </ns0:is>
      </ns0:c>
      <ns0:c r="L122" s="6" t="inlineStr">
        <ns0:is>
          <ns0:t>The geographical appendix to the Annals of Sejong describes regions of Joseon. MOFA identifies its Usan and Mureung with Dokdo and Ulleungdo.</ns0:t>
        </ns0:is>
      </ns0:c>
      <ns0:c r="M122" s="6" t="inlineStr">
        <ns0:is>
          <ns0:t>The selected option, “Only the 1900 government gazette”, does not fit. The answer is “The geographical appendix to the Annals of Sejong”. The geographical appendix to the Annals of Sejong describes regions of Joseon. MOFA identifies its Usan and Mureung with Dokdo and Ulleungdo.</ns0:t>
        </ns0:is>
      </ns0:c>
      <ns0:c r="N122" s="6" t="inlineStr"/>
      <ns0:c r="O122" s="6" t="inlineStr">
        <ns0:is>
          <ns0:t>https://dokdo.mofa.go.kr/kor/pds/part06_view02.jsp
https://dokdo.mofa.go.kr/m/kor/dokdo/reason_list.jsp</ns0:t>
        </ns0:is>
      </ns0:c>
      <ns0:c r="P122" s="3">
        <ns0:f>LEN(E122)+MAX(LEN(F122),LEN(G122),LEN(H122))</ns0:f>
        <ns0:v>89</ns0:v>
      </ns0:c>
      <ns0:c r="Q122" s="7" t="inlineStr">
        <ns0:is>
          <ns0:t>출처 기반 자체 검토 / 독립 승인 전</ns0:t>
        </ns0:is>
      </ns0:c>
    </ns0:row>
    <ns0:row r="123" ht="98" customHeight="1">
      <ns0:c r="A123" s="4" t="n">
        <ns0:v>910122</ns0:v>
      </ns0:c>
      <ns0:c r="B123" s="4" t="n">
        <ns0:v>7</ns0:v>
      </ns0:c>
      <ns0:c r="C123" s="4" t="inlineStr">
        <ns0:is>
          <ns0:t>dk-sejong-record</ns0:t>
        </ns0:is>
      </ns0:c>
      <ns0:c r="D123" s="4" t="n">
        <ns0:v>2</ns0:v>
      </ns0:c>
      <ns0:c r="E123" s="8" t="inlineStr">
        <ns0:is>
          <ns0:t>Why compare an old geographical account with a modern map?</ns0:t>
        </ns0:is>
      </ns0:c>
      <ns0:c r="F123" s="8" t="inlineStr">
        <ns0:is>
          <ns0:t>To relate old and modern place names</ns0:t>
        </ns0:is>
      </ns0:c>
      <ns0:c r="G123" s="8" t="inlineStr">
        <ns0:is>
          <ns0:t>To remove the source’s date</ns0:t>
        </ns0:is>
      </ns0:c>
      <ns0:c r="H123" s="8" t="inlineStr">
        <ns0:is>
          <ns0:t>To invent all the old names</ns0:t>
        </ns0:is>
      </ns0:c>
      <ns0:c r="I123" s="8" t="n">
        <ns0:v>1</ns0:v>
      </ns0:c>
      <ns0:c r="J123" s="8" t="inlineStr">
        <ns0:is>
          <ns0:t>The geographical appendix to the Annals of Sejong describes regions of Joseon. MOFA identifies its Usan and Mureung with Dokdo and Ulleungdo.</ns0:t>
        </ns0:is>
      </ns0:c>
      <ns0:c r="K123" s="8" t="inlineStr">
        <ns0:is>
          <ns0:t>The geographical appendix to the Annals of Sejong describes regions of Joseon. MOFA identifies its Usan and Mureung with Dokdo and Ulleungdo.</ns0:t>
        </ns0:is>
      </ns0:c>
      <ns0:c r="L123" s="8" t="inlineStr">
        <ns0:is>
          <ns0:t>The selected option, “To remove the source’s date”, does not fit. The answer is “To relate old and modern place names”. The geographical appendix to the Annals of Sejong describes regions of Joseon. MOFA identifies its Usan and Mureung with Dokdo and Ulleungdo.</ns0:t>
        </ns0:is>
      </ns0:c>
      <ns0:c r="M123" s="8" t="inlineStr">
        <ns0:is>
          <ns0:t>The selected option, “To invent all the old names”, does not fit. The answer is “To relate old and modern place names”. The geographical appendix to the Annals of Sejong describes regions of Joseon. MOFA identifies its Usan and Mureung with Dokdo and Ulleungdo.</ns0:t>
        </ns0:is>
      </ns0:c>
      <ns0:c r="N123" s="8" t="inlineStr"/>
      <ns0:c r="O123" s="8" t="inlineStr">
        <ns0:is>
          <ns0:t>https://dokdo.mofa.go.kr/kor/pds/part06_view02.jsp
https://dokdo.mofa.go.kr/m/kor/dokdo/reason_list.jsp</ns0:t>
        </ns0:is>
      </ns0:c>
      <ns0:c r="P123" s="5">
        <ns0:f>LEN(E123)+MAX(LEN(F123),LEN(G123),LEN(H123))</ns0:f>
        <ns0:v>94</ns0:v>
      </ns0:c>
      <ns0:c r="Q123" s="9" t="inlineStr">
        <ns0:is>
          <ns0:t>출처 기반 자체 검토 / 독립 승인 전</ns0:t>
        </ns0:is>
      </ns0:c>
    </ns0:row>
    <ns0:row r="124" ht="98" customHeight="1">
      <ns0:c r="A124" s="2" t="n">
        <ns0:v>910123</ns0:v>
      </ns0:c>
      <ns0:c r="B124" s="2" t="n">
        <ns0:v>7</ns0:v>
      </ns0:c>
      <ns0:c r="C124" s="2" t="inlineStr">
        <ns0:is>
          <ns0:t>dk-sejong-record</ns0:t>
        </ns0:is>
      </ns0:c>
      <ns0:c r="D124" s="2" t="n">
        <ns0:v>3</ns0:v>
      </ns0:c>
      <ns0:c r="E124" s="6" t="inlineStr">
        <ns0:is>
          <ns0:t>What are the parenthetical names Dokdo and Ulleungdo?</ns0:t>
        </ns0:is>
      </ns0:c>
      <ns0:c r="F124" s="6" t="inlineStr">
        <ns0:is>
          <ns0:t>Exactly the original 1454 wording</ns0:t>
        </ns0:is>
      </ns0:c>
      <ns0:c r="G124" s="6" t="inlineStr">
        <ns0:is>
          <ns0:t>Symbols for island area</ns0:t>
        </ns0:is>
      </ns0:c>
      <ns0:c r="H124" s="6" t="inlineStr">
        <ns0:is>
          <ns0:t>Modern explanatory identifications</ns0:t>
        </ns0:is>
      </ns0:c>
      <ns0:c r="I124" s="6" t="n">
        <ns0:v>3</ns0:v>
      </ns0:c>
      <ns0:c r="J124" s="6" t="inlineStr">
        <ns0:is>
          <ns0:t>The geographical appendix to the Annals of Sejong describes regions of Joseon. MOFA identifies its Usan and Mureung with Dokdo and Ulleungdo.</ns0:t>
        </ns0:is>
      </ns0:c>
      <ns0:c r="K124" s="6" t="inlineStr">
        <ns0:is>
          <ns0:t>The selected option, “Exactly the original 1454 wording”, does not fit. The answer is “Modern explanatory identifications”. The geographical appendix to the Annals of Sejong describes regions of Joseon. MOFA identifies its Usan and Mureung with Dokdo and Ulleungdo.</ns0:t>
        </ns0:is>
      </ns0:c>
      <ns0:c r="L124" s="6" t="inlineStr">
        <ns0:is>
          <ns0:t>The selected option, “Symbols for island area”, does not fit. The answer is “Modern explanatory identifications”. The geographical appendix to the Annals of Sejong describes regions of Joseon. MOFA identifies its Usan and Mureung with Dokdo and Ulleungdo.</ns0:t>
        </ns0:is>
      </ns0:c>
      <ns0:c r="M124" s="6" t="inlineStr">
        <ns0:is>
          <ns0:t>The geographical appendix to the Annals of Sejong describes regions of Joseon. MOFA identifies its Usan and Mureung with Dokdo and Ulleungdo.</ns0:t>
        </ns0:is>
      </ns0:c>
      <ns0:c r="N124" s="6" t="inlineStr">
        <ns0:is>
          <ns0:t>The translated 1454 passage names Usan and Mureung. The modern names Dokdo and Ulleungdo in parentheses are explanatory identifications in the MOFA presentation.</ns0:t>
        </ns0:is>
      </ns0:c>
      <ns0:c r="O124" s="6" t="inlineStr">
        <ns0:is>
          <ns0:t>https://dokdo.mofa.go.kr/kor/pds/part06_view02.jsp
https://dokdo.mofa.go.kr/m/kor/dokdo/reason_list.jsp</ns0:t>
        </ns0:is>
      </ns0:c>
      <ns0:c r="P124" s="3">
        <ns0:f>LEN(E124)+MAX(LEN(F124),LEN(G124),LEN(H124))</ns0:f>
        <ns0:v>87</ns0:v>
      </ns0:c>
      <ns0:c r="Q124" s="7" t="inlineStr">
        <ns0:is>
          <ns0:t>출처 기반 자체 검토 / 독립 승인 전</ns0:t>
        </ns0:is>
      </ns0:c>
    </ns0:row>
    <ns0:row r="125" ht="98" customHeight="1">
      <ns0:c r="A125" s="4" t="n">
        <ns0:v>910124</ns0:v>
      </ns0:c>
      <ns0:c r="B125" s="4" t="n">
        <ns0:v>7</ns0:v>
      </ns0:c>
      <ns0:c r="C125" s="4" t="inlineStr">
        <ns0:is>
          <ns0:t>dk-sejong-record</ns0:t>
        </ns0:is>
      </ns0:c>
      <ns0:c r="D125" s="4" t="n">
        <ns0:v>4</ns0:v>
      </ns0:c>
      <ns0:c r="E125" s="8" t="inlineStr">
        <ns0:is>
          <ns0:t>How should original names and modern commentary be cited?</ns0:t>
        </ns0:is>
      </ns0:c>
      <ns0:c r="F125" s="8" t="inlineStr">
        <ns0:is>
          <ns0:t>Old place names can never be interpreted</ns0:t>
        </ns0:is>
      </ns0:c>
      <ns0:c r="G125" s="8" t="inlineStr">
        <ns0:is>
          <ns0:t>Distinguish the original wording from commentary</ns0:t>
        </ns0:is>
      </ns0:c>
      <ns0:c r="H125" s="8" t="inlineStr">
        <ns0:is>
          <ns0:t>Present all modern parentheses as original text</ns0:t>
        </ns0:is>
      </ns0:c>
      <ns0:c r="I125" s="8" t="n">
        <ns0:v>2</ns0:v>
      </ns0:c>
      <ns0:c r="J125" s="8" t="inlineStr">
        <ns0:is>
          <ns0:t>The geographical appendix to the Annals of Sejong describes regions of Joseon. MOFA identifies its Usan and Mureung with Dokdo and Ulleungdo.</ns0:t>
        </ns0:is>
      </ns0:c>
      <ns0:c r="K125" s="8" t="inlineStr">
        <ns0:is>
          <ns0:t>The selected option, “Old place names can never be interpreted”, does not fit. The answer is “Distinguish the original wording from commentary”. The geographical appendix to the Annals of Sejong describes regions of Joseon. MOFA identifies its Usan and Mureung with Dokdo and Ulleungdo.</ns0:t>
        </ns0:is>
      </ns0:c>
      <ns0:c r="L125" s="8" t="inlineStr">
        <ns0:is>
          <ns0:t>The geographical appendix to the Annals of Sejong describes regions of Joseon. MOFA identifies its Usan and Mureung with Dokdo and Ulleungdo.</ns0:t>
        </ns0:is>
      </ns0:c>
      <ns0:c r="M125" s="8" t="inlineStr">
        <ns0:is>
          <ns0:t>The selected option, “Present all modern parentheses as original text”, does not fit. The answer is “Distinguish the original wording from commentary”. The geographical appendix to the Annals of Sejong describes regions of Joseon. MOFA identifies its Usan and Mureung with Dokdo and Ulleungdo.</ns0:t>
        </ns0:is>
      </ns0:c>
      <ns0:c r="N125" s="8" t="inlineStr">
        <ns0:is>
          <ns0:t>The translated 1454 passage names Usan and Mureung. The modern names Dokdo and Ulleungdo in parentheses are explanatory identifications in the MOFA presentation.</ns0:t>
        </ns0:is>
      </ns0:c>
      <ns0:c r="O125" s="8" t="inlineStr">
        <ns0:is>
          <ns0:t>https://dokdo.mofa.go.kr/kor/pds/part06_view02.jsp
https://dokdo.mofa.go.kr/m/kor/dokdo/reason_list.jsp</ns0:t>
        </ns0:is>
      </ns0:c>
      <ns0:c r="P125" s="5">
        <ns0:f>LEN(E125)+MAX(LEN(F125),LEN(G125),LEN(H125))</ns0:f>
        <ns0:v>105</ns0:v>
      </ns0:c>
      <ns0:c r="Q125" s="9" t="inlineStr">
        <ns0:is>
          <ns0:t>출처 기반 자체 검토 / 독립 승인 전</ns0:t>
        </ns0:is>
      </ns0:c>
    </ns0:row>
    <ns0:row r="126" ht="98" customHeight="1">
      <ns0:c r="A126" s="2" t="n">
        <ns0:v>910125</ns0:v>
      </ns0:c>
      <ns0:c r="B126" s="2" t="n">
        <ns0:v>7</ns0:v>
      </ns0:c>
      <ns0:c r="C126" s="2" t="inlineStr">
        <ns0:is>
          <ns0:t>dk-official-geography</ns0:t>
        </ns0:is>
      </ns0:c>
      <ns0:c r="D126" s="2" t="n">
        <ns0:v>1</ns0:v>
      </ns0:c>
      <ns0:c r="E126" s="6" t="inlineStr">
        <ns0:is>
          <ns0:t>What is a state-compiled work?</ns0:t>
        </ns0:is>
      </ns0:c>
      <ns0:c r="F126" s="6" t="inlineStr">
        <ns0:is>
          <ns0:t>A government-compiled book</ns0:t>
        </ns0:is>
      </ns0:c>
      <ns0:c r="G126" s="6" t="inlineStr">
        <ns0:is>
          <ns0:t>Only a private diary</ns0:t>
        </ns0:is>
      </ns0:c>
      <ns0:c r="H126" s="6" t="inlineStr">
        <ns0:is>
          <ns0:t>A ferry advertisement</ns0:t>
        </ns0:is>
      </ns0:c>
      <ns0:c r="I126" s="6" t="n">
        <ns0:v>1</ns0:v>
      </ns0:c>
      <ns0:c r="J126" s="6" t="inlineStr">
        <ns0:is>
          <ns0:t>Joseon geographical records help us study how places were described and understood. Their statements should be distinguished from present observations.</ns0:t>
        </ns0:is>
      </ns0:c>
      <ns0:c r="K126" s="6" t="inlineStr">
        <ns0:is>
          <ns0:t>Joseon geographical records help us study how places were described and understood. Their statements should be distinguished from present observations.</ns0:t>
        </ns0:is>
      </ns0:c>
      <ns0:c r="L126" s="6" t="inlineStr">
        <ns0:is>
          <ns0:t>The selected option, “Only a private diary”, does not fit. The answer is “A government-compiled book”. Joseon geographical records help us study how places were described and understood. Their statements should be distinguished from present observations.</ns0:t>
        </ns0:is>
      </ns0:c>
      <ns0:c r="M126" s="6" t="inlineStr">
        <ns0:is>
          <ns0:t>The selected option, “A ferry advertisement”, does not fit. The answer is “A government-compiled book”. Joseon geographical records help us study how places were described and understood. Their statements should be distinguished from present observations.</ns0:t>
        </ns0:is>
      </ns0:c>
      <ns0:c r="N126" s="6" t="inlineStr"/>
      <ns0:c r="O126" s="6" t="inlineStr">
        <ns0:is>
          <ns0:t>https://dokdo.mofa.go.kr/kor/pds/part06_view02.jsp
https://dokdo.mofa.go.kr/m/kor/dokdo/reason_list.jsp</ns0:t>
        </ns0:is>
      </ns0:c>
      <ns0:c r="P126" s="3">
        <ns0:f>LEN(E126)+MAX(LEN(F126),LEN(G126),LEN(H126))</ns0:f>
        <ns0:v>56</ns0:v>
      </ns0:c>
      <ns0:c r="Q126" s="7" t="inlineStr">
        <ns0:is>
          <ns0:t>출처 기반 자체 검토 / 독립 승인 전</ns0:t>
        </ns0:is>
      </ns0:c>
    </ns0:row>
    <ns0:row r="127" ht="98" customHeight="1">
      <ns0:c r="A127" s="4" t="n">
        <ns0:v>910126</ns0:v>
      </ns0:c>
      <ns0:c r="B127" s="4" t="n">
        <ns0:v>7</ns0:v>
      </ns0:c>
      <ns0:c r="C127" s="4" t="inlineStr">
        <ns0:is>
          <ns0:t>dk-official-geography</ns0:t>
        </ns0:is>
      </ns0:c>
      <ns0:c r="D127" s="4" t="n">
        <ns0:v>2</ns0:v>
      </ns0:c>
      <ns0:c r="E127" s="8" t="inlineStr">
        <ns0:is>
          <ns0:t>What can an old geographical account help us learn?</ns0:t>
        </ns0:is>
      </ns0:c>
      <ns0:c r="F127" s="8" t="inlineStr">
        <ns0:is>
          <ns0:t>Today’s real-time wave height</ns0:t>
        </ns0:is>
      </ns0:c>
      <ns0:c r="G127" s="8" t="inlineStr">
        <ns0:is>
          <ns0:t>Tomorrow’s exact ferry departure</ns0:t>
        </ns0:is>
      </ns0:c>
      <ns0:c r="H127" s="8" t="inlineStr">
        <ns0:is>
          <ns0:t>How places were recorded at the time</ns0:t>
        </ns0:is>
      </ns0:c>
      <ns0:c r="I127" s="8" t="n">
        <ns0:v>3</ns0:v>
      </ns0:c>
      <ns0:c r="J127" s="8" t="inlineStr">
        <ns0:is>
          <ns0:t>Joseon geographical records help us study how places were described and understood. Their statements should be distinguished from present observations.</ns0:t>
        </ns0:is>
      </ns0:c>
      <ns0:c r="K127" s="8" t="inlineStr">
        <ns0:is>
          <ns0:t>The selected option, “Today’s real-time wave height”, does not fit. The answer is “How places were recorded at the time”. Joseon geographical records help us study how places were described and understood. Their statements should be distinguished from present observations.</ns0:t>
        </ns0:is>
      </ns0:c>
      <ns0:c r="L127" s="8" t="inlineStr">
        <ns0:is>
          <ns0:t>The selected option, “Tomorrow’s exact ferry departure”, does not fit. The answer is “How places were recorded at the time”. Joseon geographical records help us study how places were described and understood. Their statements should be distinguished from present observations.</ns0:t>
        </ns0:is>
      </ns0:c>
      <ns0:c r="M127" s="8" t="inlineStr">
        <ns0:is>
          <ns0:t>Joseon geographical records help us study how places were described and understood. Their statements should be distinguished from present observations.</ns0:t>
        </ns0:is>
      </ns0:c>
      <ns0:c r="N127" s="8" t="inlineStr"/>
      <ns0:c r="O127" s="8" t="inlineStr">
        <ns0:is>
          <ns0:t>https://dokdo.mofa.go.kr/kor/pds/part06_view02.jsp
https://dokdo.mofa.go.kr/m/kor/dokdo/reason_list.jsp</ns0:t>
        </ns0:is>
      </ns0:c>
      <ns0:c r="P127" s="5">
        <ns0:f>LEN(E127)+MAX(LEN(F127),LEN(G127),LEN(H127))</ns0:f>
        <ns0:v>87</ns0:v>
      </ns0:c>
      <ns0:c r="Q127" s="9" t="inlineStr">
        <ns0:is>
          <ns0:t>출처 기반 자체 검토 / 독립 승인 전</ns0:t>
        </ns0:is>
      </ns0:c>
    </ns0:row>
    <ns0:row r="128" ht="98" customHeight="1">
      <ns0:c r="A128" s="2" t="n">
        <ns0:v>910127</ns0:v>
      </ns0:c>
      <ns0:c r="B128" s="2" t="n">
        <ns0:v>7</ns0:v>
      </ns0:c>
      <ns0:c r="C128" s="2" t="inlineStr">
        <ns0:is>
          <ns0:t>dk-official-geography</ns0:t>
        </ns0:is>
      </ns0:c>
      <ns0:c r="D128" s="2" t="n">
        <ns0:v>3</ns0:v>
      </ns0:c>
      <ns0:c r="E128" s="6" t="inlineStr">
        <ns0:is>
          <ns0:t>Which description fits a state-compiled geographical work?</ns0:t>
        </ns0:is>
      </ns0:c>
      <ns0:c r="F128" s="6" t="inlineStr">
        <ns0:is>
          <ns0:t>A current weather sensor on Dokdo</ns0:t>
        </ns0:is>
      </ns0:c>
      <ns0:c r="G128" s="6" t="inlineStr">
        <ns0:is>
          <ns0:t>A government-compiled description of regions</ns0:t>
        </ns0:is>
      </ns0:c>
      <ns0:c r="H128" s="6" t="inlineStr">
        <ns0:is>
          <ns0:t>A modern tourist’s photo album</ns0:t>
        </ns0:is>
      </ns0:c>
      <ns0:c r="I128" s="6" t="n">
        <ns0:v>2</ns0:v>
      </ns0:c>
      <ns0:c r="J128" s="6" t="inlineStr">
        <ns0:is>
          <ns0:t>Joseon geographical records help us study how places were described and understood. Their statements should be distinguished from present observations.</ns0:t>
        </ns0:is>
      </ns0:c>
      <ns0:c r="K128" s="6" t="inlineStr">
        <ns0:is>
          <ns0:t>The selected option, “A current weather sensor on Dokdo”, does not fit. The answer is “A government-compiled description of regions”. Joseon geographical records help us study how places were described and understood. Their statements should be distinguished from present observations.</ns0:t>
        </ns0:is>
      </ns0:c>
      <ns0:c r="L128" s="6" t="inlineStr">
        <ns0:is>
          <ns0:t>Joseon geographical records help us study how places were described and understood. Their statements should be distinguished from present observations.</ns0:t>
        </ns0:is>
      </ns0:c>
      <ns0:c r="M128" s="6" t="inlineStr">
        <ns0:is>
          <ns0:t>The selected option, “A modern tourist’s photo album”, does not fit. The answer is “A government-compiled description of regions”. Joseon geographical records help us study how places were described and understood. Their statements should be distinguished from present observations.</ns0:t>
        </ns0:is>
      </ns0:c>
      <ns0:c r="N128" s="6" t="inlineStr">
        <ns0:is>
          <ns0:t>MOFA identifies the geographical appendix as a state-compiled work and discusses its account of Usan and Mureung. A state-compiled work was produced under government authority.</ns0:t>
        </ns0:is>
      </ns0:c>
      <ns0:c r="O128" s="6" t="inlineStr">
        <ns0:is>
          <ns0:t>https://dokdo.mofa.go.kr/kor/pds/part06_view02.jsp
https://dokdo.mofa.go.kr/m/kor/dokdo/reason_list.jsp</ns0:t>
        </ns0:is>
      </ns0:c>
      <ns0:c r="P128" s="3">
        <ns0:f>LEN(E128)+MAX(LEN(F128),LEN(G128),LEN(H128))</ns0:f>
        <ns0:v>102</ns0:v>
      </ns0:c>
      <ns0:c r="Q128" s="7" t="inlineStr">
        <ns0:is>
          <ns0:t>출처 기반 자체 검토 / 독립 승인 전</ns0:t>
        </ns0:is>
      </ns0:c>
    </ns0:row>
    <ns0:row r="129" ht="98" customHeight="1">
      <ns0:c r="A129" s="4" t="n">
        <ns0:v>910128</ns0:v>
      </ns0:c>
      <ns0:c r="B129" s="4" t="n">
        <ns0:v>7</ns0:v>
      </ns0:c>
      <ns0:c r="C129" s="4" t="inlineStr">
        <ns0:is>
          <ns0:t>dk-official-geography</ns0:t>
        </ns0:is>
      </ns0:c>
      <ns0:c r="D129" s="4" t="n">
        <ns0:v>4</ns0:v>
      </ns0:c>
      <ns0:c r="E129" s="8" t="inlineStr">
        <ns0:is>
          <ns0:t>Can an old gazetteer establish whether landing is possible today?</ns0:t>
        </ns0:is>
      </ns0:c>
      <ns0:c r="F129" s="8" t="inlineStr">
        <ns0:is>
          <ns0:t>Historical evidence differs from current operating information</ns0:t>
        </ns0:is>
      </ns0:c>
      <ns0:c r="G129" s="8" t="inlineStr">
        <ns0:is>
          <ns0:t>An official record determines weather in every era</ns0:t>
        </ns0:is>
      </ns0:c>
      <ns0:c r="H129" s="8" t="inlineStr">
        <ns0:is>
          <ns0:t>An old record has no geographic value</ns0:t>
        </ns0:is>
      </ns0:c>
      <ns0:c r="I129" s="8" t="n">
        <ns0:v>1</ns0:v>
      </ns0:c>
      <ns0:c r="J129" s="8" t="inlineStr">
        <ns0:is>
          <ns0:t>Joseon geographical records help us study how places were described and understood. Their statements should be distinguished from present observations.</ns0:t>
        </ns0:is>
      </ns0:c>
      <ns0:c r="K129" s="8" t="inlineStr">
        <ns0:is>
          <ns0:t>Joseon geographical records help us study how places were described and understood. Their statements should be distinguished from present observations.</ns0:t>
        </ns0:is>
      </ns0:c>
      <ns0:c r="L129" s="8" t="inlineStr">
        <ns0:is>
          <ns0:t>The selected option, “An official record determines weather in every era”, does not fit. The answer is “Historical evidence differs from current operating information”. Joseon geographical records help us study how places were described and understood. Their statements should be distinguished from present observations.</ns0:t>
        </ns0:is>
      </ns0:c>
      <ns0:c r="M129" s="8" t="inlineStr">
        <ns0:is>
          <ns0:t>The selected option, “An old record has no geographic value”, does not fit. The answer is “Historical evidence differs from current operating information”. Joseon geographical records help us study how places were described and understood. Their statements should be distinguished from present observations.</ns0:t>
        </ns0:is>
      </ns0:c>
      <ns0:c r="N129" s="8" t="inlineStr">
        <ns0:is>
          <ns0:t>MOFA identifies the geographical appendix as a state-compiled work and discusses its account of Usan and Mureung. A state-compiled work was produced under government authority.</ns0:t>
        </ns0:is>
      </ns0:c>
      <ns0:c r="O129" s="8" t="inlineStr">
        <ns0:is>
          <ns0:t>https://dokdo.mofa.go.kr/kor/pds/part06_view02.jsp
https://dokdo.mofa.go.kr/m/kor/dokdo/reason_list.jsp</ns0:t>
        </ns0:is>
      </ns0:c>
      <ns0:c r="P129" s="5">
        <ns0:f>LEN(E129)+MAX(LEN(F129),LEN(G129),LEN(H129))</ns0:f>
        <ns0:v>127</ns0:v>
      </ns0:c>
      <ns0:c r="Q129" s="9" t="inlineStr">
        <ns0:is>
          <ns0:t>출처 기반 자체 검토 / 독립 승인 전</ns0:t>
        </ns0:is>
      </ns0:c>
    </ns0:row>
    <ns0:row r="130" ht="98" customHeight="1">
      <ns0:c r="A130" s="2" t="n">
        <ns0:v>910129</ns0:v>
      </ns0:c>
      <ns0:c r="B130" s="2" t="n">
        <ns0:v>7</ns0:v>
      </ns0:c>
      <ns0:c r="C130" s="2" t="inlineStr">
        <ns0:is>
          <ns0:t>dk-an-1693</ns0:t>
        </ns0:is>
      </ns0:c>
      <ns0:c r="D130" s="2" t="n">
        <ns0:v>1</ns0:v>
      </ns0:c>
      <ns0:c r="E130" s="6" t="inlineStr">
        <ns0:is>
          <ns0:t>Who is associated with the 1693 incident?</ns0:t>
        </ns0:is>
      </ns0:c>
      <ns0:c r="F130" s="6" t="inlineStr">
        <ns0:is>
          <ns0:t>Shim Heung-taek</ns0:t>
        </ns0:is>
      </ns0:c>
      <ns0:c r="G130" s="6" t="inlineStr">
        <ns0:is>
          <ns0:t>Yi Geon-ha</ns0:t>
        </ns0:is>
      </ns0:c>
      <ns0:c r="H130" s="6" t="inlineStr">
        <ns0:is>
          <ns0:t>An Yong-bok</ns0:t>
        </ns0:is>
      </ns0:c>
      <ns0:c r="I130" s="6" t="n">
        <ns0:v>3</ns0:v>
      </ns0:c>
      <ns0:c r="J130" s="6" t="inlineStr">
        <ns0:is>
          <ns0:t>In 1693, An Yong-bok and Park Eo-dun were taken to Japan while fishing at Ulleungdo. The incident led to negotiations concerning Ulleungdo.</ns0:t>
        </ns0:is>
      </ns0:c>
      <ns0:c r="K130" s="6" t="inlineStr">
        <ns0:is>
          <ns0:t>The selected option, “Shim Heung-taek”, does not fit. The answer is “An Yong-bok”. In 1693, An Yong-bok and Park Eo-dun were taken to Japan while fishing at Ulleungdo. The incident led to negotiations concerning Ulleungdo.</ns0:t>
        </ns0:is>
      </ns0:c>
      <ns0:c r="L130" s="6" t="inlineStr">
        <ns0:is>
          <ns0:t>The selected option, “Yi Geon-ha”, does not fit. The answer is “An Yong-bok”. In 1693, An Yong-bok and Park Eo-dun were taken to Japan while fishing at Ulleungdo. The incident led to negotiations concerning Ulleungdo.</ns0:t>
        </ns0:is>
      </ns0:c>
      <ns0:c r="M130" s="6" t="inlineStr">
        <ns0:is>
          <ns0:t>In 1693, An Yong-bok and Park Eo-dun were taken to Japan while fishing at Ulleungdo. The incident led to negotiations concerning Ulleungdo.</ns0:t>
        </ns0:is>
      </ns0:c>
      <ns0:c r="N130" s="6" t="inlineStr"/>
      <ns0:c r="O130" s="6" t="inlineStr">
        <ns0:is>
          <ns0:t>https://dokdo.mofa.go.kr/kor/include/print_faq.jsp?class_faq=q5
https://dokdo.mofa.go.kr/m/kor/dokdo/reason_list.jsp</ns0:t>
        </ns0:is>
      </ns0:c>
      <ns0:c r="P130" s="3">
        <ns0:f>LEN(E130)+MAX(LEN(F130),LEN(G130),LEN(H130))</ns0:f>
        <ns0:v>56</ns0:v>
      </ns0:c>
      <ns0:c r="Q130" s="7" t="inlineStr">
        <ns0:is>
          <ns0:t>출처 기반 자체 검토 / 독립 승인 전</ns0:t>
        </ns0:is>
      </ns0:c>
    </ns0:row>
    <ns0:row r="131" ht="98" customHeight="1">
      <ns0:c r="A131" s="4" t="n">
        <ns0:v>910130</ns0:v>
      </ns0:c>
      <ns0:c r="B131" s="4" t="n">
        <ns0:v>7</ns0:v>
      </ns0:c>
      <ns0:c r="C131" s="4" t="inlineStr">
        <ns0:is>
          <ns0:t>dk-an-1693</ns0:t>
        </ns0:is>
      </ns0:c>
      <ns0:c r="D131" s="4" t="n">
        <ns0:v>2</ns0:v>
      </ns0:c>
      <ns0:c r="E131" s="8" t="inlineStr">
        <ns0:is>
          <ns0:t>On which island did the 1693 incident begin?</ns0:t>
        </ns0:is>
      </ns0:c>
      <ns0:c r="F131" s="8" t="inlineStr">
        <ns0:is>
          <ns0:t>Ganghwado</ns0:t>
        </ns0:is>
      </ns0:c>
      <ns0:c r="G131" s="8" t="inlineStr">
        <ns0:is>
          <ns0:t>Ulleungdo</ns0:t>
        </ns0:is>
      </ns0:c>
      <ns0:c r="H131" s="8" t="inlineStr">
        <ns0:is>
          <ns0:t>Jejudo</ns0:t>
        </ns0:is>
      </ns0:c>
      <ns0:c r="I131" s="8" t="n">
        <ns0:v>2</ns0:v>
      </ns0:c>
      <ns0:c r="J131" s="8" t="inlineStr">
        <ns0:is>
          <ns0:t>In 1693, An Yong-bok and Park Eo-dun were taken to Japan while fishing at Ulleungdo. The incident led to negotiations concerning Ulleungdo.</ns0:t>
        </ns0:is>
      </ns0:c>
      <ns0:c r="K131" s="8" t="inlineStr">
        <ns0:is>
          <ns0:t>The selected option, “Ganghwado”, does not fit. The answer is “Ulleungdo”. In 1693, An Yong-bok and Park Eo-dun were taken to Japan while fishing at Ulleungdo. The incident led to negotiations concerning Ulleungdo.</ns0:t>
        </ns0:is>
      </ns0:c>
      <ns0:c r="L131" s="8" t="inlineStr">
        <ns0:is>
          <ns0:t>In 1693, An Yong-bok and Park Eo-dun were taken to Japan while fishing at Ulleungdo. The incident led to negotiations concerning Ulleungdo.</ns0:t>
        </ns0:is>
      </ns0:c>
      <ns0:c r="M131" s="8" t="inlineStr">
        <ns0:is>
          <ns0:t>The selected option, “Jejudo”, does not fit. The answer is “Ulleungdo”. In 1693, An Yong-bok and Park Eo-dun were taken to Japan while fishing at Ulleungdo. The incident led to negotiations concerning Ulleungdo.</ns0:t>
        </ns0:is>
      </ns0:c>
      <ns0:c r="N131" s="8" t="inlineStr"/>
      <ns0:c r="O131" s="8" t="inlineStr">
        <ns0:is>
          <ns0:t>https://dokdo.mofa.go.kr/kor/include/print_faq.jsp?class_faq=q5
https://dokdo.mofa.go.kr/m/kor/dokdo/reason_list.jsp</ns0:t>
        </ns0:is>
      </ns0:c>
      <ns0:c r="P131" s="5">
        <ns0:f>LEN(E131)+MAX(LEN(F131),LEN(G131),LEN(H131))</ns0:f>
        <ns0:v>53</ns0:v>
      </ns0:c>
      <ns0:c r="Q131" s="9" t="inlineStr">
        <ns0:is>
          <ns0:t>출처 기반 자체 검토 / 독립 승인 전</ns0:t>
        </ns0:is>
      </ns0:c>
    </ns0:row>
    <ns0:row r="132" ht="98" customHeight="1">
      <ns0:c r="A132" s="2" t="n">
        <ns0:v>910131</ns0:v>
      </ns0:c>
      <ns0:c r="B132" s="2" t="n">
        <ns0:v>7</ns0:v>
      </ns0:c>
      <ns0:c r="C132" s="2" t="inlineStr">
        <ns0:is>
          <ns0:t>dk-an-1693</ns0:t>
        </ns0:is>
      </ns0:c>
      <ns0:c r="D132" s="2" t="n">
        <ns0:v>3</ns0:v>
      </ns0:c>
      <ns0:c r="E132" s="6" t="inlineStr">
        <ns0:is>
          <ns0:t>Which sequence matches the account?</ns0:t>
        </ns0:is>
      </ns0:c>
      <ns0:c r="F132" s="6" t="inlineStr">
        <ns0:is>
          <ns0:t>Fishing at Ulleungdo → taken to Japan → negotiations</ns0:t>
        </ns0:is>
      </ns0:c>
      <ns0:c r="G132" s="6" t="inlineStr">
        <ns0:is>
          <ns0:t>Decree No. 41 → fishing → 1693</ns0:t>
        </ns0:is>
      </ns0:c>
      <ns0:c r="H132" s="6" t="inlineStr">
        <ns0:is>
          <ns0:t>The 1906 report → the 1693 incident</ns0:t>
        </ns0:is>
      </ns0:c>
      <ns0:c r="I132" s="6" t="n">
        <ns0:v>1</ns0:v>
      </ns0:c>
      <ns0:c r="J132" s="6" t="inlineStr">
        <ns0:is>
          <ns0:t>In 1693, An Yong-bok and Park Eo-dun were taken to Japan while fishing at Ulleungdo. The incident led to negotiations concerning Ulleungdo.</ns0:t>
        </ns0:is>
      </ns0:c>
      <ns0:c r="K132" s="6" t="inlineStr">
        <ns0:is>
          <ns0:t>In 1693, An Yong-bok and Park Eo-dun were taken to Japan while fishing at Ulleungdo. The incident led to negotiations concerning Ulleungdo.</ns0:t>
        </ns0:is>
      </ns0:c>
      <ns0:c r="L132" s="6" t="inlineStr">
        <ns0:is>
          <ns0:t>The selected option, “Decree No. 41 → fishing → 1693”, does not fit. The answer is “Fishing at Ulleungdo → taken to Japan → negotiations”. In 1693, An Yong-bok and Park Eo-dun were taken to Japan while fishing at Ulleungdo. The incident led to negotiations concerning Ulleungdo.</ns0:t>
        </ns0:is>
      </ns0:c>
      <ns0:c r="M132" s="6" t="inlineStr">
        <ns0:is>
          <ns0:t>The selected option, “The 1906 report → the 1693 incident”, does not fit. The answer is “Fishing at Ulleungdo → taken to Japan → negotiations”. In 1693, An Yong-bok and Park Eo-dun were taken to Japan while fishing at Ulleungdo. The incident led to negotiations concerning Ulleungdo.</ns0:t>
        </ns0:is>
      </ns0:c>
      <ns0:c r="N132" s="6" t="inlineStr">
        <ns0:is>
          <ns0:t>MOFA’s timeline describes the 1693 capture of An and Park while fishing at Ulleungdo and subsequent Joseon–Japan negotiations about Ulleungdo.</ns0:t>
        </ns0:is>
      </ns0:c>
      <ns0:c r="O132" s="6" t="inlineStr">
        <ns0:is>
          <ns0:t>https://dokdo.mofa.go.kr/kor/include/print_faq.jsp?class_faq=q5
https://dokdo.mofa.go.kr/m/kor/dokdo/reason_list.jsp</ns0:t>
        </ns0:is>
      </ns0:c>
      <ns0:c r="P132" s="3">
        <ns0:f>LEN(E132)+MAX(LEN(F132),LEN(G132),LEN(H132))</ns0:f>
        <ns0:v>87</ns0:v>
      </ns0:c>
      <ns0:c r="Q132" s="7" t="inlineStr">
        <ns0:is>
          <ns0:t>출처 기반 자체 검토 / 독립 승인 전</ns0:t>
        </ns0:is>
      </ns0:c>
    </ns0:row>
    <ns0:row r="133" ht="98" customHeight="1">
      <ns0:c r="A133" s="4" t="n">
        <ns0:v>910132</ns0:v>
      </ns0:c>
      <ns0:c r="B133" s="4" t="n">
        <ns0:v>7</ns0:v>
      </ns0:c>
      <ns0:c r="C133" s="4" t="inlineStr">
        <ns0:is>
          <ns0:t>dk-an-1693</ns0:t>
        </ns0:is>
      </ns0:c>
      <ns0:c r="D133" s="4" t="n">
        <ns0:v>4</ns0:v>
      </ns0:c>
      <ns0:c r="E133" s="8" t="inlineStr">
        <ns0:is>
          <ns0:t>What is wrong with treating 1693 and 1696 as one journey?</ns0:t>
        </ns0:is>
      </ns0:c>
      <ns0:c r="F133" s="8" t="inlineStr">
        <ns0:is>
          <ns0:t>Every journey by one person is the same event</ns0:t>
        </ns0:is>
      </ns0:c>
      <ns0:c r="G133" s="8" t="inlineStr">
        <ns0:is>
          <ns0:t>Different dates necessarily imply different people</ns0:t>
        </ns0:is>
      </ns0:c>
      <ns0:c r="H133" s="8" t="inlineStr">
        <ns0:is>
          <ns0:t>Their dates and circumstances must be distinguished</ns0:t>
        </ns0:is>
      </ns0:c>
      <ns0:c r="I133" s="8" t="n">
        <ns0:v>3</ns0:v>
      </ns0:c>
      <ns0:c r="J133" s="8" t="inlineStr">
        <ns0:is>
          <ns0:t>In 1693, An Yong-bok and Park Eo-dun were taken to Japan while fishing at Ulleungdo. The incident led to negotiations concerning Ulleungdo.</ns0:t>
        </ns0:is>
      </ns0:c>
      <ns0:c r="K133" s="8" t="inlineStr">
        <ns0:is>
          <ns0:t>The selected option, “Every journey by one person is the same event”, does not fit. The answer is “Their dates and circumstances must be distinguished”. In 1693, An Yong-bok and Park Eo-dun were taken to Japan while fishing at Ulleungdo. The incident led to negotiations concerning Ulleungdo.</ns0:t>
        </ns0:is>
      </ns0:c>
      <ns0:c r="L133" s="8" t="inlineStr">
        <ns0:is>
          <ns0:t>The selected option, “Different dates necessarily imply different people”, does not fit. The answer is “Their dates and circumstances must be distinguished”. In 1693, An Yong-bok and Park Eo-dun were taken to Japan while fishing at Ulleungdo. The incident led to negotiations concerning Ulleungdo.</ns0:t>
        </ns0:is>
      </ns0:c>
      <ns0:c r="M133" s="8" t="inlineStr">
        <ns0:is>
          <ns0:t>In 1693, An Yong-bok and Park Eo-dun were taken to Japan while fishing at Ulleungdo. The incident led to negotiations concerning Ulleungdo.</ns0:t>
        </ns0:is>
      </ns0:c>
      <ns0:c r="N133" s="8" t="inlineStr">
        <ns0:is>
          <ns0:t>MOFA’s timeline describes the 1693 capture of An and Park while fishing at Ulleungdo and subsequent Joseon–Japan negotiations about Ulleungdo.</ns0:t>
        </ns0:is>
      </ns0:c>
      <ns0:c r="O133" s="8" t="inlineStr">
        <ns0:is>
          <ns0:t>https://dokdo.mofa.go.kr/kor/include/print_faq.jsp?class_faq=q5
https://dokdo.mofa.go.kr/m/kor/dokdo/reason_list.jsp</ns0:t>
        </ns0:is>
      </ns0:c>
      <ns0:c r="P133" s="5">
        <ns0:f>LEN(E133)+MAX(LEN(F133),LEN(G133),LEN(H133))</ns0:f>
        <ns0:v>108</ns0:v>
      </ns0:c>
      <ns0:c r="Q133" s="9" t="inlineStr">
        <ns0:is>
          <ns0:t>출처 기반 자체 검토 / 독립 승인 전</ns0:t>
        </ns0:is>
      </ns0:c>
    </ns0:row>
    <ns0:row r="134" ht="98" customHeight="1">
      <ns0:c r="A134" s="2" t="n">
        <ns0:v>910133</ns0:v>
      </ns0:c>
      <ns0:c r="B134" s="2" t="n">
        <ns0:v>7</ns0:v>
      </ns0:c>
      <ns0:c r="C134" s="2" t="inlineStr">
        <ns0:is>
          <ns0:t>dk-an-records</ns0:t>
        </ns0:is>
      </ns0:c>
      <ns0:c r="D134" s="2" t="n">
        <ns0:v>1</ns0:v>
      </ns0:c>
      <ns0:c r="E134" s="6" t="inlineStr">
        <ns0:is>
          <ns0:t>Which Joseon record concerns An Yong-bok?</ns0:t>
        </ns0:is>
      </ns0:c>
      <ns0:c r="F134" s="6" t="inlineStr">
        <ns0:is>
          <ns0:t>A weather satellite image</ns0:t>
        </ns0:is>
      </ns0:c>
      <ns0:c r="G134" s="6" t="inlineStr">
        <ns0:is>
          <ns0:t>The Annals of Sukjong</ns0:t>
        </ns0:is>
      </ns0:c>
      <ns0:c r="H134" s="6" t="inlineStr">
        <ns0:is>
          <ns0:t>A modern ferry advertisement</ns0:t>
        </ns0:is>
      </ns0:c>
      <ns0:c r="I134" s="6" t="n">
        <ns0:v>2</ns0:v>
      </ns0:c>
      <ns0:c r="J134" s="6" t="inlineStr">
        <ns0:is>
          <ns0:t>An Yong-bok’s 1696 activity can be examined by comparing Joseon records with an inquiry record from Japan’s Oki Islands.</ns0:t>
        </ns0:is>
      </ns0:c>
      <ns0:c r="K134" s="6" t="inlineStr">
        <ns0:is>
          <ns0:t>The selected option, “A weather satellite image”, does not fit. The answer is “The Annals of Sukjong”. An Yong-bok’s 1696 activity can be examined by comparing Joseon records with an inquiry record from Japan’s Oki Islands.</ns0:t>
        </ns0:is>
      </ns0:c>
      <ns0:c r="L134" s="6" t="inlineStr">
        <ns0:is>
          <ns0:t>An Yong-bok’s 1696 activity can be examined by comparing Joseon records with an inquiry record from Japan’s Oki Islands.</ns0:t>
        </ns0:is>
      </ns0:c>
      <ns0:c r="M134" s="6" t="inlineStr">
        <ns0:is>
          <ns0:t>The selected option, “A modern ferry advertisement”, does not fit. The answer is “The Annals of Sukjong”. An Yong-bok’s 1696 activity can be examined by comparing Joseon records with an inquiry record from Japan’s Oki Islands.</ns0:t>
        </ns0:is>
      </ns0:c>
      <ns0:c r="N134" s="6" t="inlineStr"/>
      <ns0:c r="O134" s="6" t="inlineStr">
        <ns0:is>
          <ns0:t>https://dokdo.mofa.go.kr/kor/include/print_faq.jsp?class_faq=q5</ns0:t>
        </ns0:is>
      </ns0:c>
      <ns0:c r="P134" s="3">
        <ns0:f>LEN(E134)+MAX(LEN(F134),LEN(G134),LEN(H134))</ns0:f>
        <ns0:v>69</ns0:v>
      </ns0:c>
      <ns0:c r="Q134" s="7" t="inlineStr">
        <ns0:is>
          <ns0:t>출처 기반 자체 검토 / 독립 승인 전</ns0:t>
        </ns0:is>
      </ns0:c>
    </ns0:row>
    <ns0:row r="135" ht="98" customHeight="1">
      <ns0:c r="A135" s="4" t="n">
        <ns0:v>910134</ns0:v>
      </ns0:c>
      <ns0:c r="B135" s="4" t="n">
        <ns0:v>7</ns0:v>
      </ns0:c>
      <ns0:c r="C135" s="4" t="inlineStr">
        <ns0:is>
          <ns0:t>dk-an-records</ns0:t>
        </ns0:is>
      </ns0:c>
      <ns0:c r="D135" s="4" t="n">
        <ns0:v>2</ns0:v>
      </ns0:c>
      <ns0:c r="E135" s="8" t="inlineStr">
        <ns0:is>
          <ns0:t>Why examine records from both Joseon and Japan?</ns0:t>
        </ns0:is>
      </ns0:c>
      <ns0:c r="F135" s="8" t="inlineStr">
        <ns0:is>
          <ns0:t>To compare accounts of the event</ns0:t>
        </ns0:is>
      </ns0:c>
      <ns0:c r="G135" s="8" t="inlineStr">
        <ns0:is>
          <ns0:t>To erase both dates</ns0:t>
        </ns0:is>
      </ns0:c>
      <ns0:c r="H135" s="8" t="inlineStr">
        <ns0:is>
          <ns0:t>Only to make their word counts equal</ns0:t>
        </ns0:is>
      </ns0:c>
      <ns0:c r="I135" s="8" t="n">
        <ns0:v>1</ns0:v>
      </ns0:c>
      <ns0:c r="J135" s="8" t="inlineStr">
        <ns0:is>
          <ns0:t>An Yong-bok’s 1696 activity can be examined by comparing Joseon records with an inquiry record from Japan’s Oki Islands.</ns0:t>
        </ns0:is>
      </ns0:c>
      <ns0:c r="K135" s="8" t="inlineStr">
        <ns0:is>
          <ns0:t>An Yong-bok’s 1696 activity can be examined by comparing Joseon records with an inquiry record from Japan’s Oki Islands.</ns0:t>
        </ns0:is>
      </ns0:c>
      <ns0:c r="L135" s="8" t="inlineStr">
        <ns0:is>
          <ns0:t>The selected option, “To erase both dates”, does not fit. The answer is “To compare accounts of the event”. An Yong-bok’s 1696 activity can be examined by comparing Joseon records with an inquiry record from Japan’s Oki Islands.</ns0:t>
        </ns0:is>
      </ns0:c>
      <ns0:c r="M135" s="8" t="inlineStr">
        <ns0:is>
          <ns0:t>The selected option, “Only to make their word counts equal”, does not fit. The answer is “To compare accounts of the event”. An Yong-bok’s 1696 activity can be examined by comparing Joseon records with an inquiry record from Japan’s Oki Islands.</ns0:t>
        </ns0:is>
      </ns0:c>
      <ns0:c r="N135" s="8" t="inlineStr"/>
      <ns0:c r="O135" s="8" t="inlineStr">
        <ns0:is>
          <ns0:t>https://dokdo.mofa.go.kr/kor/include/print_faq.jsp?class_faq=q5</ns0:t>
        </ns0:is>
      </ns0:c>
      <ns0:c r="P135" s="5">
        <ns0:f>LEN(E135)+MAX(LEN(F135),LEN(G135),LEN(H135))</ns0:f>
        <ns0:v>83</ns0:v>
      </ns0:c>
      <ns0:c r="Q135" s="9" t="inlineStr">
        <ns0:is>
          <ns0:t>출처 기반 자체 검토 / 독립 승인 전</ns0:t>
        </ns0:is>
      </ns0:c>
    </ns0:row>
    <ns0:row r="136" ht="98" customHeight="1">
      <ns0:c r="A136" s="2" t="n">
        <ns0:v>910135</ns0:v>
      </ns0:c>
      <ns0:c r="B136" s="2" t="n">
        <ns0:v>7</ns0:v>
      </ns0:c>
      <ns0:c r="C136" s="2" t="inlineStr">
        <ns0:is>
          <ns0:t>dk-an-records</ns0:t>
        </ns0:is>
      </ns0:c>
      <ns0:c r="D136" s="2" t="n">
        <ns0:v>3</ns0:v>
      </ns0:c>
      <ns0:c r="E136" s="6" t="inlineStr">
        <ns0:is>
          <ns0:t>What should be compared across the supplied records?</ns0:t>
        </ns0:is>
      </ns0:c>
      <ns0:c r="F136" s="6" t="inlineStr">
        <ns0:is>
          <ns0:t>Only cover colours</ns0:t>
        </ns0:is>
      </ns0:c>
      <ns0:c r="G136" s="6" t="inlineStr">
        <ns0:is>
          <ns0:t>Only today’s sea temperature</ns0:t>
        </ns0:is>
      </ns0:c>
      <ns0:c r="H136" s="6" t="inlineStr">
        <ns0:is>
          <ns0:t>Context and agreements or differences about events</ns0:t>
        </ns0:is>
      </ns0:c>
      <ns0:c r="I136" s="6" t="n">
        <ns0:v>3</ns0:v>
      </ns0:c>
      <ns0:c r="J136" s="6" t="inlineStr">
        <ns0:is>
          <ns0:t>An Yong-bok’s 1696 activity can be examined by comparing Joseon records with an inquiry record from Japan’s Oki Islands.</ns0:t>
        </ns0:is>
      </ns0:c>
      <ns0:c r="K136" s="6" t="inlineStr">
        <ns0:is>
          <ns0:t>The selected option, “Only cover colours”, does not fit. The answer is “Context and agreements or differences about events”. An Yong-bok’s 1696 activity can be examined by comparing Joseon records with an inquiry record from Japan’s Oki Islands.</ns0:t>
        </ns0:is>
      </ns0:c>
      <ns0:c r="L136" s="6" t="inlineStr">
        <ns0:is>
          <ns0:t>The selected option, “Only today’s sea temperature”, does not fit. The answer is “Context and agreements or differences about events”. An Yong-bok’s 1696 activity can be examined by comparing Joseon records with an inquiry record from Japan’s Oki Islands.</ns0:t>
        </ns0:is>
      </ns0:c>
      <ns0:c r="M136" s="6" t="inlineStr">
        <ns0:is>
          <ns0:t>An Yong-bok’s 1696 activity can be examined by comparing Joseon records with an inquiry record from Japan’s Oki Islands.</ns0:t>
        </ns0:is>
      </ns0:c>
      <ns0:c r="N136" s="6" t="inlineStr">
        <ns0:is>
          <ns0:t>MOFA discusses statements in the Annals of Sukjong alongside an Oki Islands inquiry record from 1696. Their places and purposes of production also matter.</ns0:t>
        </ns0:is>
      </ns0:c>
      <ns0:c r="O136" s="6" t="inlineStr">
        <ns0:is>
          <ns0:t>https://dokdo.mofa.go.kr/kor/include/print_faq.jsp?class_faq=q5</ns0:t>
        </ns0:is>
      </ns0:c>
      <ns0:c r="P136" s="3">
        <ns0:f>LEN(E136)+MAX(LEN(F136),LEN(G136),LEN(H136))</ns0:f>
        <ns0:v>102</ns0:v>
      </ns0:c>
      <ns0:c r="Q136" s="7" t="inlineStr">
        <ns0:is>
          <ns0:t>출처 기반 자체 검토 / 독립 승인 전</ns0:t>
        </ns0:is>
      </ns0:c>
    </ns0:row>
    <ns0:row r="137" ht="98" customHeight="1">
      <ns0:c r="A137" s="4" t="n">
        <ns0:v>910136</ns0:v>
      </ns0:c>
      <ns0:c r="B137" s="4" t="n">
        <ns0:v>7</ns0:v>
      </ns0:c>
      <ns0:c r="C137" s="4" t="inlineStr">
        <ns0:is>
          <ns0:t>dk-an-records</ns0:t>
        </ns0:is>
      </ns0:c>
      <ns0:c r="D137" s="4" t="n">
        <ns0:v>4</ns0:v>
      </ns0:c>
      <ns0:c r="E137" s="8" t="inlineStr">
        <ns0:is>
          <ns0:t>Do two sources necessarily agree on every detail?</ns0:t>
        </ns0:is>
      </ns0:c>
      <ns0:c r="F137" s="8" t="inlineStr">
        <ns0:is>
          <ns0:t>Sources from another country must be excluded</ns0:t>
        </ns0:is>
      </ns0:c>
      <ns0:c r="G137" s="8" t="inlineStr">
        <ns0:is>
          <ns0:t>Each point of agreement and difference needs checking</ns0:t>
        </ns0:is>
      </ns0:c>
      <ns0:c r="H137" s="8" t="inlineStr">
        <ns0:is>
          <ns0:t>The number two proves complete agreement</ns0:t>
        </ns0:is>
      </ns0:c>
      <ns0:c r="I137" s="8" t="n">
        <ns0:v>2</ns0:v>
      </ns0:c>
      <ns0:c r="J137" s="8" t="inlineStr">
        <ns0:is>
          <ns0:t>An Yong-bok’s 1696 activity can be examined by comparing Joseon records with an inquiry record from Japan’s Oki Islands.</ns0:t>
        </ns0:is>
      </ns0:c>
      <ns0:c r="K137" s="8" t="inlineStr">
        <ns0:is>
          <ns0:t>The selected option, “Sources from another country must be excluded”, does not fit. The answer is “Each point of agreement and difference needs checking”. An Yong-bok’s 1696 activity can be examined by comparing Joseon records with an inquiry record from Japan’s Oki Islands.</ns0:t>
        </ns0:is>
      </ns0:c>
      <ns0:c r="L137" s="8" t="inlineStr">
        <ns0:is>
          <ns0:t>An Yong-bok’s 1696 activity can be examined by comparing Joseon records with an inquiry record from Japan’s Oki Islands.</ns0:t>
        </ns0:is>
      </ns0:c>
      <ns0:c r="M137" s="8" t="inlineStr">
        <ns0:is>
          <ns0:t>The selected option, “The number two proves complete agreement”, does not fit. The answer is “Each point of agreement and difference needs checking”. An Yong-bok’s 1696 activity can be examined by comparing Joseon records with an inquiry record from Japan’s Oki Islands.</ns0:t>
        </ns0:is>
      </ns0:c>
      <ns0:c r="N137" s="8" t="inlineStr">
        <ns0:is>
          <ns0:t>MOFA discusses statements in the Annals of Sukjong alongside an Oki Islands inquiry record from 1696. Their places and purposes of production also matter.</ns0:t>
        </ns0:is>
      </ns0:c>
      <ns0:c r="O137" s="8" t="inlineStr">
        <ns0:is>
          <ns0:t>https://dokdo.mofa.go.kr/kor/include/print_faq.jsp?class_faq=q5</ns0:t>
        </ns0:is>
      </ns0:c>
      <ns0:c r="P137" s="5">
        <ns0:f>LEN(E137)+MAX(LEN(F137),LEN(G137),LEN(H137))</ns0:f>
        <ns0:v>102</ns0:v>
      </ns0:c>
      <ns0:c r="Q137" s="9" t="inlineStr">
        <ns0:is>
          <ns0:t>출처 기반 자체 검토 / 독립 승인 전</ns0:t>
        </ns0:is>
      </ns0:c>
    </ns0:row>
    <ns0:row r="138" ht="98" customHeight="1">
      <ns0:c r="A138" s="2" t="n">
        <ns0:v>910137</ns0:v>
      </ns0:c>
      <ns0:c r="B138" s="2" t="n">
        <ns0:v>7</ns0:v>
      </ns0:c>
      <ns0:c r="C138" s="2" t="inlineStr">
        <ns0:is>
          <ns0:t>dk-an-chronology</ns0:t>
        </ns0:is>
      </ns0:c>
      <ns0:c r="D138" s="2" t="n">
        <ns0:v>1</ns0:v>
      </ns0:c>
      <ns0:c r="E138" s="6" t="inlineStr">
        <ns0:is>
          <ns0:t>What does dohae mean?</ns0:t>
        </ns0:is>
      </ns0:c>
      <ns0:c r="F138" s="6" t="inlineStr">
        <ns0:is>
          <ns0:t>Crossing the sea</ns0:t>
        </ns0:is>
      </ns0:c>
      <ns0:c r="G138" s="6" t="inlineStr">
        <ns0:is>
          <ns0:t>Measuring mountain height</ns0:t>
        </ns0:is>
      </ns0:c>
      <ns0:c r="H138" s="6" t="inlineStr">
        <ns0:is>
          <ns0:t>Erasing an island name</ns0:t>
        </ns0:is>
      </ns0:c>
      <ns0:c r="I138" s="6" t="n">
        <ns0:v>1</ns0:v>
      </ns0:c>
      <ns0:c r="J138" s="6" t="inlineStr">
        <ns0:is>
          <ns0:t>The timeline places the Ulleungdo voyage prohibition in January 1696 and An Yong-bok’s journey in May. Events within a year still have an order.</ns0:t>
        </ns0:is>
      </ns0:c>
      <ns0:c r="K138" s="6" t="inlineStr">
        <ns0:is>
          <ns0:t>The timeline places the Ulleungdo voyage prohibition in January 1696 and An Yong-bok’s journey in May. Events within a year still have an order.</ns0:t>
        </ns0:is>
      </ns0:c>
      <ns0:c r="L138" s="6" t="inlineStr">
        <ns0:is>
          <ns0:t>The selected option, “Measuring mountain height”, does not fit. The answer is “Crossing the sea”. The timeline places the Ulleungdo voyage prohibition in January 1696 and An Yong-bok’s journey in May. Events within a year still have an order.</ns0:t>
        </ns0:is>
      </ns0:c>
      <ns0:c r="M138" s="6" t="inlineStr">
        <ns0:is>
          <ns0:t>The selected option, “Erasing an island name”, does not fit. The answer is “Crossing the sea”. The timeline places the Ulleungdo voyage prohibition in January 1696 and An Yong-bok’s journey in May. Events within a year still have an order.</ns0:t>
        </ns0:is>
      </ns0:c>
      <ns0:c r="N138" s="6" t="inlineStr"/>
      <ns0:c r="O138" s="6" t="inlineStr">
        <ns0:is>
          <ns0:t>https://dokdo.mofa.go.kr/m/kor/dokdo/reason_list.jsp</ns0:t>
        </ns0:is>
      </ns0:c>
      <ns0:c r="P138" s="3">
        <ns0:f>LEN(E138)+MAX(LEN(F138),LEN(G138),LEN(H138))</ns0:f>
        <ns0:v>46</ns0:v>
      </ns0:c>
      <ns0:c r="Q138" s="7" t="inlineStr">
        <ns0:is>
          <ns0:t>출처 기반 자체 검토 / 독립 승인 전</ns0:t>
        </ns0:is>
      </ns0:c>
    </ns0:row>
    <ns0:row r="139" ht="98" customHeight="1">
      <ns0:c r="A139" s="4" t="n">
        <ns0:v>910138</ns0:v>
      </ns0:c>
      <ns0:c r="B139" s="4" t="n">
        <ns0:v>7</ns0:v>
      </ns0:c>
      <ns0:c r="C139" s="4" t="inlineStr">
        <ns0:is>
          <ns0:t>dk-an-chronology</ns0:t>
        </ns0:is>
      </ns0:c>
      <ns0:c r="D139" s="4" t="n">
        <ns0:v>2</ns0:v>
      </ns0:c>
      <ns0:c r="E139" s="8" t="inlineStr">
        <ns0:is>
          <ns0:t>Which comes earlier within the same year?</ns0:t>
        </ns0:is>
      </ns0:c>
      <ns0:c r="F139" s="8" t="inlineStr">
        <ns0:is>
          <ns0:t>The May journey</ns0:t>
        </ns0:is>
      </ns0:c>
      <ns0:c r="G139" s="8" t="inlineStr">
        <ns0:is>
          <ns0:t>Both happened on the same day</ns0:t>
        </ns0:is>
      </ns0:c>
      <ns0:c r="H139" s="8" t="inlineStr">
        <ns0:is>
          <ns0:t>The January prohibition</ns0:t>
        </ns0:is>
      </ns0:c>
      <ns0:c r="I139" s="8" t="n">
        <ns0:v>3</ns0:v>
      </ns0:c>
      <ns0:c r="J139" s="8" t="inlineStr">
        <ns0:is>
          <ns0:t>The timeline places the Ulleungdo voyage prohibition in January 1696 and An Yong-bok’s journey in May. Events within a year still have an order.</ns0:t>
        </ns0:is>
      </ns0:c>
      <ns0:c r="K139" s="8" t="inlineStr">
        <ns0:is>
          <ns0:t>The selected option, “The May journey”, does not fit. The answer is “The January prohibition”. The timeline places the Ulleungdo voyage prohibition in January 1696 and An Yong-bok’s journey in May. Events within a year still have an order.</ns0:t>
        </ns0:is>
      </ns0:c>
      <ns0:c r="L139" s="8" t="inlineStr">
        <ns0:is>
          <ns0:t>The selected option, “Both happened on the same day”, does not fit. The answer is “The January prohibition”. The timeline places the Ulleungdo voyage prohibition in January 1696 and An Yong-bok’s journey in May. Events within a year still have an order.</ns0:t>
        </ns0:is>
      </ns0:c>
      <ns0:c r="M139" s="8" t="inlineStr">
        <ns0:is>
          <ns0:t>The timeline places the Ulleungdo voyage prohibition in January 1696 and An Yong-bok’s journey in May. Events within a year still have an order.</ns0:t>
        </ns0:is>
      </ns0:c>
      <ns0:c r="N139" s="8" t="inlineStr"/>
      <ns0:c r="O139" s="8" t="inlineStr">
        <ns0:is>
          <ns0:t>https://dokdo.mofa.go.kr/m/kor/dokdo/reason_list.jsp</ns0:t>
        </ns0:is>
      </ns0:c>
      <ns0:c r="P139" s="5">
        <ns0:f>LEN(E139)+MAX(LEN(F139),LEN(G139),LEN(H139))</ns0:f>
        <ns0:v>70</ns0:v>
      </ns0:c>
      <ns0:c r="Q139" s="9" t="inlineStr">
        <ns0:is>
          <ns0:t>출처 기반 자체 검토 / 독립 승인 전</ns0:t>
        </ns0:is>
      </ns0:c>
    </ns0:row>
    <ns0:row r="140" ht="98" customHeight="1">
      <ns0:c r="A140" s="2" t="n">
        <ns0:v>910139</ns0:v>
      </ns0:c>
      <ns0:c r="B140" s="2" t="n">
        <ns0:v>7</ns0:v>
      </ns0:c>
      <ns0:c r="C140" s="2" t="inlineStr">
        <ns0:is>
          <ns0:t>dk-an-chronology</ns0:t>
        </ns0:is>
      </ns0:c>
      <ns0:c r="D140" s="2" t="n">
        <ns0:v>3</ns0:v>
      </ns0:c>
      <ns0:c r="E140" s="6" t="inlineStr">
        <ns0:is>
          <ns0:t>Which order is supported by the timeline?</ns0:t>
        </ns0:is>
      </ns0:c>
      <ns0:c r="F140" s="6" t="inlineStr">
        <ns0:is>
          <ns0:t>The events belong to different centuries</ns0:t>
        </ns0:is>
      </ns0:c>
      <ns0:c r="G140" s="6" t="inlineStr">
        <ns0:is>
          <ns0:t>The prohibition preceded the May journey</ns0:t>
        </ns0:is>
      </ns0:c>
      <ns0:c r="H140" s="6" t="inlineStr">
        <ns0:is>
          <ns0:t>The May journey preceded the January prohibition</ns0:t>
        </ns0:is>
      </ns0:c>
      <ns0:c r="I140" s="6" t="n">
        <ns0:v>2</ns0:v>
      </ns0:c>
      <ns0:c r="J140" s="6" t="inlineStr">
        <ns0:is>
          <ns0:t>The timeline places the Ulleungdo voyage prohibition in January 1696 and An Yong-bok’s journey in May. Events within a year still have an order.</ns0:t>
        </ns0:is>
      </ns0:c>
      <ns0:c r="K140" s="6" t="inlineStr">
        <ns0:is>
          <ns0:t>The selected option, “The events belong to different centuries”, does not fit. The answer is “The prohibition preceded the May journey”. The timeline places the Ulleungdo voyage prohibition in January 1696 and An Yong-bok’s journey in May. Events within a year still have an order.</ns0:t>
        </ns0:is>
      </ns0:c>
      <ns0:c r="L140" s="6" t="inlineStr">
        <ns0:is>
          <ns0:t>The timeline places the Ulleungdo voyage prohibition in January 1696 and An Yong-bok’s journey in May. Events within a year still have an order.</ns0:t>
        </ns0:is>
      </ns0:c>
      <ns0:c r="M140" s="6" t="inlineStr">
        <ns0:is>
          <ns0:t>The selected option, “The May journey preceded the January prohibition”, does not fit. The answer is “The prohibition preceded the May journey”. The timeline places the Ulleungdo voyage prohibition in January 1696 and An Yong-bok’s journey in May. Events within a year still have an order.</ns0:t>
        </ns0:is>
      </ns0:c>
      <ns0:c r="N140" s="6" t="inlineStr">
        <ns0:is>
          <ns0:t>MOFA timeline: January 1696, prohibition on voyages to Takeshima (then referring to Ulleungdo); May 1696, An’s crossing to Japan. A voyage crosses the sea.</ns0:t>
        </ns0:is>
      </ns0:c>
      <ns0:c r="O140" s="6" t="inlineStr">
        <ns0:is>
          <ns0:t>https://dokdo.mofa.go.kr/m/kor/dokdo/reason_list.jsp</ns0:t>
        </ns0:is>
      </ns0:c>
      <ns0:c r="P140" s="3">
        <ns0:f>LEN(E140)+MAX(LEN(F140),LEN(G140),LEN(H140))</ns0:f>
        <ns0:v>89</ns0:v>
      </ns0:c>
      <ns0:c r="Q140" s="7" t="inlineStr">
        <ns0:is>
          <ns0:t>출처 기반 자체 검토 / 독립 승인 전</ns0:t>
        </ns0:is>
      </ns0:c>
    </ns0:row>
    <ns0:row r="141" ht="98" customHeight="1">
      <ns0:c r="A141" s="4" t="n">
        <ns0:v>910140</ns0:v>
      </ns0:c>
      <ns0:c r="B141" s="4" t="n">
        <ns0:v>7</ns0:v>
      </ns0:c>
      <ns0:c r="C141" s="4" t="inlineStr">
        <ns0:is>
          <ns0:t>dk-an-chronology</ns0:t>
        </ns0:is>
      </ns0:c>
      <ns0:c r="D141" s="4" t="n">
        <ns0:v>4</ns0:v>
      </ns0:c>
      <ns0:c r="E141" s="8" t="inlineStr">
        <ns0:is>
          <ns0:t>Evaluate “The May journey caused that January prohibition.”</ns0:t>
        </ns0:is>
      </ns0:c>
      <ns0:c r="F141" s="8" t="inlineStr">
        <ns0:is>
          <ns0:t>It contradicts the supplied chronology</ns0:t>
        </ns0:is>
      </ns0:c>
      <ns0:c r="G141" s="8" t="inlineStr">
        <ns0:is>
          <ns0:t>Order does not matter within one year</ns0:t>
        </ns0:is>
      </ns0:c>
      <ns0:c r="H141" s="8" t="inlineStr">
        <ns0:is>
          <ns0:t>Dates may be changed if the person is the same</ns0:t>
        </ns0:is>
      </ns0:c>
      <ns0:c r="I141" s="8" t="n">
        <ns0:v>1</ns0:v>
      </ns0:c>
      <ns0:c r="J141" s="8" t="inlineStr">
        <ns0:is>
          <ns0:t>The timeline places the Ulleungdo voyage prohibition in January 1696 and An Yong-bok’s journey in May. Events within a year still have an order.</ns0:t>
        </ns0:is>
      </ns0:c>
      <ns0:c r="K141" s="8" t="inlineStr">
        <ns0:is>
          <ns0:t>The timeline places the Ulleungdo voyage prohibition in January 1696 and An Yong-bok’s journey in May. Events within a year still have an order.</ns0:t>
        </ns0:is>
      </ns0:c>
      <ns0:c r="L141" s="8" t="inlineStr">
        <ns0:is>
          <ns0:t>The selected option, “Order does not matter within one year”, does not fit. The answer is “It contradicts the supplied chronology”. The timeline places the Ulleungdo voyage prohibition in January 1696 and An Yong-bok’s journey in May. Events within a year still have an order.</ns0:t>
        </ns0:is>
      </ns0:c>
      <ns0:c r="M141" s="8" t="inlineStr">
        <ns0:is>
          <ns0:t>The selected option, “Dates may be changed if the person is the same”, does not fit. The answer is “It contradicts the supplied chronology”. The timeline places the Ulleungdo voyage prohibition in January 1696 and An Yong-bok’s journey in May. Events within a year still have an order.</ns0:t>
        </ns0:is>
      </ns0:c>
      <ns0:c r="N141" s="8" t="inlineStr">
        <ns0:is>
          <ns0:t>MOFA timeline: January 1696, prohibition on voyages to Takeshima (then referring to Ulleungdo); May 1696, An’s crossing to Japan. A voyage crosses the sea.</ns0:t>
        </ns0:is>
      </ns0:c>
      <ns0:c r="O141" s="8" t="inlineStr">
        <ns0:is>
          <ns0:t>https://dokdo.mofa.go.kr/m/kor/dokdo/reason_list.jsp</ns0:t>
        </ns0:is>
      </ns0:c>
      <ns0:c r="P141" s="5">
        <ns0:f>LEN(E141)+MAX(LEN(F141),LEN(G141),LEN(H141))</ns0:f>
        <ns0:v>105</ns0:v>
      </ns0:c>
      <ns0:c r="Q141" s="9" t="inlineStr">
        <ns0:is>
          <ns0:t>출처 기반 자체 검토 / 독립 승인 전</ns0:t>
        </ns0:is>
      </ns0:c>
    </ns0:row>
    <ns0:row r="142" ht="98" customHeight="1">
      <ns0:c r="A142" s="2" t="n">
        <ns0:v>910141</ns0:v>
      </ns0:c>
      <ns0:c r="B142" s="2" t="n">
        <ns0:v>8</ns0:v>
      </ns0:c>
      <ns0:c r="C142" s="2" t="inlineStr">
        <ns0:is>
          <ns0:t>dk-decree-name</ns0:t>
        </ns0:is>
      </ns0:c>
      <ns0:c r="D142" s="2" t="n">
        <ns0:v>1</ns0:v>
      </ns0:c>
      <ns0:c r="E142" s="6" t="inlineStr">
        <ns0:is>
          <ns0:t>What new name did Decree No. 41 assign?</ns0:t>
        </ns0:is>
      </ns0:c>
      <ns0:c r="F142" s="6" t="inlineStr">
        <ns0:is>
          <ns0:t>Jeju</ns0:t>
        </ns0:is>
      </ns0:c>
      <ns0:c r="G142" s="6" t="inlineStr">
        <ns0:is>
          <ns0:t>Ganghwa</ns0:t>
        </ns0:is>
      </ns0:c>
      <ns0:c r="H142" s="6" t="inlineStr">
        <ns0:is>
          <ns0:t>Uldo</ns0:t>
        </ns0:is>
      </ns0:c>
      <ns0:c r="I142" s="6" t="n">
        <ns0:v>3</ns0:v>
      </ns0:c>
      <ns0:c r="J142" s="6" t="inlineStr">
        <ns0:is>
          <ns0:t>Korean Empire Decree No. 41 of 1900 renamed Ulleungdo as Uldo and set out an administrative structure.</ns0:t>
        </ns0:is>
      </ns0:c>
      <ns0:c r="K142" s="6" t="inlineStr">
        <ns0:is>
          <ns0:t>The selected option, “Jeju”, does not fit. The answer is “Uldo”. Korean Empire Decree No. 41 of 1900 renamed Ulleungdo as Uldo and set out an administrative structure.</ns0:t>
        </ns0:is>
      </ns0:c>
      <ns0:c r="L142" s="6" t="inlineStr">
        <ns0:is>
          <ns0:t>The selected option, “Ganghwa”, does not fit. The answer is “Uldo”. Korean Empire Decree No. 41 of 1900 renamed Ulleungdo as Uldo and set out an administrative structure.</ns0:t>
        </ns0:is>
      </ns0:c>
      <ns0:c r="M142" s="6" t="inlineStr">
        <ns0:is>
          <ns0:t>Korean Empire Decree No. 41 of 1900 renamed Ulleungdo as Uldo and set out an administrative structure.</ns0:t>
        </ns0:is>
      </ns0:c>
      <ns0:c r="N142" s="6" t="inlineStr"/>
      <ns0:c r="O142" s="6" t="inlineStr">
        <ns0:is>
          <ns0:t>https://dokdo.mofa.go.kr/kor/pds/part02_view02.jsp</ns0:t>
        </ns0:is>
      </ns0:c>
      <ns0:c r="P142" s="3">
        <ns0:f>LEN(E142)+MAX(LEN(F142),LEN(G142),LEN(H142))</ns0:f>
        <ns0:v>46</ns0:v>
      </ns0:c>
      <ns0:c r="Q142" s="7" t="inlineStr">
        <ns0:is>
          <ns0:t>출처 기반 자체 검토 / 독립 승인 전</ns0:t>
        </ns0:is>
      </ns0:c>
    </ns0:row>
    <ns0:row r="143" ht="98" customHeight="1">
      <ns0:c r="A143" s="4" t="n">
        <ns0:v>910142</ns0:v>
      </ns0:c>
      <ns0:c r="B143" s="4" t="n">
        <ns0:v>8</ns0:v>
      </ns0:c>
      <ns0:c r="C143" s="4" t="inlineStr">
        <ns0:is>
          <ns0:t>dk-decree-name</ns0:t>
        </ns0:is>
      </ns0:c>
      <ns0:c r="D143" s="4" t="n">
        <ns0:v>2</ns0:v>
      </ns0:c>
      <ns0:c r="E143" s="8" t="inlineStr">
        <ns0:is>
          <ns0:t>What does renaming Ulleungdo as Uldo mean?</ns0:t>
        </ns0:is>
      </ns0:c>
      <ns0:c r="F143" s="8" t="inlineStr">
        <ns0:is>
          <ns0:t>Removing all the island’s rock</ns0:t>
        </ns0:is>
      </ns0:c>
      <ns0:c r="G143" s="8" t="inlineStr">
        <ns0:is>
          <ns0:t>Changing the administrative name</ns0:t>
        </ns0:is>
      </ns0:c>
      <ns0:c r="H143" s="8" t="inlineStr">
        <ns0:is>
          <ns0:t>Moving the island to another sea</ns0:t>
        </ns0:is>
      </ns0:c>
      <ns0:c r="I143" s="8" t="n">
        <ns0:v>2</ns0:v>
      </ns0:c>
      <ns0:c r="J143" s="8" t="inlineStr">
        <ns0:is>
          <ns0:t>Korean Empire Decree No. 41 of 1900 renamed Ulleungdo as Uldo and set out an administrative structure.</ns0:t>
        </ns0:is>
      </ns0:c>
      <ns0:c r="K143" s="8" t="inlineStr">
        <ns0:is>
          <ns0:t>The selected option, “Removing all the island’s rock”, does not fit. The answer is “Changing the administrative name”. Korean Empire Decree No. 41 of 1900 renamed Ulleungdo as Uldo and set out an administrative structure.</ns0:t>
        </ns0:is>
      </ns0:c>
      <ns0:c r="L143" s="8" t="inlineStr">
        <ns0:is>
          <ns0:t>Korean Empire Decree No. 41 of 1900 renamed Ulleungdo as Uldo and set out an administrative structure.</ns0:t>
        </ns0:is>
      </ns0:c>
      <ns0:c r="M143" s="8" t="inlineStr">
        <ns0:is>
          <ns0:t>The selected option, “Moving the island to another sea”, does not fit. The answer is “Changing the administrative name”. Korean Empire Decree No. 41 of 1900 renamed Ulleungdo as Uldo and set out an administrative structure.</ns0:t>
        </ns0:is>
      </ns0:c>
      <ns0:c r="N143" s="8" t="inlineStr"/>
      <ns0:c r="O143" s="8" t="inlineStr">
        <ns0:is>
          <ns0:t>https://dokdo.mofa.go.kr/kor/pds/part02_view02.jsp</ns0:t>
        </ns0:is>
      </ns0:c>
      <ns0:c r="P143" s="5">
        <ns0:f>LEN(E143)+MAX(LEN(F143),LEN(G143),LEN(H143))</ns0:f>
        <ns0:v>74</ns0:v>
      </ns0:c>
      <ns0:c r="Q143" s="9" t="inlineStr">
        <ns0:is>
          <ns0:t>출처 기반 자체 검토 / 독립 승인 전</ns0:t>
        </ns0:is>
      </ns0:c>
    </ns0:row>
    <ns0:row r="144" ht="98" customHeight="1">
      <ns0:c r="A144" s="2" t="n">
        <ns0:v>910143</ns0:v>
      </ns0:c>
      <ns0:c r="B144" s="2" t="n">
        <ns0:v>8</ns0:v>
      </ns0:c>
      <ns0:c r="C144" s="2" t="inlineStr">
        <ns0:is>
          <ns0:t>dk-decree-name</ns0:t>
        </ns0:is>
      </ns0:c>
      <ns0:c r="D144" s="2" t="n">
        <ns0:v>3</ns0:v>
      </ns0:c>
      <ns0:c r="E144" s="6" t="inlineStr">
        <ns0:is>
          <ns0:t>Which action is stated in Article 1?</ns0:t>
        </ns0:is>
      </ns0:c>
      <ns0:c r="F144" s="6" t="inlineStr">
        <ns0:is>
          <ns0:t>Setting the name Uldo and attachment to Gangwon-do</ns0:t>
        </ns0:is>
      </ns0:c>
      <ns0:c r="G144" s="6" t="inlineStr">
        <ns0:is>
          <ns0:t>Setting the name Uldo and attachment to Gyeongsangbuk-do</ns0:t>
        </ns0:is>
      </ns0:c>
      <ns0:c r="H144" s="6" t="inlineStr">
        <ns0:is>
          <ns0:t>Keeping Ulleungdo as the name and abolishing the county</ns0:t>
        </ns0:is>
      </ns0:c>
      <ns0:c r="I144" s="6" t="n">
        <ns0:v>1</ns0:v>
      </ns0:c>
      <ns0:c r="J144" s="6" t="inlineStr">
        <ns0:is>
          <ns0:t>Korean Empire Decree No. 41 of 1900 renamed Ulleungdo as Uldo and set out an administrative structure.</ns0:t>
        </ns0:is>
      </ns0:c>
      <ns0:c r="K144" s="6" t="inlineStr">
        <ns0:is>
          <ns0:t>Korean Empire Decree No. 41 of 1900 renamed Ulleungdo as Uldo and set out an administrative structure.</ns0:t>
        </ns0:is>
      </ns0:c>
      <ns0:c r="L144" s="6" t="inlineStr">
        <ns0:is>
          <ns0:t>The selected option, “Setting the name Uldo and attachment to Gyeongsangbuk-do”, does not fit. The answer is “Setting the name Uldo and attachment to Gangwon-do”. Korean Empire Decree No. 41 of 1900 renamed Ulleungdo as Uldo and set out an administrative structure.</ns0:t>
        </ns0:is>
      </ns0:c>
      <ns0:c r="M144" s="6" t="inlineStr">
        <ns0:is>
          <ns0:t>The selected option, “Keeping Ulleungdo as the name and abolishing the county”, does not fit. The answer is “Setting the name Uldo and attachment to Gangwon-do”. Korean Empire Decree No. 41 of 1900 renamed Ulleungdo as Uldo and set out an administrative structure.</ns0:t>
        </ns0:is>
      </ns0:c>
      <ns0:c r="N144" s="6" t="inlineStr">
        <ns0:is>
          <ns0:t>Article 1 of Decree No. 41 renames Ulleungdo as Uldo and places it under Gangwon-do. Renaming changes a designation.</ns0:t>
        </ns0:is>
      </ns0:c>
      <ns0:c r="O144" s="6" t="inlineStr">
        <ns0:is>
          <ns0:t>https://dokdo.mofa.go.kr/kor/pds/part02_view02.jsp</ns0:t>
        </ns0:is>
      </ns0:c>
      <ns0:c r="P144" s="3">
        <ns0:f>LEN(E144)+MAX(LEN(F144),LEN(G144),LEN(H144))</ns0:f>
        <ns0:v>92</ns0:v>
      </ns0:c>
      <ns0:c r="Q144" s="7" t="inlineStr">
        <ns0:is>
          <ns0:t>출처 기반 자체 검토 / 독립 승인 전</ns0:t>
        </ns0:is>
      </ns0:c>
    </ns0:row>
    <ns0:row r="145" ht="98" customHeight="1">
      <ns0:c r="A145" s="4" t="n">
        <ns0:v>910144</ns0:v>
      </ns0:c>
      <ns0:c r="B145" s="4" t="n">
        <ns0:v>8</ns0:v>
      </ns0:c>
      <ns0:c r="C145" s="4" t="inlineStr">
        <ns0:is>
          <ns0:t>dk-decree-name</ns0:t>
        </ns0:is>
      </ns0:c>
      <ns0:c r="D145" s="4" t="n">
        <ns0:v>4</ns0:v>
      </ns0:c>
      <ns0:c r="E145" s="8" t="inlineStr">
        <ns0:is>
          <ns0:t>Evaluate “Only a name changed, so it has no administrative content.”</ns0:t>
        </ns0:is>
      </ns0:c>
      <ns0:c r="F145" s="8" t="inlineStr">
        <ns0:is>
          <ns0:t>Renaming invalidates all other clauses</ns0:t>
        </ns0:is>
      </ns0:c>
      <ns0:c r="G145" s="8" t="inlineStr">
        <ns0:is>
          <ns0:t>Administrative documents are assessed only through facility photos</ns0:t>
        </ns0:is>
      </ns0:c>
      <ns0:c r="H145" s="8" t="inlineStr">
        <ns0:is>
          <ns0:t>It overlooks clauses on affiliation and offices</ns0:t>
        </ns0:is>
      </ns0:c>
      <ns0:c r="I145" s="8" t="n">
        <ns0:v>3</ns0:v>
      </ns0:c>
      <ns0:c r="J145" s="8" t="inlineStr">
        <ns0:is>
          <ns0:t>Korean Empire Decree No. 41 of 1900 renamed Ulleungdo as Uldo and set out an administrative structure.</ns0:t>
        </ns0:is>
      </ns0:c>
      <ns0:c r="K145" s="8" t="inlineStr">
        <ns0:is>
          <ns0:t>The selected option, “Renaming invalidates all other clauses”, does not fit. The answer is “It overlooks clauses on affiliation and offices”. Korean Empire Decree No. 41 of 1900 renamed Ulleungdo as Uldo and set out an administrative structure.</ns0:t>
        </ns0:is>
      </ns0:c>
      <ns0:c r="L145" s="8" t="inlineStr">
        <ns0:is>
          <ns0:t>The selected option, “Administrative documents are assessed only through facility photos”, does not fit. The answer is “It overlooks clauses on affiliation and offices”. Korean Empire Decree No. 41 of 1900 renamed Ulleungdo as Uldo and set out an administrative structure.</ns0:t>
        </ns0:is>
      </ns0:c>
      <ns0:c r="M145" s="8" t="inlineStr">
        <ns0:is>
          <ns0:t>Korean Empire Decree No. 41 of 1900 renamed Ulleungdo as Uldo and set out an administrative structure.</ns0:t>
        </ns0:is>
      </ns0:c>
      <ns0:c r="N145" s="8" t="inlineStr">
        <ns0:is>
          <ns0:t>Article 1 of Decree No. 41 renames Ulleungdo as Uldo and places it under Gangwon-do. Renaming changes a designation.</ns0:t>
        </ns0:is>
      </ns0:c>
      <ns0:c r="O145" s="8" t="inlineStr">
        <ns0:is>
          <ns0:t>https://dokdo.mofa.go.kr/kor/pds/part02_view02.jsp</ns0:t>
        </ns0:is>
      </ns0:c>
      <ns0:c r="P145" s="5">
        <ns0:f>LEN(E145)+MAX(LEN(F145),LEN(G145),LEN(H145))</ns0:f>
        <ns0:v>134</ns0:v>
      </ns0:c>
      <ns0:c r="Q145" s="9" t="inlineStr">
        <ns0:is>
          <ns0:t>출처 기반 자체 검토 / 독립 승인 전</ns0:t>
        </ns0:is>
      </ns0:c>
    </ns0:row>
    <ns0:row r="146" ht="98" customHeight="1">
      <ns0:c r="A146" s="2" t="n">
        <ns0:v>910145</ns0:v>
      </ns0:c>
      <ns0:c r="B146" s="2" t="n">
        <ns0:v>8</ns0:v>
      </ns0:c>
      <ns0:c r="C146" s="2" t="inlineStr">
        <ns0:is>
          <ns0:t>dk-county-head</ns0:t>
        </ns0:is>
      </ns0:c>
      <ns0:c r="D146" s="2" t="n">
        <ns0:v>1</ns0:v>
      </ns0:c>
      <ns0:c r="E146" s="6" t="inlineStr">
        <ns0:is>
          <ns0:t>Which office replaces the island supervisor in the decree?</ns0:t>
        </ns0:is>
      </ns0:c>
      <ns0:c r="F146" s="6" t="inlineStr">
        <ns0:is>
          <ns0:t>Ship captain</ns0:t>
        </ns0:is>
      </ns0:c>
      <ns0:c r="G146" s="6" t="inlineStr">
        <ns0:is>
          <ns0:t>County magistrate</ns0:t>
        </ns0:is>
      </ns0:c>
      <ns0:c r="H146" s="6" t="inlineStr">
        <ns0:is>
          <ns0:t>Lighthouse keeper</ns0:t>
        </ns0:is>
      </ns0:c>
      <ns0:c r="I146" s="6" t="n">
        <ns0:v>2</ns0:v>
      </ns0:c>
      <ns0:c r="J146" s="6" t="inlineStr">
        <ns0:is>
          <ns0:t>Decree No. 41 replaces the island supervisor’s office with a county magistrate, an official responsible for county administration.</ns0:t>
        </ns0:is>
      </ns0:c>
      <ns0:c r="K146" s="6" t="inlineStr">
        <ns0:is>
          <ns0:t>The selected option, “Ship captain”, does not fit. The answer is “County magistrate”. Decree No. 41 replaces the island supervisor’s office with a county magistrate, an official responsible for county administration.</ns0:t>
        </ns0:is>
      </ns0:c>
      <ns0:c r="L146" s="6" t="inlineStr">
        <ns0:is>
          <ns0:t>Decree No. 41 replaces the island supervisor’s office with a county magistrate, an official responsible for county administration.</ns0:t>
        </ns0:is>
      </ns0:c>
      <ns0:c r="M146" s="6" t="inlineStr">
        <ns0:is>
          <ns0:t>The selected option, “Lighthouse keeper”, does not fit. The answer is “County magistrate”. Decree No. 41 replaces the island supervisor’s office with a county magistrate, an official responsible for county administration.</ns0:t>
        </ns0:is>
      </ns0:c>
      <ns0:c r="N146" s="6" t="inlineStr"/>
      <ns0:c r="O146" s="6" t="inlineStr">
        <ns0:is>
          <ns0:t>https://dokdo.mofa.go.kr/kor/pds/part02_view02.jsp</ns0:t>
        </ns0:is>
      </ns0:c>
      <ns0:c r="P146" s="3">
        <ns0:f>LEN(E146)+MAX(LEN(F146),LEN(G146),LEN(H146))</ns0:f>
        <ns0:v>75</ns0:v>
      </ns0:c>
      <ns0:c r="Q146" s="7" t="inlineStr">
        <ns0:is>
          <ns0:t>출처 기반 자체 검토 / 독립 승인 전</ns0:t>
        </ns0:is>
      </ns0:c>
    </ns0:row>
    <ns0:row r="147" ht="98" customHeight="1">
      <ns0:c r="A147" s="4" t="n">
        <ns0:v>910146</ns0:v>
      </ns0:c>
      <ns0:c r="B147" s="4" t="n">
        <ns0:v>8</ns0:v>
      </ns0:c>
      <ns0:c r="C147" s="4" t="inlineStr">
        <ns0:is>
          <ns0:t>dk-county-head</ns0:t>
        </ns0:is>
      </ns0:c>
      <ns0:c r="D147" s="4" t="n">
        <ns0:v>2</ns0:v>
      </ns0:c>
      <ns0:c r="E147" s="8" t="inlineStr">
        <ns0:is>
          <ns0:t>Which responsibility belongs to a county magistrate?</ns0:t>
        </ns0:is>
      </ns0:c>
      <ns0:c r="F147" s="8" t="inlineStr">
        <ns0:is>
          <ns0:t>Administering a county</ns0:t>
        </ns0:is>
      </ns0:c>
      <ns0:c r="G147" s="8" t="inlineStr">
        <ns0:is>
          <ns0:t>Only steering a vessel</ns0:t>
        </ns0:is>
      </ns0:c>
      <ns0:c r="H147" s="8" t="inlineStr">
        <ns0:is>
          <ns0:t>Only tending a lighthouse light</ns0:t>
        </ns0:is>
      </ns0:c>
      <ns0:c r="I147" s="8" t="n">
        <ns0:v>1</ns0:v>
      </ns0:c>
      <ns0:c r="J147" s="8" t="inlineStr">
        <ns0:is>
          <ns0:t>Decree No. 41 replaces the island supervisor’s office with a county magistrate, an official responsible for county administration.</ns0:t>
        </ns0:is>
      </ns0:c>
      <ns0:c r="K147" s="8" t="inlineStr">
        <ns0:is>
          <ns0:t>Decree No. 41 replaces the island supervisor’s office with a county magistrate, an official responsible for county administration.</ns0:t>
        </ns0:is>
      </ns0:c>
      <ns0:c r="L147" s="8" t="inlineStr">
        <ns0:is>
          <ns0:t>The selected option, “Only steering a vessel”, does not fit. The answer is “Administering a county”. Decree No. 41 replaces the island supervisor’s office with a county magistrate, an official responsible for county administration.</ns0:t>
        </ns0:is>
      </ns0:c>
      <ns0:c r="M147" s="8" t="inlineStr">
        <ns0:is>
          <ns0:t>The selected option, “Only tending a lighthouse light”, does not fit. The answer is “Administering a county”. Decree No. 41 replaces the island supervisor’s office with a county magistrate, an official responsible for county administration.</ns0:t>
        </ns0:is>
      </ns0:c>
      <ns0:c r="N147" s="8" t="inlineStr"/>
      <ns0:c r="O147" s="8" t="inlineStr">
        <ns0:is>
          <ns0:t>https://dokdo.mofa.go.kr/kor/pds/part02_view02.jsp</ns0:t>
        </ns0:is>
      </ns0:c>
      <ns0:c r="P147" s="5">
        <ns0:f>LEN(E147)+MAX(LEN(F147),LEN(G147),LEN(H147))</ns0:f>
        <ns0:v>83</ns0:v>
      </ns0:c>
      <ns0:c r="Q147" s="9" t="inlineStr">
        <ns0:is>
          <ns0:t>출처 기반 자체 검토 / 독립 승인 전</ns0:t>
        </ns0:is>
      </ns0:c>
    </ns0:row>
    <ns0:row r="148" ht="98" customHeight="1">
      <ns0:c r="A148" s="2" t="n">
        <ns0:v>910147</ns0:v>
      </ns0:c>
      <ns0:c r="B148" s="2" t="n">
        <ns0:v>8</ns0:v>
      </ns0:c>
      <ns0:c r="C148" s="2" t="inlineStr">
        <ns0:is>
          <ns0:t>dk-county-head</ns0:t>
        </ns0:is>
      </ns0:c>
      <ns0:c r="D148" s="2" t="n">
        <ns0:v>3</ns0:v>
      </ns0:c>
      <ns0:c r="E148" s="6" t="inlineStr">
        <ns0:is>
          <ns0:t>Which part shows administrative reorganisation?</ns0:t>
        </ns0:is>
      </ns0:c>
      <ns0:c r="F148" s="6" t="inlineStr">
        <ns0:is>
          <ns0:t>Replacing the magistrate with the former supervisor</ns0:t>
        </ns0:is>
      </ns0:c>
      <ns0:c r="G148" s="6" t="inlineStr">
        <ns0:is>
          <ns0:t>Abolishing the county office and its jurisdiction</ns0:t>
        </ns0:is>
      </ns0:c>
      <ns0:c r="H148" s="6" t="inlineStr">
        <ns0:is>
          <ns0:t>Replacing the supervisor with a recognised county office</ns0:t>
        </ns0:is>
      </ns0:c>
      <ns0:c r="I148" s="6" t="n">
        <ns0:v>3</ns0:v>
      </ns0:c>
      <ns0:c r="J148" s="6" t="inlineStr">
        <ns0:is>
          <ns0:t>Decree No. 41 replaces the island supervisor’s office with a county magistrate, an official responsible for county administration.</ns0:t>
        </ns0:is>
      </ns0:c>
      <ns0:c r="K148" s="6" t="inlineStr">
        <ns0:is>
          <ns0:t>The selected option, “Replacing the magistrate with the former supervisor”, does not fit. The answer is “Replacing the supervisor with a recognised county office”. Decree No. 41 replaces the island supervisor’s office with a county magistrate, an official responsible for county administration.</ns0:t>
        </ns0:is>
      </ns0:c>
      <ns0:c r="L148" s="6" t="inlineStr">
        <ns0:is>
          <ns0:t>The selected option, “Abolishing the county office and its jurisdiction”, does not fit. The answer is “Replacing the supervisor with a recognised county office”. Decree No. 41 replaces the island supervisor’s office with a county magistrate, an official responsible for county administration.</ns0:t>
        </ns0:is>
      </ns0:c>
      <ns0:c r="M148" s="6" t="inlineStr">
        <ns0:is>
          <ns0:t>Decree No. 41 replaces the island supervisor’s office with a county magistrate, an official responsible for county administration.</ns0:t>
        </ns0:is>
      </ns0:c>
      <ns0:c r="N148" s="6" t="inlineStr">
        <ns0:is>
          <ns0:t>Article 1 changes the office of island supervisor to county magistrate and incorporates it into the official administrative structure.</ns0:t>
        </ns0:is>
      </ns0:c>
      <ns0:c r="O148" s="6" t="inlineStr">
        <ns0:is>
          <ns0:t>https://dokdo.mofa.go.kr/kor/pds/part02_view02.jsp</ns0:t>
        </ns0:is>
      </ns0:c>
      <ns0:c r="P148" s="3">
        <ns0:f>LEN(E148)+MAX(LEN(F148),LEN(G148),LEN(H148))</ns0:f>
        <ns0:v>103</ns0:v>
      </ns0:c>
      <ns0:c r="Q148" s="7" t="inlineStr">
        <ns0:is>
          <ns0:t>출처 기반 자체 검토 / 독립 승인 전</ns0:t>
        </ns0:is>
      </ns0:c>
    </ns0:row>
    <ns0:row r="149" ht="98" customHeight="1">
      <ns0:c r="A149" s="4" t="n">
        <ns0:v>910148</ns0:v>
      </ns0:c>
      <ns0:c r="B149" s="4" t="n">
        <ns0:v>8</ns0:v>
      </ns0:c>
      <ns0:c r="C149" s="4" t="inlineStr">
        <ns0:is>
          <ns0:t>dk-county-head</ns0:t>
        </ns0:is>
      </ns0:c>
      <ns0:c r="D149" s="4" t="n">
        <ns0:v>4</ns0:v>
      </ns0:c>
      <ns0:c r="E149" s="8" t="inlineStr">
        <ns0:is>
          <ns0:t>What is wrong with equating a magistrate with a lighthouse keeper?</ns0:t>
        </ns0:is>
      </ns0:c>
      <ns0:c r="F149" s="8" t="inlineStr">
        <ns0:is>
          <ns0:t>Offices have no bearing on document interpretation</ns0:t>
        </ns0:is>
      </ns0:c>
      <ns0:c r="G149" s="8" t="inlineStr">
        <ns0:is>
          <ns0:t>It confuses an administrative office with a facility role</ns0:t>
        </ns0:is>
      </ns0:c>
      <ns0:c r="H149" s="8" t="inlineStr">
        <ns0:is>
          <ns0:t>All Dokdo-related jobs are identical</ns0:t>
        </ns0:is>
      </ns0:c>
      <ns0:c r="I149" s="8" t="n">
        <ns0:v>2</ns0:v>
      </ns0:c>
      <ns0:c r="J149" s="8" t="inlineStr">
        <ns0:is>
          <ns0:t>Decree No. 41 replaces the island supervisor’s office with a county magistrate, an official responsible for county administration.</ns0:t>
        </ns0:is>
      </ns0:c>
      <ns0:c r="K149" s="8" t="inlineStr">
        <ns0:is>
          <ns0:t>The selected option, “Offices have no bearing on document interpretation”, does not fit. The answer is “It confuses an administrative office with a facility role”. Decree No. 41 replaces the island supervisor’s office with a county magistrate, an official responsible for county administration.</ns0:t>
        </ns0:is>
      </ns0:c>
      <ns0:c r="L149" s="8" t="inlineStr">
        <ns0:is>
          <ns0:t>Decree No. 41 replaces the island supervisor’s office with a county magistrate, an official responsible for county administration.</ns0:t>
        </ns0:is>
      </ns0:c>
      <ns0:c r="M149" s="8" t="inlineStr">
        <ns0:is>
          <ns0:t>The selected option, “All Dokdo-related jobs are identical”, does not fit. The answer is “It confuses an administrative office with a facility role”. Decree No. 41 replaces the island supervisor’s office with a county magistrate, an official responsible for county administration.</ns0:t>
        </ns0:is>
      </ns0:c>
      <ns0:c r="N149" s="8" t="inlineStr">
        <ns0:is>
          <ns0:t>Article 1 changes the office of island supervisor to county magistrate and incorporates it into the official administrative structure.</ns0:t>
        </ns0:is>
      </ns0:c>
      <ns0:c r="O149" s="8" t="inlineStr">
        <ns0:is>
          <ns0:t>https://dokdo.mofa.go.kr/kor/pds/part02_view02.jsp</ns0:t>
        </ns0:is>
      </ns0:c>
      <ns0:c r="P149" s="5">
        <ns0:f>LEN(E149)+MAX(LEN(F149),LEN(G149),LEN(H149))</ns0:f>
        <ns0:v>123</ns0:v>
      </ns0:c>
      <ns0:c r="Q149" s="9" t="inlineStr">
        <ns0:is>
          <ns0:t>출처 기반 자체 검토 / 독립 승인 전</ns0:t>
        </ns0:is>
      </ns0:c>
    </ns0:row>
    <ns0:row r="150" ht="98" customHeight="1">
      <ns0:c r="A150" s="2" t="n">
        <ns0:v>910149</ns0:v>
      </ns0:c>
      <ns0:c r="B150" s="2" t="n">
        <ns0:v>8</ns0:v>
      </ns0:c>
      <ns0:c r="C150" s="2" t="inlineStr">
        <ns0:is>
          <ns0:t>dk-territory</ns0:t>
        </ns0:is>
      </ns0:c>
      <ns0:c r="D150" s="2" t="n">
        <ns0:v>1</ns0:v>
      </ns0:c>
      <ns0:c r="E150" s="6" t="inlineStr">
        <ns0:is>
          <ns0:t>Which three names appear in Article 2?</ns0:t>
        </ns0:is>
      </ns0:c>
      <ns0:c r="F150" s="6" t="inlineStr">
        <ns0:is>
          <ns0:t>Ulleungjeondo, Jukdo and Seokdo</ns0:t>
        </ns0:is>
      </ns0:c>
      <ns0:c r="G150" s="6" t="inlineStr">
        <ns0:is>
          <ns0:t>Dongdo, Seodo and Jejudo</ns0:t>
        </ns0:is>
      </ns0:c>
      <ns0:c r="H150" s="6" t="inlineStr">
        <ns0:is>
          <ns0:t>Oki, Ulleungdo and Ganghwado</ns0:t>
        </ns0:is>
      </ns0:c>
      <ns0:c r="I150" s="6" t="n">
        <ns0:v>1</ns0:v>
      </ns0:c>
      <ns0:c r="J150" s="6" t="inlineStr">
        <ns0:is>
          <ns0:t>Article 2 lists Ulleungjeondo, Jukdo and Seokdo within its jurisdiction. Original place names should be distinguished from their modern interpretation.</ns0:t>
        </ns0:is>
      </ns0:c>
      <ns0:c r="K150" s="6" t="inlineStr">
        <ns0:is>
          <ns0:t>Article 2 lists Ulleungjeondo, Jukdo and Seokdo within its jurisdiction. Original place names should be distinguished from their modern interpretation.</ns0:t>
        </ns0:is>
      </ns0:c>
      <ns0:c r="L150" s="6" t="inlineStr">
        <ns0:is>
          <ns0:t>The selected option, “Dongdo, Seodo and Jejudo”, does not fit. The answer is “Ulleungjeondo, Jukdo and Seokdo”. Article 2 lists Ulleungjeondo, Jukdo and Seokdo within its jurisdiction. Original place names should be distinguished from their modern interpretation.</ns0:t>
        </ns0:is>
      </ns0:c>
      <ns0:c r="M150" s="6" t="inlineStr">
        <ns0:is>
          <ns0:t>The selected option, “Oki, Ulleungdo and Ganghwado”, does not fit. The answer is “Ulleungjeondo, Jukdo and Seokdo”. Article 2 lists Ulleungjeondo, Jukdo and Seokdo within its jurisdiction. Original place names should be distinguished from their modern interpretation.</ns0:t>
        </ns0:is>
      </ns0:c>
      <ns0:c r="N150" s="6" t="inlineStr"/>
      <ns0:c r="O150" s="6" t="inlineStr">
        <ns0:is>
          <ns0:t>https://dokdo.mofa.go.kr/kor/pds/part02_view02.jsp</ns0:t>
        </ns0:is>
      </ns0:c>
      <ns0:c r="P150" s="3">
        <ns0:f>LEN(E150)+MAX(LEN(F150),LEN(G150),LEN(H150))</ns0:f>
        <ns0:v>69</ns0:v>
      </ns0:c>
      <ns0:c r="Q150" s="7" t="inlineStr">
        <ns0:is>
          <ns0:t>출처 기반 자체 검토 / 독립 승인 전</ns0:t>
        </ns0:is>
      </ns0:c>
    </ns0:row>
    <ns0:row r="151" ht="98" customHeight="1">
      <ns0:c r="A151" s="4" t="n">
        <ns0:v>910150</ns0:v>
      </ns0:c>
      <ns0:c r="B151" s="4" t="n">
        <ns0:v>8</ns0:v>
      </ns0:c>
      <ns0:c r="C151" s="4" t="inlineStr">
        <ns0:is>
          <ns0:t>dk-territory</ns0:t>
        </ns0:is>
      </ns0:c>
      <ns0:c r="D151" s="4" t="n">
        <ns0:v>2</ns0:v>
      </ns0:c>
      <ns0:c r="E151" s="8" t="inlineStr">
        <ns0:is>
          <ns0:t>What does jurisdiction mean in this document?</ns0:t>
        </ns0:is>
      </ns0:c>
      <ns0:c r="F151" s="8" t="inlineStr">
        <ns0:is>
          <ns0:t>The highest peak</ns0:t>
        </ns0:is>
      </ns0:c>
      <ns0:c r="G151" s="8" t="inlineStr">
        <ns0:is>
          <ns0:t>A shadow seen from a vessel</ns0:t>
        </ns0:is>
      </ns0:c>
      <ns0:c r="H151" s="8" t="inlineStr">
        <ns0:is>
          <ns0:t>An area under administrative responsibility</ns0:t>
        </ns0:is>
      </ns0:c>
      <ns0:c r="I151" s="8" t="n">
        <ns0:v>3</ns0:v>
      </ns0:c>
      <ns0:c r="J151" s="8" t="inlineStr">
        <ns0:is>
          <ns0:t>Article 2 lists Ulleungjeondo, Jukdo and Seokdo within its jurisdiction. Original place names should be distinguished from their modern interpretation.</ns0:t>
        </ns0:is>
      </ns0:c>
      <ns0:c r="K151" s="8" t="inlineStr">
        <ns0:is>
          <ns0:t>The selected option, “The highest peak”, does not fit. The answer is “An area under administrative responsibility”. Article 2 lists Ulleungjeondo, Jukdo and Seokdo within its jurisdiction. Original place names should be distinguished from their modern interpretation.</ns0:t>
        </ns0:is>
      </ns0:c>
      <ns0:c r="L151" s="8" t="inlineStr">
        <ns0:is>
          <ns0:t>The selected option, “A shadow seen from a vessel”, does not fit. The answer is “An area under administrative responsibility”. Article 2 lists Ulleungjeondo, Jukdo and Seokdo within its jurisdiction. Original place names should be distinguished from their modern interpretation.</ns0:t>
        </ns0:is>
      </ns0:c>
      <ns0:c r="M151" s="8" t="inlineStr">
        <ns0:is>
          <ns0:t>Article 2 lists Ulleungjeondo, Jukdo and Seokdo within its jurisdiction. Original place names should be distinguished from their modern interpretation.</ns0:t>
        </ns0:is>
      </ns0:c>
      <ns0:c r="N151" s="8" t="inlineStr"/>
      <ns0:c r="O151" s="8" t="inlineStr">
        <ns0:is>
          <ns0:t>https://dokdo.mofa.go.kr/kor/pds/part02_view02.jsp</ns0:t>
        </ns0:is>
      </ns0:c>
      <ns0:c r="P151" s="5">
        <ns0:f>LEN(E151)+MAX(LEN(F151),LEN(G151),LEN(H151))</ns0:f>
        <ns0:v>88</ns0:v>
      </ns0:c>
      <ns0:c r="Q151" s="9" t="inlineStr">
        <ns0:is>
          <ns0:t>출처 기반 자체 검토 / 독립 승인 전</ns0:t>
        </ns0:is>
      </ns0:c>
    </ns0:row>
    <ns0:row r="152" ht="98" customHeight="1">
      <ns0:c r="A152" s="2" t="n">
        <ns0:v>910151</ns0:v>
      </ns0:c>
      <ns0:c r="B152" s="2" t="n">
        <ns0:v>8</ns0:v>
      </ns0:c>
      <ns0:c r="C152" s="2" t="inlineStr">
        <ns0:is>
          <ns0:t>dk-territory</ns0:t>
        </ns0:is>
      </ns0:c>
      <ns0:c r="D152" s="2" t="n">
        <ns0:v>3</ns0:v>
      </ns0:c>
      <ns0:c r="E152" s="6" t="inlineStr">
        <ns0:is>
          <ns0:t>What can be read directly from Article 2?</ns0:t>
        </ns0:is>
      </ns0:c>
      <ns0:c r="F152" s="6" t="inlineStr">
        <ns0:is>
          <ns0:t>Jukdo is excluded from the jurisdiction</ns0:t>
        </ns0:is>
      </ns0:c>
      <ns0:c r="G152" s="6" t="inlineStr">
        <ns0:is>
          <ns0:t>Seokdo is listed within the jurisdiction</ns0:t>
        </ns0:is>
      </ns0:c>
      <ns0:c r="H152" s="6" t="inlineStr">
        <ns0:is>
          <ns0:t>Only Ulleungdo is included; associated islands are excluded</ns0:t>
        </ns0:is>
      </ns0:c>
      <ns0:c r="I152" s="6" t="n">
        <ns0:v>2</ns0:v>
      </ns0:c>
      <ns0:c r="J152" s="6" t="inlineStr">
        <ns0:is>
          <ns0:t>Article 2 lists Ulleungjeondo, Jukdo and Seokdo within its jurisdiction. Original place names should be distinguished from their modern interpretation.</ns0:t>
        </ns0:is>
      </ns0:c>
      <ns0:c r="K152" s="6" t="inlineStr">
        <ns0:is>
          <ns0:t>The selected option, “Jukdo is excluded from the jurisdiction”, does not fit. The answer is “Seokdo is listed within the jurisdiction”. Article 2 lists Ulleungjeondo, Jukdo and Seokdo within its jurisdiction. Original place names should be distinguished from their modern interpretation.</ns0:t>
        </ns0:is>
      </ns0:c>
      <ns0:c r="L152" s="6" t="inlineStr">
        <ns0:is>
          <ns0:t>Article 2 lists Ulleungjeondo, Jukdo and Seokdo within its jurisdiction. Original place names should be distinguished from their modern interpretation.</ns0:t>
        </ns0:is>
      </ns0:c>
      <ns0:c r="M152" s="6" t="inlineStr">
        <ns0:is>
          <ns0:t>The selected option, “Only Ulleungdo is included; associated islands are excluded”, does not fit. The answer is “Seokdo is listed within the jurisdiction”. Article 2 lists Ulleungjeondo, Jukdo and Seokdo within its jurisdiction. Original place names should be distinguished from their modern interpretation.</ns0:t>
        </ns0:is>
      </ns0:c>
      <ns0:c r="N152" s="6" t="inlineStr">
        <ns0:is>
          <ns0:t>Article 2 lists all of Ulleungdo, Jukdo and Seokdo. MOFA interprets Seokdo as Dokdo. Distinguish the wording of the article from the explanatory identification.</ns0:t>
        </ns0:is>
      </ns0:c>
      <ns0:c r="O152" s="6" t="inlineStr">
        <ns0:is>
          <ns0:t>https://dokdo.mofa.go.kr/kor/pds/part02_view02.jsp</ns0:t>
        </ns0:is>
      </ns0:c>
      <ns0:c r="P152" s="3">
        <ns0:f>LEN(E152)+MAX(LEN(F152),LEN(G152),LEN(H152))</ns0:f>
        <ns0:v>100</ns0:v>
      </ns0:c>
      <ns0:c r="Q152" s="7" t="inlineStr">
        <ns0:is>
          <ns0:t>출처 기반 자체 검토 / 독립 승인 전</ns0:t>
        </ns0:is>
      </ns0:c>
    </ns0:row>
    <ns0:row r="153" ht="98" customHeight="1">
      <ns0:c r="A153" s="4" t="n">
        <ns0:v>910152</ns0:v>
      </ns0:c>
      <ns0:c r="B153" s="4" t="n">
        <ns0:v>8</ns0:v>
      </ns0:c>
      <ns0:c r="C153" s="4" t="inlineStr">
        <ns0:is>
          <ns0:t>dk-territory</ns0:t>
        </ns0:is>
      </ns0:c>
      <ns0:c r="D153" s="4" t="n">
        <ns0:v>4</ns0:v>
      </ns0:c>
      <ns0:c r="E153" s="8" t="inlineStr">
        <ns0:is>
          <ns0:t>How should the original and modern identification be presented?</ns0:t>
        </ns0:is>
      </ns0:c>
      <ns0:c r="F153" s="8" t="inlineStr">
        <ns0:is>
          <ns0:t>Distinguish original Seokdo from the modern Dokdo identification</ns0:t>
        </ns0:is>
      </ns0:c>
      <ns0:c r="G153" s="8" t="inlineStr">
        <ns0:is>
          <ns0:t>Claim the original literally uses the modern name Dokdo</ns0:t>
        </ns0:is>
      </ns0:c>
      <ns0:c r="H153" s="8" t="inlineStr">
        <ns0:is>
          <ns0:t>The name Seokdo makes all other evidence unnecessary</ns0:t>
        </ns0:is>
      </ns0:c>
      <ns0:c r="I153" s="8" t="n">
        <ns0:v>1</ns0:v>
      </ns0:c>
      <ns0:c r="J153" s="8" t="inlineStr">
        <ns0:is>
          <ns0:t>Article 2 lists Ulleungjeondo, Jukdo and Seokdo within its jurisdiction. Original place names should be distinguished from their modern interpretation.</ns0:t>
        </ns0:is>
      </ns0:c>
      <ns0:c r="K153" s="8" t="inlineStr">
        <ns0:is>
          <ns0:t>Article 2 lists Ulleungjeondo, Jukdo and Seokdo within its jurisdiction. Original place names should be distinguished from their modern interpretation.</ns0:t>
        </ns0:is>
      </ns0:c>
      <ns0:c r="L153" s="8" t="inlineStr">
        <ns0:is>
          <ns0:t>The selected option, “Claim the original literally uses the modern name Dokdo”, does not fit. The answer is “Distinguish original Seokdo from the modern Dokdo identification”. Article 2 lists Ulleungjeondo, Jukdo and Seokdo within its jurisdiction. Original place names should be distinguished from their modern interpretation.</ns0:t>
        </ns0:is>
      </ns0:c>
      <ns0:c r="M153" s="8" t="inlineStr">
        <ns0:is>
          <ns0:t>The selected option, “The name Seokdo makes all other evidence unnecessary”, does not fit. The answer is “Distinguish original Seokdo from the modern Dokdo identification”. Article 2 lists Ulleungjeondo, Jukdo and Seokdo within its jurisdiction. Original place names should be distinguished from their modern interpretation.</ns0:t>
        </ns0:is>
      </ns0:c>
      <ns0:c r="N153" s="8" t="inlineStr">
        <ns0:is>
          <ns0:t>Article 2 lists all of Ulleungdo, Jukdo and Seokdo. MOFA interprets Seokdo as Dokdo. Distinguish the wording of the article from the explanatory identification.</ns0:t>
        </ns0:is>
      </ns0:c>
      <ns0:c r="O153" s="8" t="inlineStr">
        <ns0:is>
          <ns0:t>https://dokdo.mofa.go.kr/kor/pds/part02_view02.jsp</ns0:t>
        </ns0:is>
      </ns0:c>
      <ns0:c r="P153" s="5">
        <ns0:f>LEN(E153)+MAX(LEN(F153),LEN(G153),LEN(H153))</ns0:f>
        <ns0:v>127</ns0:v>
      </ns0:c>
      <ns0:c r="Q153" s="9" t="inlineStr">
        <ns0:is>
          <ns0:t>출처 기반 자체 검토 / 독립 승인 전</ns0:t>
        </ns0:is>
      </ns0:c>
    </ns0:row>
    <ns0:row r="154" ht="98" customHeight="1">
      <ns0:c r="A154" s="2" t="n">
        <ns0:v>910153</ns0:v>
      </ns0:c>
      <ns0:c r="B154" s="2" t="n">
        <ns0:v>8</ns0:v>
      </ns0:c>
      <ns0:c r="C154" s="2" t="inlineStr">
        <ns0:is>
          <ns0:t>dk-gazette-date</ns0:t>
        </ns0:is>
      </ns0:c>
      <ns0:c r="D154" s="2" t="n">
        <ns0:v>1</ns0:v>
      </ns0:c>
      <ns0:c r="E154" s="6" t="inlineStr">
        <ns0:is>
          <ns0:t>Which official publication carried the decree?</ns0:t>
        </ns0:is>
      </ns0:c>
      <ns0:c r="F154" s="6" t="inlineStr">
        <ns0:is>
          <ns0:t>A ferry advertisement</ns0:t>
        </ns0:is>
      </ns0:c>
      <ns0:c r="G154" s="6" t="inlineStr">
        <ns0:is>
          <ns0:t>A lighthouse illustration</ns0:t>
        </ns0:is>
      </ns0:c>
      <ns0:c r="H154" s="6" t="inlineStr">
        <ns0:is>
          <ns0:t>The government gazette</ns0:t>
        </ns0:is>
      </ns0:c>
      <ns0:c r="I154" s="6" t="n">
        <ns0:v>3</ns0:v>
      </ns0:c>
      <ns0:c r="J154" s="6" t="inlineStr">
        <ns0:is>
          <ns0:t>Decree No. 41 is dated 25 October 1900 and was published in the government gazette on 27 October. Distinguish the dates of the decree and its gazette publication.</ns0:t>
        </ns0:is>
      </ns0:c>
      <ns0:c r="K154" s="6" t="inlineStr">
        <ns0:is>
          <ns0:t>The selected option, “A ferry advertisement”, does not fit. The answer is “The government gazette”. Decree No. 41 is dated 25 October 1900 and was published in the government gazette on 27 October. Distinguish the dates of the decree and its gazette publication.</ns0:t>
        </ns0:is>
      </ns0:c>
      <ns0:c r="L154" s="6" t="inlineStr">
        <ns0:is>
          <ns0:t>The selected option, “A lighthouse illustration”, does not fit. The answer is “The government gazette”. Decree No. 41 is dated 25 October 1900 and was published in the government gazette on 27 October. Distinguish the dates of the decree and its gazette publication.</ns0:t>
        </ns0:is>
      </ns0:c>
      <ns0:c r="M154" s="6" t="inlineStr">
        <ns0:is>
          <ns0:t>Decree No. 41 is dated 25 October 1900 and was published in the government gazette on 27 October. Distinguish the dates of the decree and its gazette publication.</ns0:t>
        </ns0:is>
      </ns0:c>
      <ns0:c r="N154" s="6" t="inlineStr"/>
      <ns0:c r="O154" s="6" t="inlineStr">
        <ns0:is>
          <ns0:t>https://dokdo.mofa.go.kr/kor/pds/part02_view02.jsp
https://dokdo.mofa.go.kr/kor/pds/part02_view03.jsp</ns0:t>
        </ns0:is>
      </ns0:c>
      <ns0:c r="P154" s="3">
        <ns0:f>LEN(E154)+MAX(LEN(F154),LEN(G154),LEN(H154))</ns0:f>
        <ns0:v>71</ns0:v>
      </ns0:c>
      <ns0:c r="Q154" s="7" t="inlineStr">
        <ns0:is>
          <ns0:t>출처 기반 자체 검토 / 독립 승인 전</ns0:t>
        </ns0:is>
      </ns0:c>
    </ns0:row>
    <ns0:row r="155" ht="98" customHeight="1">
      <ns0:c r="A155" s="4" t="n">
        <ns0:v>910154</ns0:v>
      </ns0:c>
      <ns0:c r="B155" s="4" t="n">
        <ns0:v>8</ns0:v>
      </ns0:c>
      <ns0:c r="C155" s="4" t="inlineStr">
        <ns0:is>
          <ns0:t>dk-gazette-date</ns0:t>
        </ns0:is>
      </ns0:c>
      <ns0:c r="D155" s="4" t="n">
        <ns0:v>2</ns0:v>
      </ns0:c>
      <ns0:c r="E155" s="8" t="inlineStr">
        <ns0:is>
          <ns0:t>Which pairing of dates is correct?</ns0:t>
        </ns0:is>
      </ns0:c>
      <ns0:c r="F155" s="8" t="inlineStr">
        <ns0:is>
          <ns0:t>Both = volcanic eruption</ns0:t>
        </ns0:is>
      </ns0:c>
      <ns0:c r="G155" s="8" t="inlineStr">
        <ns0:is>
          <ns0:t>25th = decree; 27th = gazette</ns0:t>
        </ns0:is>
      </ns0:c>
      <ns0:c r="H155" s="8" t="inlineStr">
        <ns0:is>
          <ns0:t>25th = gazette; 27th = decree</ns0:t>
        </ns0:is>
      </ns0:c>
      <ns0:c r="I155" s="8" t="n">
        <ns0:v>2</ns0:v>
      </ns0:c>
      <ns0:c r="J155" s="8" t="inlineStr">
        <ns0:is>
          <ns0:t>Decree No. 41 is dated 25 October 1900 and was published in the government gazette on 27 October. Distinguish the dates of the decree and its gazette publication.</ns0:t>
        </ns0:is>
      </ns0:c>
      <ns0:c r="K155" s="8" t="inlineStr">
        <ns0:is>
          <ns0:t>The selected option, “Both = volcanic eruption”, does not fit. The answer is “25th = decree; 27th = gazette”. Decree No. 41 is dated 25 October 1900 and was published in the government gazette on 27 October. Distinguish the dates of the decree and its gazette publication.</ns0:t>
        </ns0:is>
      </ns0:c>
      <ns0:c r="L155" s="8" t="inlineStr">
        <ns0:is>
          <ns0:t>Decree No. 41 is dated 25 October 1900 and was published in the government gazette on 27 October. Distinguish the dates of the decree and its gazette publication.</ns0:t>
        </ns0:is>
      </ns0:c>
      <ns0:c r="M155" s="8" t="inlineStr">
        <ns0:is>
          <ns0:t>The selected option, “25th = gazette; 27th = decree”, does not fit. The answer is “25th = decree; 27th = gazette”. Decree No. 41 is dated 25 October 1900 and was published in the government gazette on 27 October. Distinguish the dates of the decree and its gazette publication.</ns0:t>
        </ns0:is>
      </ns0:c>
      <ns0:c r="N155" s="8" t="inlineStr"/>
      <ns0:c r="O155" s="8" t="inlineStr">
        <ns0:is>
          <ns0:t>https://dokdo.mofa.go.kr/kor/pds/part02_view02.jsp
https://dokdo.mofa.go.kr/kor/pds/part02_view03.jsp</ns0:t>
        </ns0:is>
      </ns0:c>
      <ns0:c r="P155" s="5">
        <ns0:f>LEN(E155)+MAX(LEN(F155),LEN(G155),LEN(H155))</ns0:f>
        <ns0:v>63</ns0:v>
      </ns0:c>
      <ns0:c r="Q155" s="9" t="inlineStr">
        <ns0:is>
          <ns0:t>출처 기반 자체 검토 / 독립 승인 전</ns0:t>
        </ns0:is>
      </ns0:c>
    </ns0:row>
    <ns0:row r="156" ht="98" customHeight="1">
      <ns0:c r="A156" s="2" t="n">
        <ns0:v>910155</ns0:v>
      </ns0:c>
      <ns0:c r="B156" s="2" t="n">
        <ns0:v>8</ns0:v>
      </ns0:c>
      <ns0:c r="C156" s="2" t="inlineStr">
        <ns0:is>
          <ns0:t>dk-gazette-date</ns0:t>
        </ns0:is>
      </ns0:c>
      <ns0:c r="D156" s="2" t="n">
        <ns0:v>3</ns0:v>
      </ns0:c>
      <ns0:c r="E156" s="6" t="inlineStr">
        <ns0:is>
          <ns0:t>What do the two dates refer to?</ns0:t>
        </ns0:is>
      </ns0:c>
      <ns0:c r="F156" s="6" t="inlineStr">
        <ns0:is>
          <ns0:t>The decree date and its gazette publication date</ns0:t>
        </ns0:is>
      </ns0:c>
      <ns0:c r="G156" s="6" t="inlineStr">
        <ns0:is>
          <ns0:t>Separate reorganisation dates for Ulleungdo and Dokdo</ns0:t>
        </ns0:is>
      </ns0:c>
      <ns0:c r="H156" s="6" t="inlineStr">
        <ns0:is>
          <ns0:t>The issue dates of two different decrees</ns0:t>
        </ns0:is>
      </ns0:c>
      <ns0:c r="I156" s="6" t="n">
        <ns0:v>1</ns0:v>
      </ns0:c>
      <ns0:c r="J156" s="6" t="inlineStr">
        <ns0:is>
          <ns0:t>Decree No. 41 is dated 25 October 1900 and was published in the government gazette on 27 October. Distinguish the dates of the decree and its gazette publication. Distinguish the date of the decree from the record of its publication.</ns0:t>
        </ns0:is>
      </ns0:c>
      <ns0:c r="K156" s="6" t="inlineStr">
        <ns0:is>
          <ns0:t>Decree No. 41 is dated 25 October 1900 and was published in the government gazette on 27 October. Distinguish the dates of the decree and its gazette publication. Distinguish the date of the decree from the record of its publication.</ns0:t>
        </ns0:is>
      </ns0:c>
      <ns0:c r="L156" s="6" t="inlineStr">
        <ns0:is>
          <ns0:t>The selected option, “Separate reorganisation dates for Ulleungdo and Dokdo”, does not fit. The answer is “The decree date and its gazette publication date”. Decree No. 41 is dated 25 October 1900 and was published in the government gazette on 27 October. Distinguish the dates of the decree and its gazette publication. Distinguish the date of the decree from the record of its publication.</ns0:t>
        </ns0:is>
      </ns0:c>
      <ns0:c r="M156" s="6" t="inlineStr">
        <ns0:is>
          <ns0:t>The selected option, “The issue dates of two different decrees”, does not fit. The answer is “The decree date and its gazette publication date”. Decree No. 41 is dated 25 October 1900 and was published in the government gazette on 27 October. Distinguish the dates of the decree and its gazette publication. Distinguish the date of the decree from the record of its publication.</ns0:t>
        </ns0:is>
      </ns0:c>
      <ns0:c r="N156" s="6" t="inlineStr">
        <ns0:is>
          <ns0:t>Source A: Decree No. 41, 25 October 1900. Source B: the government gazette of 27 October, containing the decree. A gazette is an official government publication.</ns0:t>
        </ns0:is>
      </ns0:c>
      <ns0:c r="O156" s="6" t="inlineStr">
        <ns0:is>
          <ns0:t>https://dokdo.mofa.go.kr/kor/pds/part02_view02.jsp
https://dokdo.mofa.go.kr/kor/pds/part02_view03.jsp</ns0:t>
        </ns0:is>
      </ns0:c>
      <ns0:c r="P156" s="3">
        <ns0:f>LEN(E156)+MAX(LEN(F156),LEN(G156),LEN(H156))</ns0:f>
        <ns0:v>84</ns0:v>
      </ns0:c>
      <ns0:c r="Q156" s="7" t="inlineStr">
        <ns0:is>
          <ns0:t>출처 기반 자체 검토 / 독립 승인 전</ns0:t>
        </ns0:is>
      </ns0:c>
    </ns0:row>
    <ns0:row r="157" ht="98" customHeight="1">
      <ns0:c r="A157" s="4" t="n">
        <ns0:v>910156</ns0:v>
      </ns0:c>
      <ns0:c r="B157" s="4" t="n">
        <ns0:v>8</ns0:v>
      </ns0:c>
      <ns0:c r="C157" s="4" t="inlineStr">
        <ns0:is>
          <ns0:t>dk-gazette-date</ns0:t>
        </ns0:is>
      </ns0:c>
      <ns0:c r="D157" s="4" t="n">
        <ns0:v>4</ns0:v>
      </ns0:c>
      <ns0:c r="E157" s="8" t="inlineStr">
        <ns0:is>
          <ns0:t>Does the difference mean one source must be wrong?</ns0:t>
        </ns0:is>
      </ns0:c>
      <ns0:c r="F157" s="8" t="inlineStr">
        <ns0:is>
          <ns0:t>Every date concerning a document must be identical</ns0:t>
        </ns0:is>
      </ns0:c>
      <ns0:c r="G157" s="8" t="inlineStr">
        <ns0:is>
          <ns0:t>A gazette makes the original decree useless</ns0:t>
        </ns0:is>
      </ns0:c>
      <ns0:c r="H157" s="8" t="inlineStr">
        <ns0:is>
          <ns0:t>First distinguish the decree date from publication</ns0:t>
        </ns0:is>
      </ns0:c>
      <ns0:c r="I157" s="8" t="n">
        <ns0:v>3</ns0:v>
      </ns0:c>
      <ns0:c r="J157" s="8" t="inlineStr">
        <ns0:is>
          <ns0:t>Decree No. 41 is dated 25 October 1900 and was published in the government gazette on 27 October. Distinguish the dates of the decree and its gazette publication.</ns0:t>
        </ns0:is>
      </ns0:c>
      <ns0:c r="K157" s="8" t="inlineStr">
        <ns0:is>
          <ns0:t>The selected option, “Every date concerning a document must be identical”, does not fit. The answer is “First distinguish the decree date from publication”. Decree No. 41 is dated 25 October 1900 and was published in the government gazette on 27 October. Distinguish the dates of the decree and its gazette publication.</ns0:t>
        </ns0:is>
      </ns0:c>
      <ns0:c r="L157" s="8" t="inlineStr">
        <ns0:is>
          <ns0:t>The selected option, “A gazette makes the original decree useless”, does not fit. The answer is “First distinguish the decree date from publication”. Decree No. 41 is dated 25 October 1900 and was published in the government gazette on 27 October. Distinguish the dates of the decree and its gazette publication.</ns0:t>
        </ns0:is>
      </ns0:c>
      <ns0:c r="M157" s="8" t="inlineStr">
        <ns0:is>
          <ns0:t>Decree No. 41 is dated 25 October 1900 and was published in the government gazette on 27 October. Distinguish the dates of the decree and its gazette publication.</ns0:t>
        </ns0:is>
      </ns0:c>
      <ns0:c r="N157" s="8" t="inlineStr">
        <ns0:is>
          <ns0:t>Source A: Decree No. 41, 25 October 1900. Source B: the government gazette of 27 October, containing the decree. A gazette is an official government publication.</ns0:t>
        </ns0:is>
      </ns0:c>
      <ns0:c r="O157" s="8" t="inlineStr">
        <ns0:is>
          <ns0:t>https://dokdo.mofa.go.kr/kor/pds/part02_view02.jsp
https://dokdo.mofa.go.kr/kor/pds/part02_view03.jsp</ns0:t>
        </ns0:is>
      </ns0:c>
      <ns0:c r="P157" s="5">
        <ns0:f>LEN(E157)+MAX(LEN(F157),LEN(G157),LEN(H157))</ns0:f>
        <ns0:v>100</ns0:v>
      </ns0:c>
      <ns0:c r="Q157" s="9" t="inlineStr">
        <ns0:is>
          <ns0:t>출처 기반 자체 검토 / 독립 승인 전</ns0:t>
        </ns0:is>
      </ns0:c>
    </ns0:row>
    <ns0:row r="158" ht="98" customHeight="1">
      <ns0:c r="A158" s="2" t="n">
        <ns0:v>910157</ns0:v>
      </ns0:c>
      <ns0:c r="B158" s="2" t="n">
        <ns0:v>8</ns0:v>
      </ns0:c>
      <ns0:c r="C158" s="2" t="inlineStr">
        <ns0:is>
          <ns0:t>dk-proposal-order</ns0:t>
        </ns0:is>
      </ns0:c>
      <ns0:c r="D158" s="2" t="n">
        <ns0:v>1</ns0:v>
      </ns0:c>
      <ns0:c r="E158" s="6" t="inlineStr">
        <ns0:is>
          <ns0:t>Which document submits a proposal for consideration?</ns0:t>
        </ns0:is>
      </ns0:c>
      <ns0:c r="F158" s="6" t="inlineStr">
        <ns0:is>
          <ns0:t>A coastal photograph</ns0:t>
        </ns0:is>
      </ns0:c>
      <ns0:c r="G158" s="6" t="inlineStr">
        <ns0:is>
          <ns0:t>A petition</ns0:t>
        </ns0:is>
      </ns0:c>
      <ns0:c r="H158" s="6" t="inlineStr">
        <ns0:is>
          <ns0:t>A ferry ticket</ns0:t>
        </ns0:is>
      </ns0:c>
      <ns0:c r="I158" s="6" t="n">
        <ns0:v>2</ns0:v>
      </ns0:c>
      <ns0:c r="J158" s="6" t="inlineStr">
        <ns0:is>
          <ns0:t>Administrative reorganisation can be followed through a proposal, decree and gazette publication. A petition submits a matter for consideration.</ns0:t>
        </ns0:is>
      </ns0:c>
      <ns0:c r="K158" s="6" t="inlineStr">
        <ns0:is>
          <ns0:t>The selected option, “A coastal photograph”, does not fit. The answer is “A petition”. Administrative reorganisation can be followed through a proposal, decree and gazette publication. A petition submits a matter for consideration.</ns0:t>
        </ns0:is>
      </ns0:c>
      <ns0:c r="L158" s="6" t="inlineStr">
        <ns0:is>
          <ns0:t>Administrative reorganisation can be followed through a proposal, decree and gazette publication. A petition submits a matter for consideration.</ns0:t>
        </ns0:is>
      </ns0:c>
      <ns0:c r="M158" s="6" t="inlineStr">
        <ns0:is>
          <ns0:t>The selected option, “A ferry ticket”, does not fit. The answer is “A petition”. Administrative reorganisation can be followed through a proposal, decree and gazette publication. A petition submits a matter for consideration.</ns0:t>
        </ns0:is>
      </ns0:c>
      <ns0:c r="N158" s="6" t="inlineStr"/>
      <ns0:c r="O158" s="6" t="inlineStr">
        <ns0:is>
          <ns0:t>https://dokdo.mofa.go.kr/kor/pds/part02_view01.jsp
https://dokdo.mofa.go.kr/kor/pds/part02_view02.jsp
https://dokdo.mofa.go.kr/kor/pds/part02_view03.jsp</ns0:t>
        </ns0:is>
      </ns0:c>
      <ns0:c r="P158" s="3">
        <ns0:f>LEN(E158)+MAX(LEN(F158),LEN(G158),LEN(H158))</ns0:f>
        <ns0:v>72</ns0:v>
      </ns0:c>
      <ns0:c r="Q158" s="7" t="inlineStr">
        <ns0:is>
          <ns0:t>출처 기반 자체 검토 / 독립 승인 전</ns0:t>
        </ns0:is>
      </ns0:c>
    </ns0:row>
    <ns0:row r="159" ht="98" customHeight="1">
      <ns0:c r="A159" s="4" t="n">
        <ns0:v>910158</ns0:v>
      </ns0:c>
      <ns0:c r="B159" s="4" t="n">
        <ns0:v>8</ns0:v>
      </ns0:c>
      <ns0:c r="C159" s="4" t="inlineStr">
        <ns0:is>
          <ns0:t>dk-proposal-order</ns0:t>
        </ns0:is>
      </ns0:c>
      <ns0:c r="D159" s="4" t="n">
        <ns0:v>2</ns0:v>
      </ns0:c>
      <ns0:c r="E159" s="8" t="inlineStr">
        <ns0:is>
          <ns0:t>Which sequence fits this administrative process?</ns0:t>
        </ns0:is>
      </ns0:c>
      <ns0:c r="F159" s="8" t="inlineStr">
        <ns0:is>
          <ns0:t>Proposal → decree → gazette publication</ns0:t>
        </ns0:is>
      </ns0:c>
      <ns0:c r="G159" s="8" t="inlineStr">
        <ns0:is>
          <ns0:t>Gazette → proposal → decree</ns0:t>
        </ns0:is>
      </ns0:c>
      <ns0:c r="H159" s="8" t="inlineStr">
        <ns0:is>
          <ns0:t>Lighthouse → gazette → volcano</ns0:t>
        </ns0:is>
      </ns0:c>
      <ns0:c r="I159" s="8" t="n">
        <ns0:v>1</ns0:v>
      </ns0:c>
      <ns0:c r="J159" s="8" t="inlineStr">
        <ns0:is>
          <ns0:t>Administrative reorganisation can be followed through a proposal, decree and gazette publication. A petition submits a matter for consideration.</ns0:t>
        </ns0:is>
      </ns0:c>
      <ns0:c r="K159" s="8" t="inlineStr">
        <ns0:is>
          <ns0:t>Administrative reorganisation can be followed through a proposal, decree and gazette publication. A petition submits a matter for consideration.</ns0:t>
        </ns0:is>
      </ns0:c>
      <ns0:c r="L159" s="8" t="inlineStr">
        <ns0:is>
          <ns0:t>The selected option, “Gazette → proposal → decree”, does not fit. The answer is “Proposal → decree → gazette publication”. Administrative reorganisation can be followed through a proposal, decree and gazette publication. A petition submits a matter for consideration.</ns0:t>
        </ns0:is>
      </ns0:c>
      <ns0:c r="M159" s="8" t="inlineStr">
        <ns0:is>
          <ns0:t>The selected option, “Lighthouse → gazette → volcano”, does not fit. The answer is “Proposal → decree → gazette publication”. Administrative reorganisation can be followed through a proposal, decree and gazette publication. A petition submits a matter for consideration.</ns0:t>
        </ns0:is>
      </ns0:c>
      <ns0:c r="N159" s="8" t="inlineStr"/>
      <ns0:c r="O159" s="8" t="inlineStr">
        <ns0:is>
          <ns0:t>https://dokdo.mofa.go.kr/kor/pds/part02_view01.jsp
https://dokdo.mofa.go.kr/kor/pds/part02_view02.jsp
https://dokdo.mofa.go.kr/kor/pds/part02_view03.jsp</ns0:t>
        </ns0:is>
      </ns0:c>
      <ns0:c r="P159" s="5">
        <ns0:f>LEN(E159)+MAX(LEN(F159),LEN(G159),LEN(H159))</ns0:f>
        <ns0:v>87</ns0:v>
      </ns0:c>
      <ns0:c r="Q159" s="9" t="inlineStr">
        <ns0:is>
          <ns0:t>출처 기반 자체 검토 / 독립 승인 전</ns0:t>
        </ns0:is>
      </ns0:c>
    </ns0:row>
    <ns0:row r="160" ht="98" customHeight="1">
      <ns0:c r="A160" s="2" t="n">
        <ns0:v>910159</ns0:v>
      </ns0:c>
      <ns0:c r="B160" s="2" t="n">
        <ns0:v>8</ns0:v>
      </ns0:c>
      <ns0:c r="C160" s="2" t="inlineStr">
        <ns0:is>
          <ns0:t>dk-proposal-order</ns0:t>
        </ns0:is>
      </ns0:c>
      <ns0:c r="D160" s="2" t="n">
        <ns0:v>3</ns0:v>
      </ns0:c>
      <ns0:c r="E160" s="6" t="inlineStr">
        <ns0:is>
          <ns0:t>Which pair shows that the proposal preceded the decree?</ns0:t>
        </ns0:is>
      </ns0:c>
      <ns0:c r="F160" s="6" t="inlineStr">
        <ns0:is>
          <ns0:t>The decree of the 25th and gazette of the 27th</ns0:t>
        </ns0:is>
      </ns0:c>
      <ns0:c r="G160" s="6" t="inlineStr">
        <ns0:is>
          <ns0:t>The cover and contents of the gazette of the 27th</ns0:t>
        </ns0:is>
      </ns0:c>
      <ns0:c r="H160" s="6" t="inlineStr">
        <ns0:is>
          <ns0:t>The petition of the 22nd and decree of the 25th</ns0:t>
        </ns0:is>
      </ns0:c>
      <ns0:c r="I160" s="6" t="n">
        <ns0:v>3</ns0:v>
      </ns0:c>
      <ns0:c r="J160" s="6" t="inlineStr">
        <ns0:is>
          <ns0:t>Administrative reorganisation can be followed through a proposal, decree and gazette publication. A petition submits a matter for consideration. Compare the proposal and decree directly to establish their order.</ns0:t>
        </ns0:is>
      </ns0:c>
      <ns0:c r="K160" s="6" t="inlineStr">
        <ns0:is>
          <ns0:t>The selected option, “The decree of the 25th and gazette of the 27th”, does not fit. The answer is “The petition of the 22nd and decree of the 25th”. Administrative reorganisation can be followed through a proposal, decree and gazette publication. A petition submits a matter for consideration. Compare the proposal and decree directly to establish their order.</ns0:t>
        </ns0:is>
      </ns0:c>
      <ns0:c r="L160" s="6" t="inlineStr">
        <ns0:is>
          <ns0:t>The selected option, “The cover and contents of the gazette of the 27th”, does not fit. The answer is “The petition of the 22nd and decree of the 25th”. Administrative reorganisation can be followed through a proposal, decree and gazette publication. A petition submits a matter for consideration. Compare the proposal and decree directly to establish their order.</ns0:t>
        </ns0:is>
      </ns0:c>
      <ns0:c r="M160" s="6" t="inlineStr">
        <ns0:is>
          <ns0:t>Administrative reorganisation can be followed through a proposal, decree and gazette publication. A petition submits a matter for consideration. Compare the proposal and decree directly to establish their order.</ns0:t>
        </ns0:is>
      </ns0:c>
      <ns0:c r="N160" s="6" t="inlineStr">
        <ns0:is>
          <ns0:t>Document sequence in 1900: petition on 22 October → Decree No. 41 on 25 October → gazette publication on 27 October. The documents have different roles within the process.</ns0:t>
        </ns0:is>
      </ns0:c>
      <ns0:c r="O160" s="6" t="inlineStr">
        <ns0:is>
          <ns0:t>https://dokdo.mofa.go.kr/kor/pds/part02_view01.jsp
https://dokdo.mofa.go.kr/kor/pds/part02_view02.jsp
https://dokdo.mofa.go.kr/kor/pds/part02_view03.jsp</ns0:t>
        </ns0:is>
      </ns0:c>
      <ns0:c r="P160" s="3">
        <ns0:f>LEN(E160)+MAX(LEN(F160),LEN(G160),LEN(H160))</ns0:f>
        <ns0:v>104</ns0:v>
      </ns0:c>
      <ns0:c r="Q160" s="7" t="inlineStr">
        <ns0:is>
          <ns0:t>출처 기반 자체 검토 / 독립 승인 전</ns0:t>
        </ns0:is>
      </ns0:c>
    </ns0:row>
    <ns0:row r="161" ht="98" customHeight="1">
      <ns0:c r="A161" s="4" t="n">
        <ns0:v>910160</ns0:v>
      </ns0:c>
      <ns0:c r="B161" s="4" t="n">
        <ns0:v>8</ns0:v>
      </ns0:c>
      <ns0:c r="C161" s="4" t="inlineStr">
        <ns0:is>
          <ns0:t>dk-proposal-order</ns0:t>
        </ns0:is>
      </ns0:c>
      <ns0:c r="D161" s="4" t="n">
        <ns0:v>4</ns0:v>
      </ns0:c>
      <ns0:c r="E161" s="8" t="inlineStr">
        <ns0:is>
          <ns0:t>What is wrong with treating the petition and decree as the same stage?</ns0:t>
        </ns0:is>
      </ns0:c>
      <ns0:c r="F161" s="8" t="inlineStr">
        <ns0:is>
          <ns0:t>Documents concerning one matter cannot be compared</ns0:t>
        </ns0:is>
      </ns0:c>
      <ns0:c r="G161" s="8" t="inlineStr">
        <ns0:is>
          <ns0:t>It overlooks the distinction between proposal and decree</ns0:t>
        </ns0:is>
      </ns0:c>
      <ns0:c r="H161" s="8" t="inlineStr">
        <ns0:is>
          <ns0:t>Close dates imply identical functions</ns0:t>
        </ns0:is>
      </ns0:c>
      <ns0:c r="I161" s="8" t="n">
        <ns0:v>2</ns0:v>
      </ns0:c>
      <ns0:c r="J161" s="8" t="inlineStr">
        <ns0:is>
          <ns0:t>Administrative reorganisation can be followed through a proposal, decree and gazette publication. A petition submits a matter for consideration.</ns0:t>
        </ns0:is>
      </ns0:c>
      <ns0:c r="K161" s="8" t="inlineStr">
        <ns0:is>
          <ns0:t>The selected option, “Documents concerning one matter cannot be compared”, does not fit. The answer is “It overlooks the distinction between proposal and decree”. Administrative reorganisation can be followed through a proposal, decree and gazette publication. A petition submits a matter for consideration.</ns0:t>
        </ns0:is>
      </ns0:c>
      <ns0:c r="L161" s="8" t="inlineStr">
        <ns0:is>
          <ns0:t>Administrative reorganisation can be followed through a proposal, decree and gazette publication. A petition submits a matter for consideration.</ns0:t>
        </ns0:is>
      </ns0:c>
      <ns0:c r="M161" s="8" t="inlineStr">
        <ns0:is>
          <ns0:t>The selected option, “Close dates imply identical functions”, does not fit. The answer is “It overlooks the distinction between proposal and decree”. Administrative reorganisation can be followed through a proposal, decree and gazette publication. A petition submits a matter for consideration.</ns0:t>
        </ns0:is>
      </ns0:c>
      <ns0:c r="N161" s="8" t="inlineStr">
        <ns0:is>
          <ns0:t>Document sequence in 1900: petition on 22 October → Decree No. 41 on 25 October → gazette publication on 27 October. The documents have different roles within the process.</ns0:t>
        </ns0:is>
      </ns0:c>
      <ns0:c r="O161" s="8" t="inlineStr">
        <ns0:is>
          <ns0:t>https://dokdo.mofa.go.kr/kor/pds/part02_view01.jsp
https://dokdo.mofa.go.kr/kor/pds/part02_view02.jsp
https://dokdo.mofa.go.kr/kor/pds/part02_view03.jsp</ns0:t>
        </ns0:is>
      </ns0:c>
      <ns0:c r="P161" s="5">
        <ns0:f>LEN(E161)+MAX(LEN(F161),LEN(G161),LEN(H161))</ns0:f>
        <ns0:v>126</ns0:v>
      </ns0:c>
      <ns0:c r="Q161" s="9" t="inlineStr">
        <ns0:is>
          <ns0:t>출처 기반 자체 검토 / 독립 승인 전</ns0:t>
        </ns0:is>
      </ns0:c>
    </ns0:row>
    <ns0:row r="162" ht="98" customHeight="1">
      <ns0:c r="A162" s="2" t="n">
        <ns0:v>910161</ns0:v>
      </ns0:c>
      <ns0:c r="B162" s="2" t="n">
        <ns0:v>9</ns0:v>
      </ns0:c>
      <ns0:c r="C162" s="2" t="inlineStr">
        <ns0:is>
          <ns0:t>dk-shim-role</ns0:t>
        </ns0:is>
      </ns0:c>
      <ns0:c r="D162" s="2" t="n">
        <ns0:v>1</ns0:v>
      </ns0:c>
      <ns0:c r="E162" s="6" t="inlineStr">
        <ns0:is>
          <ns0:t>Which Uldo magistrate reported on Dokdo in 1906?</ns0:t>
        </ns0:is>
      </ns0:c>
      <ns0:c r="F162" s="6" t="inlineStr">
        <ns0:is>
          <ns0:t>Shim Heung-taek</ns0:t>
        </ns0:is>
      </ns0:c>
      <ns0:c r="G162" s="6" t="inlineStr">
        <ns0:is>
          <ns0:t>An Yong-bok</ns0:t>
        </ns0:is>
      </ns0:c>
      <ns0:c r="H162" s="6" t="inlineStr">
        <ns0:is>
          <ns0:t>Park Eo-dun</ns0:t>
        </ns0:is>
      </ns0:c>
      <ns0:c r="I162" s="6" t="n">
        <ns0:v>1</ns0:v>
      </ns0:c>
      <ns0:c r="J162" s="6" t="inlineStr">
        <ns0:is>
          <ns0:t>Shim Heung-taek was the Uldo county magistrate. In 1906 he reported information concerning Dokdo to higher authorities.</ns0:t>
        </ns0:is>
      </ns0:c>
      <ns0:c r="K162" s="6" t="inlineStr">
        <ns0:is>
          <ns0:t>Shim Heung-taek was the Uldo county magistrate. In 1906 he reported information concerning Dokdo to higher authorities.</ns0:t>
        </ns0:is>
      </ns0:c>
      <ns0:c r="L162" s="6" t="inlineStr">
        <ns0:is>
          <ns0:t>The selected option, “An Yong-bok”, does not fit. The answer is “Shim Heung-taek”. Shim Heung-taek was the Uldo county magistrate. In 1906 he reported information concerning Dokdo to higher authorities.</ns0:t>
        </ns0:is>
      </ns0:c>
      <ns0:c r="M162" s="6" t="inlineStr">
        <ns0:is>
          <ns0:t>The selected option, “Park Eo-dun”, does not fit. The answer is “Shim Heung-taek”. Shim Heung-taek was the Uldo county magistrate. In 1906 he reported information concerning Dokdo to higher authorities.</ns0:t>
        </ns0:is>
      </ns0:c>
      <ns0:c r="N162" s="6" t="inlineStr"/>
      <ns0:c r="O162" s="6" t="inlineStr">
        <ns0:is>
          <ns0:t>https://dokdo.mofa.go.kr/kor/pds/part02_view04.jsp</ns0:t>
        </ns0:is>
      </ns0:c>
      <ns0:c r="P162" s="3">
        <ns0:f>LEN(E162)+MAX(LEN(F162),LEN(G162),LEN(H162))</ns0:f>
        <ns0:v>63</ns0:v>
      </ns0:c>
      <ns0:c r="Q162" s="7" t="inlineStr">
        <ns0:is>
          <ns0:t>출처 기반 자체 검토 / 독립 승인 전</ns0:t>
        </ns0:is>
      </ns0:c>
    </ns0:row>
    <ns0:row r="163" ht="98" customHeight="1">
      <ns0:c r="A163" s="4" t="n">
        <ns0:v>910162</ns0:v>
      </ns0:c>
      <ns0:c r="B163" s="4" t="n">
        <ns0:v>9</ns0:v>
      </ns0:c>
      <ns0:c r="C163" s="4" t="inlineStr">
        <ns0:is>
          <ns0:t>dk-shim-role</ns0:t>
        </ns0:is>
      </ns0:c>
      <ns0:c r="D163" s="4" t="n">
        <ns0:v>2</ns0:v>
      </ns0:c>
      <ns0:c r="E163" s="8" t="inlineStr">
        <ns0:is>
          <ns0:t>Which office did Shim Heung-taek hold?</ns0:t>
        </ns0:is>
      </ns0:c>
      <ns0:c r="F163" s="8" t="inlineStr">
        <ns0:is>
          <ns0:t>Dokdo lighthouse keeper</ns0:t>
        </ns0:is>
      </ns0:c>
      <ns0:c r="G163" s="8" t="inlineStr">
        <ns0:is>
          <ns0:t>Ferry captain</ns0:t>
        </ns0:is>
      </ns0:c>
      <ns0:c r="H163" s="8" t="inlineStr">
        <ns0:is>
          <ns0:t>Uldo county magistrate</ns0:t>
        </ns0:is>
      </ns0:c>
      <ns0:c r="I163" s="8" t="n">
        <ns0:v>3</ns0:v>
      </ns0:c>
      <ns0:c r="J163" s="8" t="inlineStr">
        <ns0:is>
          <ns0:t>Shim Heung-taek was the Uldo county magistrate. In 1906 he reported information concerning Dokdo to higher authorities.</ns0:t>
        </ns0:is>
      </ns0:c>
      <ns0:c r="K163" s="8" t="inlineStr">
        <ns0:is>
          <ns0:t>The selected option, “Dokdo lighthouse keeper”, does not fit. The answer is “Uldo county magistrate”. Shim Heung-taek was the Uldo county magistrate. In 1906 he reported information concerning Dokdo to higher authorities.</ns0:t>
        </ns0:is>
      </ns0:c>
      <ns0:c r="L163" s="8" t="inlineStr">
        <ns0:is>
          <ns0:t>The selected option, “Ferry captain”, does not fit. The answer is “Uldo county magistrate”. Shim Heung-taek was the Uldo county magistrate. In 1906 he reported information concerning Dokdo to higher authorities.</ns0:t>
        </ns0:is>
      </ns0:c>
      <ns0:c r="M163" s="8" t="inlineStr">
        <ns0:is>
          <ns0:t>Shim Heung-taek was the Uldo county magistrate. In 1906 he reported information concerning Dokdo to higher authorities.</ns0:t>
        </ns0:is>
      </ns0:c>
      <ns0:c r="N163" s="8" t="inlineStr"/>
      <ns0:c r="O163" s="8" t="inlineStr">
        <ns0:is>
          <ns0:t>https://dokdo.mofa.go.kr/kor/pds/part02_view04.jsp</ns0:t>
        </ns0:is>
      </ns0:c>
      <ns0:c r="P163" s="5">
        <ns0:f>LEN(E163)+MAX(LEN(F163),LEN(G163),LEN(H163))</ns0:f>
        <ns0:v>61</ns0:v>
      </ns0:c>
      <ns0:c r="Q163" s="9" t="inlineStr">
        <ns0:is>
          <ns0:t>출처 기반 자체 검토 / 독립 승인 전</ns0:t>
        </ns0:is>
      </ns0:c>
    </ns0:row>
    <ns0:row r="164" ht="98" customHeight="1">
      <ns0:c r="A164" s="2" t="n">
        <ns0:v>910163</ns0:v>
      </ns0:c>
      <ns0:c r="B164" s="2" t="n">
        <ns0:v>9</ns0:v>
      </ns0:c>
      <ns0:c r="C164" s="2" t="inlineStr">
        <ns0:is>
          <ns0:t>dk-shim-role</ns0:t>
        </ns0:is>
      </ns0:c>
      <ns0:c r="D164" s="2" t="n">
        <ns0:v>3</ns0:v>
      </ns0:c>
      <ns0:c r="E164" s="6" t="inlineStr">
        <ns0:is>
          <ns0:t>What kind of information does Shim’s report convey?</ns0:t>
        </ns0:is>
      </ns0:c>
      <ns0:c r="F164" s="6" t="inlineStr">
        <ns0:is>
          <ns0:t>Exact submarine survey measurements</ns0:t>
        </ns0:is>
      </ns0:c>
      <ns0:c r="G164" s="6" t="inlineStr">
        <ns0:is>
          <ns0:t>Circumstances as understood by an official at the time</ns0:t>
        </ns0:is>
      </ns0:c>
      <ns0:c r="H164" s="6" t="inlineStr">
        <ns0:is>
          <ns0:t>A live count of all current residents</ns0:t>
        </ns0:is>
      </ns0:c>
      <ns0:c r="I164" s="6" t="n">
        <ns0:v>2</ns0:v>
      </ns0:c>
      <ns0:c r="J164" s="6" t="inlineStr">
        <ns0:is>
          <ns0:t>Shim Heung-taek was the Uldo county magistrate. In 1906 he reported information concerning Dokdo to higher authorities.</ns0:t>
        </ns0:is>
      </ns0:c>
      <ns0:c r="K164" s="6" t="inlineStr">
        <ns0:is>
          <ns0:t>The selected option, “Exact submarine survey measurements”, does not fit. The answer is “Circumstances as understood by an official at the time”. Shim Heung-taek was the Uldo county magistrate. In 1906 he reported information concerning Dokdo to higher authorities.</ns0:t>
        </ns0:is>
      </ns0:c>
      <ns0:c r="L164" s="6" t="inlineStr">
        <ns0:is>
          <ns0:t>Shim Heung-taek was the Uldo county magistrate. In 1906 he reported information concerning Dokdo to higher authorities.</ns0:t>
        </ns0:is>
      </ns0:c>
      <ns0:c r="M164" s="6" t="inlineStr">
        <ns0:is>
          <ns0:t>The selected option, “A live count of all current residents”, does not fit. The answer is “Circumstances as understood by an official at the time”. Shim Heung-taek was the Uldo county magistrate. In 1906 he reported information concerning Dokdo to higher authorities.</ns0:t>
        </ns0:is>
      </ns0:c>
      <ns0:c r="N164" s="6" t="inlineStr">
        <ns0:is>
          <ns0:t>The 1906 document in MOFA’s archive transmits the report of Uldo magistrate Shim Heung-taek. An official report communicates circumstances to authorities.</ns0:t>
        </ns0:is>
      </ns0:c>
      <ns0:c r="O164" s="6" t="inlineStr">
        <ns0:is>
          <ns0:t>https://dokdo.mofa.go.kr/kor/pds/part02_view04.jsp</ns0:t>
        </ns0:is>
      </ns0:c>
      <ns0:c r="P164" s="3">
        <ns0:f>LEN(E164)+MAX(LEN(F164),LEN(G164),LEN(H164))</ns0:f>
        <ns0:v>105</ns0:v>
      </ns0:c>
      <ns0:c r="Q164" s="7" t="inlineStr">
        <ns0:is>
          <ns0:t>출처 기반 자체 검토 / 독립 승인 전</ns0:t>
        </ns0:is>
      </ns0:c>
    </ns0:row>
    <ns0:row r="165" ht="98" customHeight="1">
      <ns0:c r="A165" s="4" t="n">
        <ns0:v>910164</ns0:v>
      </ns0:c>
      <ns0:c r="B165" s="4" t="n">
        <ns0:v>9</ns0:v>
      </ns0:c>
      <ns0:c r="C165" s="4" t="inlineStr">
        <ns0:is>
          <ns0:t>dk-shim-role</ns0:t>
        </ns0:is>
      </ns0:c>
      <ns0:c r="D165" s="4" t="n">
        <ns0:v>4</ns0:v>
      </ns0:c>
      <ns0:c r="E165" s="8" t="inlineStr">
        <ns0:is>
          <ns0:t>What is wrong with presenting the 1906 report as today’s observation?</ns0:t>
        </ns0:is>
      </ns0:c>
      <ns0:c r="F165" s="8" t="inlineStr">
        <ns0:is>
          <ns0:t>It confuses the source’s time and type</ns0:t>
        </ns0:is>
      </ns0:c>
      <ns0:c r="G165" s="8" t="inlineStr">
        <ns0:is>
          <ns0:t>Official documents directly observe every era</ns0:t>
        </ns0:is>
      </ns0:c>
      <ns0:c r="H165" s="8" t="inlineStr">
        <ns0:is>
          <ns0:t>Old reports cannot be used in historical research</ns0:t>
        </ns0:is>
      </ns0:c>
      <ns0:c r="I165" s="8" t="n">
        <ns0:v>1</ns0:v>
      </ns0:c>
      <ns0:c r="J165" s="8" t="inlineStr">
        <ns0:is>
          <ns0:t>Shim Heung-taek was the Uldo county magistrate. In 1906 he reported information concerning Dokdo to higher authorities.</ns0:t>
        </ns0:is>
      </ns0:c>
      <ns0:c r="K165" s="8" t="inlineStr">
        <ns0:is>
          <ns0:t>Shim Heung-taek was the Uldo county magistrate. In 1906 he reported information concerning Dokdo to higher authorities.</ns0:t>
        </ns0:is>
      </ns0:c>
      <ns0:c r="L165" s="8" t="inlineStr">
        <ns0:is>
          <ns0:t>The selected option, “Official documents directly observe every era”, does not fit. The answer is “It confuses the source’s time and type”. Shim Heung-taek was the Uldo county magistrate. In 1906 he reported information concerning Dokdo to higher authorities.</ns0:t>
        </ns0:is>
      </ns0:c>
      <ns0:c r="M165" s="8" t="inlineStr">
        <ns0:is>
          <ns0:t>The selected option, “Old reports cannot be used in historical research”, does not fit. The answer is “It confuses the source’s time and type”. Shim Heung-taek was the Uldo county magistrate. In 1906 he reported information concerning Dokdo to higher authorities.</ns0:t>
        </ns0:is>
      </ns0:c>
      <ns0:c r="N165" s="8" t="inlineStr">
        <ns0:is>
          <ns0:t>The 1906 document in MOFA’s archive transmits the report of Uldo magistrate Shim Heung-taek. An official report communicates circumstances to authorities.</ns0:t>
        </ns0:is>
      </ns0:c>
      <ns0:c r="O165" s="8" t="inlineStr">
        <ns0:is>
          <ns0:t>https://dokdo.mofa.go.kr/kor/pds/part02_view04.jsp</ns0:t>
        </ns0:is>
      </ns0:c>
      <ns0:c r="P165" s="5">
        <ns0:f>LEN(E165)+MAX(LEN(F165),LEN(G165),LEN(H165))</ns0:f>
        <ns0:v>118</ns0:v>
      </ns0:c>
      <ns0:c r="Q165" s="9" t="inlineStr">
        <ns0:is>
          <ns0:t>출처 기반 자체 검토 / 독립 승인 전</ns0:t>
        </ns0:is>
      </ns0:c>
    </ns0:row>
    <ns0:row r="166" ht="98" customHeight="1">
      <ns0:c r="A166" s="2" t="n">
        <ns0:v>910165</ns0:v>
      </ns0:c>
      <ns0:c r="B166" s="2" t="n">
        <ns0:v>9</ns0:v>
      </ns0:c>
      <ns0:c r="C166" s="2" t="inlineStr">
        <ns0:is>
          <ns0:t>dk-county-affiliation</ns0:t>
        </ns0:is>
      </ns0:c>
      <ns0:c r="D166" s="2" t="n">
        <ns0:v>1</ns0:v>
      </ns0:c>
      <ns0:c r="E166" s="6" t="inlineStr">
        <ns0:is>
          <ns0:t>What does “this county” refer to?</ns0:t>
        </ns0:is>
      </ns0:c>
      <ns0:c r="F166" s="6" t="inlineStr">
        <ns0:is>
          <ns0:t>Every country’s military</ns0:t>
        </ns0:is>
      </ns0:c>
      <ns0:c r="G166" s="6" t="inlineStr">
        <ns0:is>
          <ns0:t>Only the harbour where a ship is moored</ns0:t>
        </ns0:is>
      </ns0:c>
      <ns0:c r="H166" s="6" t="inlineStr">
        <ns0:is>
          <ns0:t>The county administered by the reporter</ns0:t>
        </ns0:is>
      </ns0:c>
      <ns0:c r="I166" s="6" t="n">
        <ns0:v>3</ns0:v>
      </ns0:c>
      <ns0:c r="J166" s="6" t="inlineStr">
        <ns0:is>
          <ns0:t>Shim’s report describes Dokdo as belonging to his county, revealing the official’s understanding at that time.</ns0:t>
        </ns0:is>
      </ns0:c>
      <ns0:c r="K166" s="6" t="inlineStr">
        <ns0:is>
          <ns0:t>The selected option, “Every country’s military”, does not fit. The answer is “The county administered by the reporter”. Shim’s report describes Dokdo as belonging to his county, revealing the official’s understanding at that time.</ns0:t>
        </ns0:is>
      </ns0:c>
      <ns0:c r="L166" s="6" t="inlineStr">
        <ns0:is>
          <ns0:t>The selected option, “Only the harbour where a ship is moored”, does not fit. The answer is “The county administered by the reporter”. Shim’s report describes Dokdo as belonging to his county, revealing the official’s understanding at that time.</ns0:t>
        </ns0:is>
      </ns0:c>
      <ns0:c r="M166" s="6" t="inlineStr">
        <ns0:is>
          <ns0:t>Shim’s report describes Dokdo as belonging to his county, revealing the official’s understanding at that time.</ns0:t>
        </ns0:is>
      </ns0:c>
      <ns0:c r="N166" s="6" t="inlineStr"/>
      <ns0:c r="O166" s="6" t="inlineStr">
        <ns0:is>
          <ns0:t>https://dokdo.mofa.go.kr/kor/pds/part02_view04.jsp</ns0:t>
        </ns0:is>
      </ns0:c>
      <ns0:c r="P166" s="3">
        <ns0:f>LEN(E166)+MAX(LEN(F166),LEN(G166),LEN(H166))</ns0:f>
        <ns0:v>72</ns0:v>
      </ns0:c>
      <ns0:c r="Q166" s="7" t="inlineStr">
        <ns0:is>
          <ns0:t>출처 기반 자체 검토 / 독립 승인 전</ns0:t>
        </ns0:is>
      </ns0:c>
    </ns0:row>
    <ns0:row r="167" ht="98" customHeight="1">
      <ns0:c r="A167" s="4" t="n">
        <ns0:v>910166</ns0:v>
      </ns0:c>
      <ns0:c r="B167" s="4" t="n">
        <ns0:v>9</ns0:v>
      </ns0:c>
      <ns0:c r="C167" s="4" t="inlineStr">
        <ns0:is>
          <ns0:t>dk-county-affiliation</ns0:t>
        </ns0:is>
      </ns0:c>
      <ns0:c r="D167" s="4" t="n">
        <ns0:v>2</ns0:v>
      </ns0:c>
      <ns0:c r="E167" s="8" t="inlineStr">
        <ns0:is>
          <ns0:t>What does “Dokdo belonging to this county” show?</ns0:t>
        </ns0:is>
      </ns0:c>
      <ns0:c r="F167" s="8" t="inlineStr">
        <ns0:is>
          <ns0:t>The speed of migrating birds</ns0:t>
        </ns0:is>
      </ns0:c>
      <ns0:c r="G167" s="8" t="inlineStr">
        <ns0:is>
          <ns0:t>An understanding that Dokdo belonged to his county</ns0:t>
        </ns0:is>
      </ns0:c>
      <ns0:c r="H167" s="8" t="inlineStr">
        <ns0:is>
          <ns0:t>The colour of Dokdo’s rocks</ns0:t>
        </ns0:is>
      </ns0:c>
      <ns0:c r="I167" s="8" t="n">
        <ns0:v>2</ns0:v>
      </ns0:c>
      <ns0:c r="J167" s="8" t="inlineStr">
        <ns0:is>
          <ns0:t>Shim’s report describes Dokdo as belonging to his county, revealing the official’s understanding at that time.</ns0:t>
        </ns0:is>
      </ns0:c>
      <ns0:c r="K167" s="8" t="inlineStr">
        <ns0:is>
          <ns0:t>The selected option, “The speed of migrating birds”, does not fit. The answer is “An understanding that Dokdo belonged to his county”. Shim’s report describes Dokdo as belonging to his county, revealing the official’s understanding at that time.</ns0:t>
        </ns0:is>
      </ns0:c>
      <ns0:c r="L167" s="8" t="inlineStr">
        <ns0:is>
          <ns0:t>Shim’s report describes Dokdo as belonging to his county, revealing the official’s understanding at that time.</ns0:t>
        </ns0:is>
      </ns0:c>
      <ns0:c r="M167" s="8" t="inlineStr">
        <ns0:is>
          <ns0:t>The selected option, “The colour of Dokdo’s rocks”, does not fit. The answer is “An understanding that Dokdo belonged to his county”. Shim’s report describes Dokdo as belonging to his county, revealing the official’s understanding at that time.</ns0:t>
        </ns0:is>
      </ns0:c>
      <ns0:c r="N167" s="8" t="inlineStr"/>
      <ns0:c r="O167" s="8" t="inlineStr">
        <ns0:is>
          <ns0:t>https://dokdo.mofa.go.kr/kor/pds/part02_view04.jsp</ns0:t>
        </ns0:is>
      </ns0:c>
      <ns0:c r="P167" s="5">
        <ns0:f>LEN(E167)+MAX(LEN(F167),LEN(G167),LEN(H167))</ns0:f>
        <ns0:v>98</ns0:v>
      </ns0:c>
      <ns0:c r="Q167" s="9" t="inlineStr">
        <ns0:is>
          <ns0:t>출처 기반 자체 검토 / 독립 승인 전</ns0:t>
        </ns0:is>
      </ns0:c>
    </ns0:row>
    <ns0:row r="168" ht="98" customHeight="1">
      <ns0:c r="A168" s="2" t="n">
        <ns0:v>910167</ns0:v>
      </ns0:c>
      <ns0:c r="B168" s="2" t="n">
        <ns0:v>9</ns0:v>
      </ns0:c>
      <ns0:c r="C168" s="2" t="inlineStr">
        <ns0:is>
          <ns0:t>dk-county-affiliation</ns0:t>
        </ns0:is>
      </ns0:c>
      <ns0:c r="D168" s="2" t="n">
        <ns0:v>3</ns0:v>
      </ns0:c>
      <ns0:c r="E168" s="6" t="inlineStr">
        <ns0:is>
          <ns0:t>Which phrase is attributed to the reporter himself?</ns0:t>
        </ns0:is>
      </ns0:c>
      <ns0:c r="F168" s="6" t="inlineStr">
        <ns0:is>
          <ns0:t>Dokdo belonging to this county</ns0:t>
        </ns0:is>
      </ns0:c>
      <ns0:c r="G168" s="6" t="inlineStr">
        <ns0:is>
          <ns0:t>Today’s lighthouse power consumption</ns0:t>
        </ns0:is>
      </ns0:c>
      <ns0:c r="H168" s="6" t="inlineStr">
        <ns0:is>
          <ns0:t>Today’s ferry departure time</ns0:t>
        </ns0:is>
      </ns0:c>
      <ns0:c r="I168" s="6" t="n">
        <ns0:v>1</ns0:v>
      </ns0:c>
      <ns0:c r="J168" s="6" t="inlineStr">
        <ns0:is>
          <ns0:t>Shim’s report describes Dokdo as belonging to his county, revealing the official’s understanding at that time.</ns0:t>
        </ns0:is>
      </ns0:c>
      <ns0:c r="K168" s="6" t="inlineStr">
        <ns0:is>
          <ns0:t>Shim’s report describes Dokdo as belonging to his county, revealing the official’s understanding at that time.</ns0:t>
        </ns0:is>
      </ns0:c>
      <ns0:c r="L168" s="6" t="inlineStr">
        <ns0:is>
          <ns0:t>The selected option, “Today’s lighthouse power consumption”, does not fit. The answer is “Dokdo belonging to this county”. Shim’s report describes Dokdo as belonging to his county, revealing the official’s understanding at that time.</ns0:t>
        </ns0:is>
      </ns0:c>
      <ns0:c r="M168" s="6" t="inlineStr">
        <ns0:is>
          <ns0:t>The selected option, “Today’s ferry departure time”, does not fit. The answer is “Dokdo belonging to this county”. Shim’s report describes Dokdo as belonging to his county, revealing the official’s understanding at that time.</ns0:t>
        </ns0:is>
      </ns0:c>
      <ns0:c r="N168" s="6" t="inlineStr">
        <ns0:is>
          <ns0:t>The phrase “Dokdo belonging to this county” expresses the reporter’s own description. It must be distinguished from Japanese officials’ statements quoted later in the report.</ns0:t>
        </ns0:is>
      </ns0:c>
      <ns0:c r="O168" s="6" t="inlineStr">
        <ns0:is>
          <ns0:t>https://dokdo.mofa.go.kr/kor/pds/part02_view04.jsp</ns0:t>
        </ns0:is>
      </ns0:c>
      <ns0:c r="P168" s="3">
        <ns0:f>LEN(E168)+MAX(LEN(F168),LEN(G168),LEN(H168))</ns0:f>
        <ns0:v>87</ns0:v>
      </ns0:c>
      <ns0:c r="Q168" s="7" t="inlineStr">
        <ns0:is>
          <ns0:t>출처 기반 자체 검토 / 독립 승인 전</ns0:t>
        </ns0:is>
      </ns0:c>
    </ns0:row>
    <ns0:row r="169" ht="98" customHeight="1">
      <ns0:c r="A169" s="4" t="n">
        <ns0:v>910168</ns0:v>
      </ns0:c>
      <ns0:c r="B169" s="4" t="n">
        <ns0:v>9</ns0:v>
      </ns0:c>
      <ns0:c r="C169" s="4" t="inlineStr">
        <ns0:is>
          <ns0:t>dk-county-affiliation</ns0:t>
        </ns0:is>
      </ns0:c>
      <ns0:c r="D169" s="4" t="n">
        <ns0:v>4</ns0:v>
      </ns0:c>
      <ns0:c r="E169" s="8" t="inlineStr">
        <ns0:is>
          <ns0:t>What happens if the reporter’s wording and quoted statements are mixed?</ns0:t>
        </ns0:is>
      </ns0:c>
      <ns0:c r="F169" s="8" t="inlineStr">
        <ns0:is>
          <ns0:t>Every statement on one page has the same speaker</ns0:t>
        </ns0:is>
      </ns0:c>
      <ns0:c r="G169" s="8" t="inlineStr">
        <ns0:is>
          <ns0:t>Reports cannot contain quotations</ns0:t>
        </ns0:is>
      </ns0:c>
      <ns0:c r="H169" s="8" t="inlineStr">
        <ns0:is>
          <ns0:t>It can change who is attributed which position</ns0:t>
        </ns0:is>
      </ns0:c>
      <ns0:c r="I169" s="8" t="n">
        <ns0:v>3</ns0:v>
      </ns0:c>
      <ns0:c r="J169" s="8" t="inlineStr">
        <ns0:is>
          <ns0:t>Shim’s report describes Dokdo as belonging to his county, revealing the official’s understanding at that time.</ns0:t>
        </ns0:is>
      </ns0:c>
      <ns0:c r="K169" s="8" t="inlineStr">
        <ns0:is>
          <ns0:t>The selected option, “Every statement on one page has the same speaker”, does not fit. The answer is “It can change who is attributed which position”. Shim’s report describes Dokdo as belonging to his county, revealing the official’s understanding at that time.</ns0:t>
        </ns0:is>
      </ns0:c>
      <ns0:c r="L169" s="8" t="inlineStr">
        <ns0:is>
          <ns0:t>The selected option, “Reports cannot contain quotations”, does not fit. The answer is “It can change who is attributed which position”. Shim’s report describes Dokdo as belonging to his county, revealing the official’s understanding at that time.</ns0:t>
        </ns0:is>
      </ns0:c>
      <ns0:c r="M169" s="8" t="inlineStr">
        <ns0:is>
          <ns0:t>Shim’s report describes Dokdo as belonging to his county, revealing the official’s understanding at that time.</ns0:t>
        </ns0:is>
      </ns0:c>
      <ns0:c r="N169" s="8" t="inlineStr">
        <ns0:is>
          <ns0:t>The phrase “Dokdo belonging to this county” expresses the reporter’s own description. It must be distinguished from Japanese officials’ statements quoted later in the report.</ns0:t>
        </ns0:is>
      </ns0:c>
      <ns0:c r="O169" s="8" t="inlineStr">
        <ns0:is>
          <ns0:t>https://dokdo.mofa.go.kr/kor/pds/part02_view04.jsp</ns0:t>
        </ns0:is>
      </ns0:c>
      <ns0:c r="P169" s="5">
        <ns0:f>LEN(E169)+MAX(LEN(F169),LEN(G169),LEN(H169))</ns0:f>
        <ns0:v>119</ns0:v>
      </ns0:c>
      <ns0:c r="Q169" s="9" t="inlineStr">
        <ns0:is>
          <ns0:t>출처 기반 자체 검토 / 독립 승인 전</ns0:t>
        </ns0:is>
      </ns0:c>
    </ns0:row>
    <ns0:row r="170" ht="98" customHeight="1">
      <ns0:c r="A170" s="2" t="n">
        <ns0:v>910169</ns0:v>
      </ns0:c>
      <ns0:c r="B170" s="2" t="n">
        <ns0:v>9</ns0:v>
      </ns0:c>
      <ns0:c r="C170" s="2" t="inlineStr">
        <ns0:is>
          <ns0:t>dk-reported-speech</ns0:t>
        </ns0:is>
      </ns0:c>
      <ns0:c r="D170" s="2" t="n">
        <ns0:v>1</ns0:v>
      </ns0:c>
      <ns0:c r="E170" s="6" t="inlineStr">
        <ns0:is>
          <ns0:t>Who made the territorial claim quoted in the report?</ns0:t>
        </ns0:is>
      </ns0:c>
      <ns0:c r="F170" s="6" t="inlineStr">
        <ns0:is>
          <ns0:t>A lighthouse keeper</ns0:t>
        </ns0:is>
      </ns0:c>
      <ns0:c r="G170" s="6" t="inlineStr">
        <ns0:is>
          <ns0:t>The visiting Japanese officials</ns0:t>
        </ns0:is>
      </ns0:c>
      <ns0:c r="H170" s="6" t="inlineStr">
        <ns0:is>
          <ns0:t>A tourist today</ns0:t>
        </ns0:is>
      </ns0:c>
      <ns0:c r="I170" s="6" t="n">
        <ns0:v>2</ns0:v>
      </ns0:c>
      <ns0:c r="J170" s="6" t="inlineStr">
        <ns0:is>
          <ns0:t>Shim’s report includes claims he heard from Japanese officials. Reporting another person’s words is not the same as endorsing them.</ns0:t>
        </ns0:is>
      </ns0:c>
      <ns0:c r="K170" s="6" t="inlineStr">
        <ns0:is>
          <ns0:t>The selected option, “A lighthouse keeper”, does not fit. The answer is “The visiting Japanese officials”. Shim’s report includes claims he heard from Japanese officials. Reporting another person’s words is not the same as endorsing them.</ns0:t>
        </ns0:is>
      </ns0:c>
      <ns0:c r="L170" s="6" t="inlineStr">
        <ns0:is>
          <ns0:t>Shim’s report includes claims he heard from Japanese officials. Reporting another person’s words is not the same as endorsing them.</ns0:t>
        </ns0:is>
      </ns0:c>
      <ns0:c r="M170" s="6" t="inlineStr">
        <ns0:is>
          <ns0:t>The selected option, “A tourist today”, does not fit. The answer is “The visiting Japanese officials”. Shim’s report includes claims he heard from Japanese officials. Reporting another person’s words is not the same as endorsing them.</ns0:t>
        </ns0:is>
      </ns0:c>
      <ns0:c r="N170" s="6" t="inlineStr"/>
      <ns0:c r="O170" s="6" t="inlineStr">
        <ns0:is>
          <ns0:t>https://dokdo.mofa.go.kr/kor/pds/part02_view04.jsp</ns0:t>
        </ns0:is>
      </ns0:c>
      <ns0:c r="P170" s="3">
        <ns0:f>LEN(E170)+MAX(LEN(F170),LEN(G170),LEN(H170))</ns0:f>
        <ns0:v>83</ns0:v>
      </ns0:c>
      <ns0:c r="Q170" s="7" t="inlineStr">
        <ns0:is>
          <ns0:t>출처 기반 자체 검토 / 독립 승인 전</ns0:t>
        </ns0:is>
      </ns0:c>
    </ns0:row>
    <ns0:row r="171" ht="98" customHeight="1">
      <ns0:c r="A171" s="4" t="n">
        <ns0:v>910170</ns0:v>
      </ns0:c>
      <ns0:c r="B171" s="4" t="n">
        <ns0:v>9</ns0:v>
      </ns0:c>
      <ns0:c r="C171" s="4" t="inlineStr">
        <ns0:is>
          <ns0:t>dk-reported-speech</ns0:t>
        </ns0:is>
      </ns0:c>
      <ns0:c r="D171" s="4" t="n">
        <ns0:v>2</ns0:v>
      </ns0:c>
      <ns0:c r="E171" s="8" t="inlineStr">
        <ns0:is>
          <ns0:t>What does reporting another person’s claim mean?</ns0:t>
        </ns0:is>
      </ns0:c>
      <ns0:c r="F171" s="8" t="inlineStr">
        <ns0:is>
          <ns0:t>Conveying that the claim was heard</ns0:t>
        </ns0:is>
      </ns0:c>
      <ns0:c r="G171" s="8" t="inlineStr">
        <ns0:is>
          <ns0:t>Necessarily agreeing with it</ns0:t>
        </ns0:is>
      </ns0:c>
      <ns0:c r="H171" s="8" t="inlineStr">
        <ns0:is>
          <ns0:t>Changing the reporter’s name</ns0:t>
        </ns0:is>
      </ns0:c>
      <ns0:c r="I171" s="8" t="n">
        <ns0:v>1</ns0:v>
      </ns0:c>
      <ns0:c r="J171" s="8" t="inlineStr">
        <ns0:is>
          <ns0:t>Shim’s report includes claims he heard from Japanese officials. Reporting another person’s words is not the same as endorsing them.</ns0:t>
        </ns0:is>
      </ns0:c>
      <ns0:c r="K171" s="8" t="inlineStr">
        <ns0:is>
          <ns0:t>Shim’s report includes claims he heard from Japanese officials. Reporting another person’s words is not the same as endorsing them.</ns0:t>
        </ns0:is>
      </ns0:c>
      <ns0:c r="L171" s="8" t="inlineStr">
        <ns0:is>
          <ns0:t>The selected option, “Necessarily agreeing with it”, does not fit. The answer is “Conveying that the claim was heard”. Shim’s report includes claims he heard from Japanese officials. Reporting another person’s words is not the same as endorsing them.</ns0:t>
        </ns0:is>
      </ns0:c>
      <ns0:c r="M171" s="8" t="inlineStr">
        <ns0:is>
          <ns0:t>The selected option, “Changing the reporter’s name”, does not fit. The answer is “Conveying that the claim was heard”. Shim’s report includes claims he heard from Japanese officials. Reporting another person’s words is not the same as endorsing them.</ns0:t>
        </ns0:is>
      </ns0:c>
      <ns0:c r="N171" s="8" t="inlineStr"/>
      <ns0:c r="O171" s="8" t="inlineStr">
        <ns0:is>
          <ns0:t>https://dokdo.mofa.go.kr/kor/pds/part02_view04.jsp</ns0:t>
        </ns0:is>
      </ns0:c>
      <ns0:c r="P171" s="5">
        <ns0:f>LEN(E171)+MAX(LEN(F171),LEN(G171),LEN(H171))</ns0:f>
        <ns0:v>82</ns0:v>
      </ns0:c>
      <ns0:c r="Q171" s="9" t="inlineStr">
        <ns0:is>
          <ns0:t>출처 기반 자체 검토 / 독립 승인 전</ns0:t>
        </ns0:is>
      </ns0:c>
    </ns0:row>
    <ns0:row r="172" ht="98" customHeight="1">
      <ns0:c r="A172" s="2" t="n">
        <ns0:v>910171</ns0:v>
      </ns0:c>
      <ns0:c r="B172" s="2" t="n">
        <ns0:v>9</ns0:v>
      </ns0:c>
      <ns0:c r="C172" s="2" t="inlineStr">
        <ns0:is>
          <ns0:t>dk-reported-speech</ns0:t>
        </ns0:is>
      </ns0:c>
      <ns0:c r="D172" s="2" t="n">
        <ns0:v>3</ns0:v>
      </ns0:c>
      <ns0:c r="E172" s="6" t="inlineStr">
        <ns0:is>
          <ns0:t>Which reading correctly combines the two expressions?</ns0:t>
        </ns0:is>
      </ns0:c>
      <ns0:c r="F172" s="6" t="inlineStr">
        <ns0:is>
          <ns0:t>Every sentence expresses Shim’s agreement</ns0:t>
        </ns0:is>
      </ns0:c>
      <ns0:c r="G172" s="6" t="inlineStr">
        <ns0:is>
          <ns0:t>The document contains no Japanese officials’ statement</ns0:t>
        </ns0:is>
      </ns0:c>
      <ns0:c r="H172" s="6" t="inlineStr">
        <ns0:is>
          <ns0:t>The reporter’s understanding differs from the officials’ claim</ns0:t>
        </ns0:is>
      </ns0:c>
      <ns0:c r="I172" s="6" t="n">
        <ns0:v>3</ns0:v>
      </ns0:c>
      <ns0:c r="J172" s="6" t="inlineStr">
        <ns0:is>
          <ns0:t>Shim’s report includes claims he heard from Japanese officials. Reporting another person’s words is not the same as endorsing them.</ns0:t>
        </ns0:is>
      </ns0:c>
      <ns0:c r="K172" s="6" t="inlineStr">
        <ns0:is>
          <ns0:t>The selected option, “Every sentence expresses Shim’s agreement”, does not fit. The answer is “The reporter’s understanding differs from the officials’ claim”. Shim’s report includes claims he heard from Japanese officials. Reporting another person’s words is not the same as endorsing them.</ns0:t>
        </ns0:is>
      </ns0:c>
      <ns0:c r="L172" s="6" t="inlineStr">
        <ns0:is>
          <ns0:t>The selected option, “The document contains no Japanese officials’ statement”, does not fit. The answer is “The reporter’s understanding differs from the officials’ claim”. Shim’s report includes claims he heard from Japanese officials. Reporting another person’s words is not the same as endorsing them.</ns0:t>
        </ns0:is>
      </ns0:c>
      <ns0:c r="M172" s="6" t="inlineStr">
        <ns0:is>
          <ns0:t>Shim’s report includes claims he heard from Japanese officials. Reporting another person’s words is not the same as endorsing them.</ns0:t>
        </ns0:is>
      </ns0:c>
      <ns0:c r="N172" s="6" t="inlineStr">
        <ns0:is>
          <ns0:t>The report conveys Japanese officials’ claim that Dokdo was their territory, while its opening describes Dokdo as belonging to the reporter’s county. Identify each speaker separately.</ns0:t>
        </ns0:is>
      </ns0:c>
      <ns0:c r="O172" s="6" t="inlineStr">
        <ns0:is>
          <ns0:t>https://dokdo.mofa.go.kr/kor/pds/part02_view04.jsp</ns0:t>
        </ns0:is>
      </ns0:c>
      <ns0:c r="P172" s="3">
        <ns0:f>LEN(E172)+MAX(LEN(F172),LEN(G172),LEN(H172))</ns0:f>
        <ns0:v>115</ns0:v>
      </ns0:c>
      <ns0:c r="Q172" s="7" t="inlineStr">
        <ns0:is>
          <ns0:t>출처 기반 자체 검토 / 독립 승인 전</ns0:t>
        </ns0:is>
      </ns0:c>
    </ns0:row>
    <ns0:row r="173" ht="98" customHeight="1">
      <ns0:c r="A173" s="4" t="n">
        <ns0:v>910172</ns0:v>
      </ns0:c>
      <ns0:c r="B173" s="4" t="n">
        <ns0:v>9</ns0:v>
      </ns0:c>
      <ns0:c r="C173" s="4" t="inlineStr">
        <ns0:is>
          <ns0:t>dk-reported-speech</ns0:t>
        </ns0:is>
      </ns0:c>
      <ns0:c r="D173" s="4" t="n">
        <ns0:v>4</ns0:v>
      </ns0:c>
      <ns0:c r="E173" s="8" t="inlineStr">
        <ns0:is>
          <ns0:t>What is wrong with using the quotation alone to claim Shim agreed?</ns0:t>
        </ns0:is>
      </ns0:c>
      <ns0:c r="F173" s="8" t="inlineStr">
        <ns0:is>
          <ns0:t>The beginning and end cannot be read together</ns0:t>
        </ns0:is>
      </ns0:c>
      <ns0:c r="G173" s="8" t="inlineStr">
        <ns0:is>
          <ns0:t>It changes the speaker attribution and context</ns0:t>
        </ns0:is>
      </ns0:c>
      <ns0:c r="H173" s="8" t="inlineStr">
        <ns0:is>
          <ns0:t>Quoting always means the reporter agrees</ns0:t>
        </ns0:is>
      </ns0:c>
      <ns0:c r="I173" s="8" t="n">
        <ns0:v>2</ns0:v>
      </ns0:c>
      <ns0:c r="J173" s="8" t="inlineStr">
        <ns0:is>
          <ns0:t>Shim’s report includes claims he heard from Japanese officials. Reporting another person’s words is not the same as endorsing them.</ns0:t>
        </ns0:is>
      </ns0:c>
      <ns0:c r="K173" s="8" t="inlineStr">
        <ns0:is>
          <ns0:t>The selected option, “The beginning and end cannot be read together”, does not fit. The answer is “It changes the speaker attribution and context”. Shim’s report includes claims he heard from Japanese officials. Reporting another person’s words is not the same as endorsing them.</ns0:t>
        </ns0:is>
      </ns0:c>
      <ns0:c r="L173" s="8" t="inlineStr">
        <ns0:is>
          <ns0:t>Shim’s report includes claims he heard from Japanese officials. Reporting another person’s words is not the same as endorsing them.</ns0:t>
        </ns0:is>
      </ns0:c>
      <ns0:c r="M173" s="8" t="inlineStr">
        <ns0:is>
          <ns0:t>The selected option, “Quoting always means the reporter agrees”, does not fit. The answer is “It changes the speaker attribution and context”. Shim’s report includes claims he heard from Japanese officials. Reporting another person’s words is not the same as endorsing them.</ns0:t>
        </ns0:is>
      </ns0:c>
      <ns0:c r="N173" s="8" t="inlineStr">
        <ns0:is>
          <ns0:t>The report conveys Japanese officials’ claim that Dokdo was their territory, while its opening describes Dokdo as belonging to the reporter’s county. Identify each speaker separately.</ns0:t>
        </ns0:is>
      </ns0:c>
      <ns0:c r="O173" s="8" t="inlineStr">
        <ns0:is>
          <ns0:t>https://dokdo.mofa.go.kr/kor/pds/part02_view04.jsp</ns0:t>
        </ns0:is>
      </ns0:c>
      <ns0:c r="P173" s="5">
        <ns0:f>LEN(E173)+MAX(LEN(F173),LEN(G173),LEN(H173))</ns0:f>
        <ns0:v>112</ns0:v>
      </ns0:c>
      <ns0:c r="Q173" s="9" t="inlineStr">
        <ns0:is>
          <ns0:t>출처 기반 자체 검토 / 독립 승인 전</ns0:t>
        </ns0:is>
      </ns0:c>
    </ns0:row>
    <ns0:row r="174" ht="98" customHeight="1">
      <ns0:c r="A174" s="2" t="n">
        <ns0:v>910173</ns0:v>
      </ns0:c>
      <ns0:c r="B174" s="2" t="n">
        <ns0:v>9</ns0:v>
      </ns0:c>
      <ns0:c r="C174" s="2" t="inlineStr">
        <ns0:is>
          <ns0:t>dk-order-response</ns0:t>
        </ns0:is>
      </ns0:c>
      <ns0:c r="D174" s="2" t="n">
        <ns0:v>1</ns0:v>
      </ns0:c>
      <ns0:c r="E174" s="6" t="inlineStr">
        <ns0:is>
          <ns0:t>Which document records the government’s 1906 response?</ns0:t>
        </ns0:is>
      </ns0:c>
      <ns0:c r="F174" s="6" t="inlineStr">
        <ns0:is>
          <ns0:t>Directive No. 3</ns0:t>
        </ns0:is>
      </ns0:c>
      <ns0:c r="G174" s="6" t="inlineStr">
        <ns0:is>
          <ns0:t>Today’s ferry timetable</ns0:t>
        </ns0:is>
      </ns0:c>
      <ns0:c r="H174" s="6" t="inlineStr">
        <ns0:is>
          <ns0:t>A current weather map</ns0:t>
        </ns0:is>
      </ns0:c>
      <ns0:c r="I174" s="6" t="n">
        <ns0:v>1</ns0:v>
      </ns0:c>
      <ns0:c r="J174" s="6" t="inlineStr">
        <ns0:is>
          <ns0:t>Directive No. 3 of 1906 rejected the Japanese claim and requested further investigation and reporting.</ns0:t>
        </ns0:is>
      </ns0:c>
      <ns0:c r="K174" s="6" t="inlineStr">
        <ns0:is>
          <ns0:t>Directive No. 3 of 1906 rejected the Japanese claim and requested further investigation and reporting.</ns0:t>
        </ns0:is>
      </ns0:c>
      <ns0:c r="L174" s="6" t="inlineStr">
        <ns0:is>
          <ns0:t>The selected option, “Today’s ferry timetable”, does not fit. The answer is “Directive No. 3”. Directive No. 3 of 1906 rejected the Japanese claim and requested further investigation and reporting.</ns0:t>
        </ns0:is>
      </ns0:c>
      <ns0:c r="M174" s="6" t="inlineStr">
        <ns0:is>
          <ns0:t>The selected option, “A current weather map”, does not fit. The answer is “Directive No. 3”. Directive No. 3 of 1906 rejected the Japanese claim and requested further investigation and reporting.</ns0:t>
        </ns0:is>
      </ns0:c>
      <ns0:c r="N174" s="6" t="inlineStr"/>
      <ns0:c r="O174" s="6" t="inlineStr">
        <ns0:is>
          <ns0:t>https://dokdo.mofa.go.kr/kor/pds/part02_view05.jsp</ns0:t>
        </ns0:is>
      </ns0:c>
      <ns0:c r="P174" s="3">
        <ns0:f>LEN(E174)+MAX(LEN(F174),LEN(G174),LEN(H174))</ns0:f>
        <ns0:v>77</ns0:v>
      </ns0:c>
      <ns0:c r="Q174" s="7" t="inlineStr">
        <ns0:is>
          <ns0:t>출처 기반 자체 검토 / 독립 승인 전</ns0:t>
        </ns0:is>
      </ns0:c>
    </ns0:row>
    <ns0:row r="175" ht="98" customHeight="1">
      <ns0:c r="A175" s="4" t="n">
        <ns0:v>910174</ns0:v>
      </ns0:c>
      <ns0:c r="B175" s="4" t="n">
        <ns0:v>9</ns0:v>
      </ns0:c>
      <ns0:c r="C175" s="4" t="inlineStr">
        <ns0:is>
          <ns0:t>dk-order-response</ns0:t>
        </ns0:is>
      </ns0:c>
      <ns0:c r="D175" s="4" t="n">
        <ns0:v>2</ns0:v>
      </ns0:c>
      <ns0:c r="E175" s="8" t="inlineStr">
        <ns0:is>
          <ns0:t>What further action did Directive No. 3 request?</ns0:t>
        </ns0:is>
      </ns0:c>
      <ns0:c r="F175" s="8" t="inlineStr">
        <ns0:is>
          <ns0:t>Only repaint the lighthouse</ns0:t>
        </ns0:is>
      </ns0:c>
      <ns0:c r="G175" s="8" t="inlineStr">
        <ns0:is>
          <ns0:t>Burn all earlier reports</ns0:t>
        </ns0:is>
      </ns0:c>
      <ns0:c r="H175" s="8" t="inlineStr">
        <ns0:is>
          <ns0:t>Investigate and report again</ns0:t>
        </ns0:is>
      </ns0:c>
      <ns0:c r="I175" s="8" t="n">
        <ns0:v>3</ns0:v>
      </ns0:c>
      <ns0:c r="J175" s="8" t="inlineStr">
        <ns0:is>
          <ns0:t>Directive No. 3 of 1906 rejected the Japanese claim and requested further investigation and reporting.</ns0:t>
        </ns0:is>
      </ns0:c>
      <ns0:c r="K175" s="8" t="inlineStr">
        <ns0:is>
          <ns0:t>The selected option, “Only repaint the lighthouse”, does not fit. The answer is “Investigate and report again”. Directive No. 3 of 1906 rejected the Japanese claim and requested further investigation and reporting.</ns0:t>
        </ns0:is>
      </ns0:c>
      <ns0:c r="L175" s="8" t="inlineStr">
        <ns0:is>
          <ns0:t>The selected option, “Burn all earlier reports”, does not fit. The answer is “Investigate and report again”. Directive No. 3 of 1906 rejected the Japanese claim and requested further investigation and reporting.</ns0:t>
        </ns0:is>
      </ns0:c>
      <ns0:c r="M175" s="8" t="inlineStr">
        <ns0:is>
          <ns0:t>Directive No. 3 of 1906 rejected the Japanese claim and requested further investigation and reporting.</ns0:t>
        </ns0:is>
      </ns0:c>
      <ns0:c r="N175" s="8" t="inlineStr"/>
      <ns0:c r="O175" s="8" t="inlineStr">
        <ns0:is>
          <ns0:t>https://dokdo.mofa.go.kr/kor/pds/part02_view05.jsp</ns0:t>
        </ns0:is>
      </ns0:c>
      <ns0:c r="P175" s="5">
        <ns0:f>LEN(E175)+MAX(LEN(F175),LEN(G175),LEN(H175))</ns0:f>
        <ns0:v>76</ns0:v>
      </ns0:c>
      <ns0:c r="Q175" s="9" t="inlineStr">
        <ns0:is>
          <ns0:t>출처 기반 자체 검토 / 독립 승인 전</ns0:t>
        </ns0:is>
      </ns0:c>
    </ns0:row>
    <ns0:row r="176" ht="98" customHeight="1">
      <ns0:c r="A176" s="2" t="n">
        <ns0:v>910175</ns0:v>
      </ns0:c>
      <ns0:c r="B176" s="2" t="n">
        <ns0:v>9</ns0:v>
      </ns0:c>
      <ns0:c r="C176" s="2" t="inlineStr">
        <ns0:is>
          <ns0:t>dk-order-response</ns0:t>
        </ns0:is>
      </ns0:c>
      <ns0:c r="D176" s="2" t="n">
        <ns0:v>3</ns0:v>
      </ns0:c>
      <ns0:c r="E176" s="6" t="inlineStr">
        <ns0:is>
          <ns0:t>Which two responses are present in the source?</ns0:t>
        </ns0:is>
      </ns0:c>
      <ns0:c r="F176" s="6" t="inlineStr">
        <ns0:is>
          <ns0:t>Population counting and fare increases</ns0:t>
        </ns0:is>
      </ns0:c>
      <ns0:c r="G176" s="6" t="inlineStr">
        <ns0:is>
          <ns0:t>Rejection of the claim and an inquiry order</ns0:t>
        </ns0:is>
      </ns0:c>
      <ns0:c r="H176" s="6" t="inlineStr">
        <ns0:is>
          <ns0:t>Acceptance of the claim and ending inquiry</ns0:t>
        </ns0:is>
      </ns0:c>
      <ns0:c r="I176" s="6" t="n">
        <ns0:v>2</ns0:v>
      </ns0:c>
      <ns0:c r="J176" s="6" t="inlineStr">
        <ns0:is>
          <ns0:t>Directive No. 3 of 1906 rejected the Japanese claim and requested further investigation and reporting.</ns0:t>
        </ns0:is>
      </ns0:c>
      <ns0:c r="K176" s="6" t="inlineStr">
        <ns0:is>
          <ns0:t>The selected option, “Population counting and fare increases”, does not fit. The answer is “Rejection of the claim and an inquiry order”. Directive No. 3 of 1906 rejected the Japanese claim and requested further investigation and reporting.</ns0:t>
        </ns0:is>
      </ns0:c>
      <ns0:c r="L176" s="6" t="inlineStr">
        <ns0:is>
          <ns0:t>Directive No. 3 of 1906 rejected the Japanese claim and requested further investigation and reporting.</ns0:t>
        </ns0:is>
      </ns0:c>
      <ns0:c r="M176" s="6" t="inlineStr">
        <ns0:is>
          <ns0:t>The selected option, “Acceptance of the claim and ending inquiry”, does not fit. The answer is “Rejection of the claim and an inquiry order”. Directive No. 3 of 1906 rejected the Japanese claim and requested further investigation and reporting.</ns0:t>
        </ns0:is>
      </ns0:c>
      <ns0:c r="N176" s="6" t="inlineStr">
        <ns0:is>
          <ns0:t>The directive dated 10 May 1906 in MOFA’s archive rejects the Japanese territorial claim and instructs further inquiry into island conditions and Japanese actions.</ns0:t>
        </ns0:is>
      </ns0:c>
      <ns0:c r="O176" s="6" t="inlineStr">
        <ns0:is>
          <ns0:t>https://dokdo.mofa.go.kr/kor/pds/part02_view05.jsp</ns0:t>
        </ns0:is>
      </ns0:c>
      <ns0:c r="P176" s="3">
        <ns0:f>LEN(E176)+MAX(LEN(F176),LEN(G176),LEN(H176))</ns0:f>
        <ns0:v>89</ns0:v>
      </ns0:c>
      <ns0:c r="Q176" s="7" t="inlineStr">
        <ns0:is>
          <ns0:t>출처 기반 자체 검토 / 독립 승인 전</ns0:t>
        </ns0:is>
      </ns0:c>
    </ns0:row>
    <ns0:row r="177" ht="98" customHeight="1">
      <ns0:c r="A177" s="4" t="n">
        <ns0:v>910176</ns0:v>
      </ns0:c>
      <ns0:c r="B177" s="4" t="n">
        <ns0:v>9</ns0:v>
      </ns0:c>
      <ns0:c r="C177" s="4" t="inlineStr">
        <ns0:is>
          <ns0:t>dk-order-response</ns0:t>
        </ns0:is>
      </ns0:c>
      <ns0:c r="D177" s="4" t="n">
        <ns0:v>4</ns0:v>
      </ns0:c>
      <ns0:c r="E177" s="8" t="inlineStr">
        <ns0:is>
          <ns0:t>Does requesting more investigation mean accepting the claim?</ns0:t>
        </ns0:is>
      </ns0:c>
      <ns0:c r="F177" s="8" t="inlineStr">
        <ns0:is>
          <ns0:t>Read the explicit rejection and inquiry order together</ns0:t>
        </ns0:is>
      </ns0:c>
      <ns0:c r="G177" s="8" t="inlineStr">
        <ns0:is>
          <ns0:t>Any reference to inquiry always means acceptance</ns0:t>
        </ns0:is>
      </ns0:c>
      <ns0:c r="H177" s="8" t="inlineStr">
        <ns0:is>
          <ns0:t>Rejection and inquiry cannot occur in one document</ns0:t>
        </ns0:is>
      </ns0:c>
      <ns0:c r="I177" s="8" t="n">
        <ns0:v>1</ns0:v>
      </ns0:c>
      <ns0:c r="J177" s="8" t="inlineStr">
        <ns0:is>
          <ns0:t>Directive No. 3 of 1906 rejected the Japanese claim and requested further investigation and reporting.</ns0:t>
        </ns0:is>
      </ns0:c>
      <ns0:c r="K177" s="8" t="inlineStr">
        <ns0:is>
          <ns0:t>Directive No. 3 of 1906 rejected the Japanese claim and requested further investigation and reporting.</ns0:t>
        </ns0:is>
      </ns0:c>
      <ns0:c r="L177" s="8" t="inlineStr">
        <ns0:is>
          <ns0:t>The selected option, “Any reference to inquiry always means acceptance”, does not fit. The answer is “Read the explicit rejection and inquiry order together”. Directive No. 3 of 1906 rejected the Japanese claim and requested further investigation and reporting.</ns0:t>
        </ns0:is>
      </ns0:c>
      <ns0:c r="M177" s="8" t="inlineStr">
        <ns0:is>
          <ns0:t>The selected option, “Rejection and inquiry cannot occur in one document”, does not fit. The answer is “Read the explicit rejection and inquiry order together”. Directive No. 3 of 1906 rejected the Japanese claim and requested further investigation and reporting.</ns0:t>
        </ns0:is>
      </ns0:c>
      <ns0:c r="N177" s="8" t="inlineStr">
        <ns0:is>
          <ns0:t>The directive dated 10 May 1906 in MOFA’s archive rejects the Japanese territorial claim and instructs further inquiry into island conditions and Japanese actions.</ns0:t>
        </ns0:is>
      </ns0:c>
      <ns0:c r="O177" s="8" t="inlineStr">
        <ns0:is>
          <ns0:t>https://dokdo.mofa.go.kr/kor/pds/part02_view05.jsp</ns0:t>
        </ns0:is>
      </ns0:c>
      <ns0:c r="P177" s="5">
        <ns0:f>LEN(E177)+MAX(LEN(F177),LEN(G177),LEN(H177))</ns0:f>
        <ns0:v>114</ns0:v>
      </ns0:c>
      <ns0:c r="Q177" s="9" t="inlineStr">
        <ns0:is>
          <ns0:t>출처 기반 자체 검토 / 독립 승인 전</ns0:t>
        </ns0:is>
      </ns0:c>
    </ns0:row>
    <ns0:row r="178" ht="98" customHeight="1">
      <ns0:c r="A178" s="2" t="n">
        <ns0:v>910177</ns0:v>
      </ns0:c>
      <ns0:c r="B178" s="2" t="n">
        <ns0:v>9</ns0:v>
      </ns0:c>
      <ns0:c r="C178" s="2" t="inlineStr">
        <ns0:is>
          <ns0:t>dk-1900-1906</ns0:t>
        </ns0:is>
      </ns0:c>
      <ns0:c r="D178" s="2" t="n">
        <ns0:v>1</ns0:v>
      </ns0:c>
      <ns0:c r="E178" s="6" t="inlineStr">
        <ns0:is>
          <ns0:t>Which year is earlier, 1900 or 1906?</ns0:t>
        </ns0:is>
      </ns0:c>
      <ns0:c r="F178" s="6" t="inlineStr">
        <ns0:is>
          <ns0:t>1906, the report’s year</ns0:t>
        </ns0:is>
      </ns0:c>
      <ns0:c r="G178" s="6" t="inlineStr">
        <ns0:is>
          <ns0:t>Both documents share a year</ns0:t>
        </ns0:is>
      </ns0:c>
      <ns0:c r="H178" s="6" t="inlineStr">
        <ns0:is>
          <ns0:t>1900, the decree’s year</ns0:t>
        </ns0:is>
      </ns0:c>
      <ns0:c r="I178" s="6" t="n">
        <ns0:v>3</ns0:v>
      </ns0:c>
      <ns0:c r="J178" s="6" t="inlineStr">
        <ns0:is>
          <ns0:t>The decree of 1900 and the report and directive of 1906 are administrative records from different times. A timeline helps compare organisation and response.</ns0:t>
        </ns0:is>
      </ns0:c>
      <ns0:c r="K178" s="6" t="inlineStr">
        <ns0:is>
          <ns0:t>The selected option, “1906, the report’s year”, does not fit. The answer is “1900, the decree’s year”. The decree of 1900 and the report and directive of 1906 are administrative records from different times. A timeline helps compare organisation and response.</ns0:t>
        </ns0:is>
      </ns0:c>
      <ns0:c r="L178" s="6" t="inlineStr">
        <ns0:is>
          <ns0:t>The selected option, “Both documents share a year”, does not fit. The answer is “1900, the decree’s year”. The decree of 1900 and the report and directive of 1906 are administrative records from different times. A timeline helps compare organisation and response.</ns0:t>
        </ns0:is>
      </ns0:c>
      <ns0:c r="M178" s="6" t="inlineStr">
        <ns0:is>
          <ns0:t>The decree of 1900 and the report and directive of 1906 are administrative records from different times. A timeline helps compare organisation and response.</ns0:t>
        </ns0:is>
      </ns0:c>
      <ns0:c r="N178" s="6" t="inlineStr"/>
      <ns0:c r="O178" s="6" t="inlineStr">
        <ns0:is>
          <ns0:t>https://dokdo.mofa.go.kr/m/kor/dokdo/reason_list.jsp
https://dokdo.mofa.go.kr/kor/pds/part02_view02.jsp
https://dokdo.mofa.go.kr/kor/pds/part02_view04.jsp
https://dokdo.mofa.go.kr/kor/pds/part02_view05.jsp</ns0:t>
        </ns0:is>
      </ns0:c>
      <ns0:c r="P178" s="3">
        <ns0:f>LEN(E178)+MAX(LEN(F178),LEN(G178),LEN(H178))</ns0:f>
        <ns0:v>63</ns0:v>
      </ns0:c>
      <ns0:c r="Q178" s="7" t="inlineStr">
        <ns0:is>
          <ns0:t>출처 기반 자체 검토 / 독립 승인 전</ns0:t>
        </ns0:is>
      </ns0:c>
    </ns0:row>
    <ns0:row r="179" ht="98" customHeight="1">
      <ns0:c r="A179" s="4" t="n">
        <ns0:v>910178</ns0:v>
      </ns0:c>
      <ns0:c r="B179" s="4" t="n">
        <ns0:v>9</ns0:v>
      </ns0:c>
      <ns0:c r="C179" s="4" t="inlineStr">
        <ns0:is>
          <ns0:t>dk-1900-1906</ns0:t>
        </ns0:is>
      </ns0:c>
      <ns0:c r="D179" s="4" t="n">
        <ns0:v>2</ns0:v>
      </ns0:c>
      <ns0:c r="E179" s="8" t="inlineStr">
        <ns0:is>
          <ns0:t>Which document–year pairing is correct?</ns0:t>
        </ns0:is>
      </ns0:c>
      <ns0:c r="F179" s="8" t="inlineStr">
        <ns0:is>
          <ns0:t>Directive No. 3 = 1693</ns0:t>
        </ns0:is>
      </ns0:c>
      <ns0:c r="G179" s="8" t="inlineStr">
        <ns0:is>
          <ns0:t>Decree No. 41 = 1900</ns0:t>
        </ns0:is>
      </ns0:c>
      <ns0:c r="H179" s="8" t="inlineStr">
        <ns0:is>
          <ns0:t>Shim’s report = 1454</ns0:t>
        </ns0:is>
      </ns0:c>
      <ns0:c r="I179" s="8" t="n">
        <ns0:v>2</ns0:v>
      </ns0:c>
      <ns0:c r="J179" s="8" t="inlineStr">
        <ns0:is>
          <ns0:t>The decree of 1900 and the report and directive of 1906 are administrative records from different times. A timeline helps compare organisation and response.</ns0:t>
        </ns0:is>
      </ns0:c>
      <ns0:c r="K179" s="8" t="inlineStr">
        <ns0:is>
          <ns0:t>The selected option, “Directive No. 3 = 1693”, does not fit. The answer is “Decree No. 41 = 1900”. The decree of 1900 and the report and directive of 1906 are administrative records from different times. A timeline helps compare organisation and response.</ns0:t>
        </ns0:is>
      </ns0:c>
      <ns0:c r="L179" s="8" t="inlineStr">
        <ns0:is>
          <ns0:t>The decree of 1900 and the report and directive of 1906 are administrative records from different times. A timeline helps compare organisation and response.</ns0:t>
        </ns0:is>
      </ns0:c>
      <ns0:c r="M179" s="8" t="inlineStr">
        <ns0:is>
          <ns0:t>The selected option, “Shim’s report = 1454”, does not fit. The answer is “Decree No. 41 = 1900”. The decree of 1900 and the report and directive of 1906 are administrative records from different times. A timeline helps compare organisation and response.</ns0:t>
        </ns0:is>
      </ns0:c>
      <ns0:c r="N179" s="8" t="inlineStr"/>
      <ns0:c r="O179" s="8" t="inlineStr">
        <ns0:is>
          <ns0:t>https://dokdo.mofa.go.kr/m/kor/dokdo/reason_list.jsp
https://dokdo.mofa.go.kr/kor/pds/part02_view02.jsp
https://dokdo.mofa.go.kr/kor/pds/part02_view04.jsp
https://dokdo.mofa.go.kr/kor/pds/part02_view05.jsp</ns0:t>
        </ns0:is>
      </ns0:c>
      <ns0:c r="P179" s="5">
        <ns0:f>LEN(E179)+MAX(LEN(F179),LEN(G179),LEN(H179))</ns0:f>
        <ns0:v>61</ns0:v>
      </ns0:c>
      <ns0:c r="Q179" s="9" t="inlineStr">
        <ns0:is>
          <ns0:t>출처 기반 자체 검토 / 독립 승인 전</ns0:t>
        </ns0:is>
      </ns0:c>
    </ns0:row>
    <ns0:row r="180" ht="98" customHeight="1">
      <ns0:c r="A180" s="2" t="n">
        <ns0:v>910179</ns0:v>
      </ns0:c>
      <ns0:c r="B180" s="2" t="n">
        <ns0:v>9</ns0:v>
      </ns0:c>
      <ns0:c r="C180" s="2" t="inlineStr">
        <ns0:is>
          <ns0:t>dk-1900-1906</ns0:t>
        </ns0:is>
      </ns0:c>
      <ns0:c r="D180" s="2" t="n">
        <ns0:v>3</ns0:v>
      </ns0:c>
      <ns0:c r="E180" s="6" t="inlineStr">
        <ns0:is>
          <ns0:t>What is the order of the supplied dates?</ns0:t>
        </ns0:is>
      </ns0:c>
      <ns0:c r="F180" s="6" t="inlineStr">
        <ns0:is>
          <ns0:t>Decree → Shimane notice → report and directive</ns0:t>
        </ns0:is>
      </ns0:c>
      <ns0:c r="G180" s="6" t="inlineStr">
        <ns0:is>
          <ns0:t>Report → decree → notice</ns0:t>
        </ns0:is>
      </ns0:c>
      <ns0:c r="H180" s="6" t="inlineStr">
        <ns0:is>
          <ns0:t>Notice → report → decree</ns0:t>
        </ns0:is>
      </ns0:c>
      <ns0:c r="I180" s="6" t="n">
        <ns0:v>1</ns0:v>
      </ns0:c>
      <ns0:c r="J180" s="6" t="inlineStr">
        <ns0:is>
          <ns0:t>The decree of 1900 and the report and directive of 1906 are administrative records from different times. A timeline helps compare organisation and response.</ns0:t>
        </ns0:is>
      </ns0:c>
      <ns0:c r="K180" s="6" t="inlineStr">
        <ns0:is>
          <ns0:t>The decree of 1900 and the report and directive of 1906 are administrative records from different times. A timeline helps compare organisation and response.</ns0:t>
        </ns0:is>
      </ns0:c>
      <ns0:c r="L180" s="6" t="inlineStr">
        <ns0:is>
          <ns0:t>The selected option, “Report → decree → notice”, does not fit. The answer is “Decree → Shimane notice → report and directive”. The decree of 1900 and the report and directive of 1906 are administrative records from different times. A timeline helps compare organisation and response.</ns0:t>
        </ns0:is>
      </ns0:c>
      <ns0:c r="M180" s="6" t="inlineStr">
        <ns0:is>
          <ns0:t>The selected option, “Notice → report → decree”, does not fit. The answer is “Decree → Shimane notice → report and directive”. The decree of 1900 and the report and directive of 1906 are administrative records from different times. A timeline helps compare organisation and response.</ns0:t>
        </ns0:is>
      </ns0:c>
      <ns0:c r="N180" s="6" t="inlineStr">
        <ns0:is>
          <ns0:t>Timeline: 1900 Korean Empire Decree No. 41; 1905 Shimane Prefecture notice in Japan; 1906 Shim’s report and the Korean government’s Directive No. 3. Check both date and issuing authority.</ns0:t>
        </ns0:is>
      </ns0:c>
      <ns0:c r="O180" s="6" t="inlineStr">
        <ns0:is>
          <ns0:t>https://dokdo.mofa.go.kr/m/kor/dokdo/reason_list.jsp
https://dokdo.mofa.go.kr/kor/pds/part02_view02.jsp
https://dokdo.mofa.go.kr/kor/pds/part02_view04.jsp
https://dokdo.mofa.go.kr/kor/pds/part02_view05.jsp</ns0:t>
        </ns0:is>
      </ns0:c>
      <ns0:c r="P180" s="3">
        <ns0:f>LEN(E180)+MAX(LEN(F180),LEN(G180),LEN(H180))</ns0:f>
        <ns0:v>86</ns0:v>
      </ns0:c>
      <ns0:c r="Q180" s="7" t="inlineStr">
        <ns0:is>
          <ns0:t>출처 기반 자체 검토 / 독립 승인 전</ns0:t>
        </ns0:is>
      </ns0:c>
    </ns0:row>
    <ns0:row r="181" ht="98" customHeight="1">
      <ns0:c r="A181" s="4" t="n">
        <ns0:v>910180</ns0:v>
      </ns0:c>
      <ns0:c r="B181" s="4" t="n">
        <ns0:v>9</ns0:v>
      </ns0:c>
      <ns0:c r="C181" s="4" t="inlineStr">
        <ns0:is>
          <ns0:t>dk-1900-1906</ns0:t>
        </ns0:is>
      </ns0:c>
      <ns0:c r="D181" s="4" t="n">
        <ns0:v>4</ns0:v>
      </ns0:c>
      <ns0:c r="E181" s="8" t="inlineStr">
        <ns0:is>
          <ns0:t>What is wrong with treating this as documents issued by one country?</ns0:t>
        </ns0:is>
      </ns0:c>
      <ns0:c r="F181" s="8" t="inlineStr">
        <ns0:is>
          <ns0:t>Different years make authorship irrelevant</ns0:t>
        </ns0:is>
      </ns0:c>
      <ns0:c r="G181" s="8" t="inlineStr">
        <ns0:is>
          <ns0:t>A timeline cannot be used to compare dates</ns0:t>
        </ns0:is>
      </ns0:c>
      <ns0:c r="H181" s="8" t="inlineStr">
        <ns0:is>
          <ns0:t>The documents have different issuing authorities</ns0:t>
        </ns0:is>
      </ns0:c>
      <ns0:c r="I181" s="8" t="n">
        <ns0:v>3</ns0:v>
      </ns0:c>
      <ns0:c r="J181" s="8" t="inlineStr">
        <ns0:is>
          <ns0:t>The decree of 1900 and the report and directive of 1906 are administrative records from different times. A timeline helps compare organisation and response.</ns0:t>
        </ns0:is>
      </ns0:c>
      <ns0:c r="K181" s="8" t="inlineStr">
        <ns0:is>
          <ns0:t>The selected option, “Different years make authorship irrelevant”, does not fit. The answer is “The documents have different issuing authorities”. The decree of 1900 and the report and directive of 1906 are administrative records from different times. A timeline helps compare organisation and response.</ns0:t>
        </ns0:is>
      </ns0:c>
      <ns0:c r="L181" s="8" t="inlineStr">
        <ns0:is>
          <ns0:t>The selected option, “A timeline cannot be used to compare dates”, does not fit. The answer is “The documents have different issuing authorities”. The decree of 1900 and the report and directive of 1906 are administrative records from different times. A timeline helps compare organisation and response.</ns0:t>
        </ns0:is>
      </ns0:c>
      <ns0:c r="M181" s="8" t="inlineStr">
        <ns0:is>
          <ns0:t>The decree of 1900 and the report and directive of 1906 are administrative records from different times. A timeline helps compare organisation and response.</ns0:t>
        </ns0:is>
      </ns0:c>
      <ns0:c r="N181" s="8" t="inlineStr">
        <ns0:is>
          <ns0:t>Timeline: 1900 Korean Empire Decree No. 41; 1905 Shimane Prefecture notice in Japan; 1906 Shim’s report and the Korean government’s Directive No. 3. Check both date and issuing authority.</ns0:t>
        </ns0:is>
      </ns0:c>
      <ns0:c r="O181" s="8" t="inlineStr">
        <ns0:is>
          <ns0:t>https://dokdo.mofa.go.kr/m/kor/dokdo/reason_list.jsp
https://dokdo.mofa.go.kr/kor/pds/part02_view02.jsp
https://dokdo.mofa.go.kr/kor/pds/part02_view04.jsp
https://dokdo.mofa.go.kr/kor/pds/part02_view05.jsp</ns0:t>
        </ns0:is>
      </ns0:c>
      <ns0:c r="P181" s="5">
        <ns0:f>LEN(E181)+MAX(LEN(F181),LEN(G181),LEN(H181))</ns0:f>
        <ns0:v>116</ns0:v>
      </ns0:c>
      <ns0:c r="Q181" s="9" t="inlineStr">
        <ns0:is>
          <ns0:t>출처 기반 자체 검토 / 독립 승인 전</ns0:t>
        </ns0:is>
      </ns0:c>
    </ns0:row>
    <ns0:row r="182" ht="98" customHeight="1">
      <ns0:c r="A182" s="2" t="n">
        <ns0:v>910181</ns0:v>
      </ns0:c>
      <ns0:c r="B182" s="2" t="n">
        <ns0:v>10</ns0:v>
      </ns0:c>
      <ns0:c r="C182" s="2" t="inlineStr">
        <ns0:is>
          <ns0:t>dk-cheonjang</ns0:t>
        </ns0:is>
      </ns0:c>
      <ns0:c r="D182" s="2" t="n">
        <ns0:v>1</ns0:v>
      </ns0:c>
      <ns0:c r="E182" s="6" t="inlineStr">
        <ns0:is>
          <ns0:t>Which main island contains Cheonjang Cave?</ns0:t>
        </ns0:is>
      </ns0:c>
      <ns0:c r="F182" s="6" t="inlineStr">
        <ns0:is>
          <ns0:t>Ulleungdo</ns0:t>
        </ns0:is>
      </ns0:c>
      <ns0:c r="G182" s="6" t="inlineStr">
        <ns0:is>
          <ns0:t>Dongdo</ns0:t>
        </ns0:is>
      </ns0:c>
      <ns0:c r="H182" s="6" t="inlineStr">
        <ns0:is>
          <ns0:t>Seodo</ns0:t>
        </ns0:is>
      </ns0:c>
      <ns0:c r="I182" s="6" t="n">
        <ns0:v>2</ns0:v>
      </ns0:c>
      <ns0:c r="J182" s="6" t="inlineStr">
        <ns0:is>
          <ns0:t>Cheonjang Cave is a deep, shaft-like depression within Dongdo, not simply a small hole in a seaward cliff.</ns0:t>
        </ns0:is>
      </ns0:c>
      <ns0:c r="K182" s="6" t="inlineStr">
        <ns0:is>
          <ns0:t>The selected option, “Ulleungdo”, does not fit. The answer is “Dongdo”. Cheonjang Cave is a deep, shaft-like depression within Dongdo, not simply a small hole in a seaward cliff.</ns0:t>
        </ns0:is>
      </ns0:c>
      <ns0:c r="L182" s="6" t="inlineStr">
        <ns0:is>
          <ns0:t>Cheonjang Cave is a deep, shaft-like depression within Dongdo, not simply a small hole in a seaward cliff.</ns0:t>
        </ns0:is>
      </ns0:c>
      <ns0:c r="M182" s="6" t="inlineStr">
        <ns0:is>
          <ns0:t>The selected option, “Seodo”, does not fit. The answer is “Dongdo”. Cheonjang Cave is a deep, shaft-like depression within Dongdo, not simply a small hole in a seaward cliff.</ns0:t>
        </ns0:is>
      </ns0:c>
      <ns0:c r="N182" s="6" t="inlineStr"/>
      <ns0:c r="O182" s="6" t="inlineStr">
        <ns0:is>
          <ns0:t>https://www.dokdo.re.kr/home/cms/cmsCont.do?cntnts_sn=65
https://www.heritage.go.kr/heri/cul/culSelectDetail.do?VdkVgwKey=16%2C03360000%2C37&amp;pageNo=1_1_2_0</ns0:t>
        </ns0:is>
      </ns0:c>
      <ns0:c r="P182" s="3">
        <ns0:f>LEN(E182)+MAX(LEN(F182),LEN(G182),LEN(H182))</ns0:f>
        <ns0:v>51</ns0:v>
      </ns0:c>
      <ns0:c r="Q182" s="7" t="inlineStr">
        <ns0:is>
          <ns0:t>출처 기반 자체 검토 / 독립 승인 전</ns0:t>
        </ns0:is>
      </ns0:c>
    </ns0:row>
    <ns0:row r="183" ht="98" customHeight="1">
      <ns0:c r="A183" s="4" t="n">
        <ns0:v>910182</ns0:v>
      </ns0:c>
      <ns0:c r="B183" s="4" t="n">
        <ns0:v>10</ns0:v>
      </ns0:c>
      <ns0:c r="C183" s="4" t="inlineStr">
        <ns0:is>
          <ns0:t>dk-cheonjang</ns0:t>
        </ns0:is>
      </ns0:c>
      <ns0:c r="D183" s="4" t="n">
        <ns0:v>2</ns0:v>
      </ns0:c>
      <ns0:c r="E183" s="8" t="inlineStr">
        <ns0:is>
          <ns0:t>Which shape fits Cheonjang Cave?</ns0:t>
        </ns0:is>
      </ns0:c>
      <ns0:c r="F183" s="8" t="inlineStr">
        <ns0:is>
          <ns0:t>A deep shaft within the island</ns0:t>
        </ns0:is>
      </ns0:c>
      <ns0:c r="G183" s="8" t="inlineStr">
        <ns0:is>
          <ns0:t>A flat dock above the sea</ns0:t>
        </ns0:is>
      </ns0:c>
      <ns0:c r="H183" s="8" t="inlineStr">
        <ns0:is>
          <ns0:t>A residence roof</ns0:t>
        </ns0:is>
      </ns0:c>
      <ns0:c r="I183" s="8" t="n">
        <ns0:v>1</ns0:v>
      </ns0:c>
      <ns0:c r="J183" s="8" t="inlineStr">
        <ns0:is>
          <ns0:t>Cheonjang Cave is a deep, shaft-like depression within Dongdo, not simply a small hole in a seaward cliff.</ns0:t>
        </ns0:is>
      </ns0:c>
      <ns0:c r="K183" s="8" t="inlineStr">
        <ns0:is>
          <ns0:t>Cheonjang Cave is a deep, shaft-like depression within Dongdo, not simply a small hole in a seaward cliff.</ns0:t>
        </ns0:is>
      </ns0:c>
      <ns0:c r="L183" s="8" t="inlineStr">
        <ns0:is>
          <ns0:t>The selected option, “A flat dock above the sea”, does not fit. The answer is “A deep shaft within the island”. Cheonjang Cave is a deep, shaft-like depression within Dongdo, not simply a small hole in a seaward cliff.</ns0:t>
        </ns0:is>
      </ns0:c>
      <ns0:c r="M183" s="8" t="inlineStr">
        <ns0:is>
          <ns0:t>The selected option, “A residence roof”, does not fit. The answer is “A deep shaft within the island”. Cheonjang Cave is a deep, shaft-like depression within Dongdo, not simply a small hole in a seaward cliff.</ns0:t>
        </ns0:is>
      </ns0:c>
      <ns0:c r="N183" s="8" t="inlineStr"/>
      <ns0:c r="O183" s="8" t="inlineStr">
        <ns0:is>
          <ns0:t>https://www.dokdo.re.kr/home/cms/cmsCont.do?cntnts_sn=65
https://www.heritage.go.kr/heri/cul/culSelectDetail.do?VdkVgwKey=16%2C03360000%2C37&amp;pageNo=1_1_2_0</ns0:t>
        </ns0:is>
      </ns0:c>
      <ns0:c r="P183" s="5">
        <ns0:f>LEN(E183)+MAX(LEN(F183),LEN(G183),LEN(H183))</ns0:f>
        <ns0:v>62</ns0:v>
      </ns0:c>
      <ns0:c r="Q183" s="9" t="inlineStr">
        <ns0:is>
          <ns0:t>출처 기반 자체 검토 / 독립 승인 전</ns0:t>
        </ns0:is>
      </ns0:c>
    </ns0:row>
    <ns0:row r="184" ht="98" customHeight="1">
      <ns0:c r="A184" s="2" t="n">
        <ns0:v>910183</ns0:v>
      </ns0:c>
      <ns0:c r="B184" s="2" t="n">
        <ns0:v>10</ns0:v>
      </ns0:c>
      <ns0:c r="C184" s="2" t="inlineStr">
        <ns0:is>
          <ns0:t>dk-cheonjang</ns0:t>
        </ns0:is>
      </ns0:c>
      <ns0:c r="D184" s="2" t="n">
        <ns0:v>3</ns0:v>
      </ns0:c>
      <ns0:c r="E184" s="6" t="inlineStr">
        <ns0:is>
          <ns0:t>Which feature is stated in the source?</ns0:t>
        </ns0:is>
      </ns0:c>
      <ns0:c r="F184" s="6" t="inlineStr">
        <ns0:is>
          <ns0:t>A rectangular human-built store</ns0:t>
        </ns0:is>
      </ns0:c>
      <ns0:c r="G184" s="6" t="inlineStr">
        <ns0:is>
          <ns0:t>A road tunnel joining the islands</ns0:t>
        </ns0:is>
      </ns0:c>
      <ns0:c r="H184" s="6" t="inlineStr">
        <ns0:is>
          <ns0:t>An internal shaft with seawater at the bottom</ns0:t>
        </ns0:is>
      </ns0:c>
      <ns0:c r="I184" s="6" t="n">
        <ns0:v>3</ns0:v>
      </ns0:c>
      <ns0:c r="J184" s="6" t="inlineStr">
        <ns0:is>
          <ns0:t>Cheonjang Cave is a deep, shaft-like depression within Dongdo, not simply a small hole in a seaward cliff.</ns0:t>
        </ns0:is>
      </ns0:c>
      <ns0:c r="K184" s="6" t="inlineStr">
        <ns0:is>
          <ns0:t>The selected option, “A rectangular human-built store”, does not fit. The answer is “An internal shaft with seawater at the bottom”. Cheonjang Cave is a deep, shaft-like depression within Dongdo, not simply a small hole in a seaward cliff.</ns0:t>
        </ns0:is>
      </ns0:c>
      <ns0:c r="L184" s="6" t="inlineStr">
        <ns0:is>
          <ns0:t>The selected option, “A road tunnel joining the islands”, does not fit. The answer is “An internal shaft with seawater at the bottom”. Cheonjang Cave is a deep, shaft-like depression within Dongdo, not simply a small hole in a seaward cliff.</ns0:t>
        </ns0:is>
      </ns0:c>
      <ns0:c r="M184" s="6" t="inlineStr">
        <ns0:is>
          <ns0:t>Cheonjang Cave is a deep, shaft-like depression within Dongdo, not simply a small hole in a seaward cliff.</ns0:t>
        </ns0:is>
      </ns0:c>
      <ns0:c r="N184" s="6" t="inlineStr">
        <ns0:is>
          <ns0:t>KIOST describes Cheonjang Cave as a rounded, shaft-like depression within Dongdo near its upper area and helipad, with seawater entering at its bottom.</ns0:t>
        </ns0:is>
      </ns0:c>
      <ns0:c r="O184" s="6" t="inlineStr">
        <ns0:is>
          <ns0:t>https://www.dokdo.re.kr/home/cms/cmsCont.do?cntnts_sn=65
https://www.heritage.go.kr/heri/cul/culSelectDetail.do?VdkVgwKey=16%2C03360000%2C37&amp;pageNo=1_1_2_0</ns0:t>
        </ns0:is>
      </ns0:c>
      <ns0:c r="P184" s="3">
        <ns0:f>LEN(E184)+MAX(LEN(F184),LEN(G184),LEN(H184))</ns0:f>
        <ns0:v>83</ns0:v>
      </ns0:c>
      <ns0:c r="Q184" s="7" t="inlineStr">
        <ns0:is>
          <ns0:t>출처 기반 자체 검토 / 독립 승인 전</ns0:t>
        </ns0:is>
      </ns0:c>
    </ns0:row>
    <ns0:row r="185" ht="98" customHeight="1">
      <ns0:c r="A185" s="4" t="n">
        <ns0:v>910184</ns0:v>
      </ns0:c>
      <ns0:c r="B185" s="4" t="n">
        <ns0:v>10</ns0:v>
      </ns0:c>
      <ns0:c r="C185" s="4" t="inlineStr">
        <ns0:is>
          <ns0:t>dk-cheonjang</ns0:t>
        </ns0:is>
      </ns0:c>
      <ns0:c r="D185" s="4" t="n">
        <ns0:v>4</ns0:v>
      </ns0:c>
      <ns0:c r="E185" s="8" t="inlineStr">
        <ns0:is>
          <ns0:t>What is wrong with labelling every dark coastal hole Cheonjang Cave?</ns0:t>
        </ns0:is>
      </ns0:c>
      <ns0:c r="F185" s="8" t="inlineStr">
        <ns0:is>
          <ns0:t>Cheonjang Cave can be placed on either island</ns0:t>
        </ns0:is>
      </ns0:c>
      <ns0:c r="G185" s="8" t="inlineStr">
        <ns0:is>
          <ns0:t>Its position and shaft-like form need checking</ns0:t>
        </ns0:is>
      </ns0:c>
      <ns0:c r="H185" s="8" t="inlineStr">
        <ns0:is>
          <ns0:t>All dark shapes have the same landform name</ns0:t>
        </ns0:is>
      </ns0:c>
      <ns0:c r="I185" s="8" t="n">
        <ns0:v>2</ns0:v>
      </ns0:c>
      <ns0:c r="J185" s="8" t="inlineStr">
        <ns0:is>
          <ns0:t>Cheonjang Cave is a deep, shaft-like depression within Dongdo, not simply a small hole in a seaward cliff.</ns0:t>
        </ns0:is>
      </ns0:c>
      <ns0:c r="K185" s="8" t="inlineStr">
        <ns0:is>
          <ns0:t>The selected option, “Cheonjang Cave can be placed on either island”, does not fit. The answer is “Its position and shaft-like form need checking”. Cheonjang Cave is a deep, shaft-like depression within Dongdo, not simply a small hole in a seaward cliff.</ns0:t>
        </ns0:is>
      </ns0:c>
      <ns0:c r="L185" s="8" t="inlineStr">
        <ns0:is>
          <ns0:t>Cheonjang Cave is a deep, shaft-like depression within Dongdo, not simply a small hole in a seaward cliff.</ns0:t>
        </ns0:is>
      </ns0:c>
      <ns0:c r="M185" s="8" t="inlineStr">
        <ns0:is>
          <ns0:t>The selected option, “All dark shapes have the same landform name”, does not fit. The answer is “Its position and shaft-like form need checking”. Cheonjang Cave is a deep, shaft-like depression within Dongdo, not simply a small hole in a seaward cliff.</ns0:t>
        </ns0:is>
      </ns0:c>
      <ns0:c r="N185" s="8" t="inlineStr">
        <ns0:is>
          <ns0:t>KIOST describes Cheonjang Cave as a rounded, shaft-like depression within Dongdo near its upper area and helipad, with seawater entering at its bottom.</ns0:t>
        </ns0:is>
      </ns0:c>
      <ns0:c r="O185" s="8" t="inlineStr">
        <ns0:is>
          <ns0:t>https://www.dokdo.re.kr/home/cms/cmsCont.do?cntnts_sn=65
https://www.heritage.go.kr/heri/cul/culSelectDetail.do?VdkVgwKey=16%2C03360000%2C37&amp;pageNo=1_1_2_0</ns0:t>
        </ns0:is>
      </ns0:c>
      <ns0:c r="P185" s="5">
        <ns0:f>LEN(E185)+MAX(LEN(F185),LEN(G185),LEN(H185))</ns0:f>
        <ns0:v>114</ns0:v>
      </ns0:c>
      <ns0:c r="Q185" s="9" t="inlineStr">
        <ns0:is>
          <ns0:t>출처 기반 자체 검토 / 독립 승인 전</ns0:t>
        </ns0:is>
      </ns0:c>
    </ns0:row>
    <ns0:row r="186" ht="98" customHeight="1">
      <ns0:c r="A186" s="2" t="n">
        <ns0:v>910185</ns0:v>
      </ns0:c>
      <ns0:c r="B186" s="2" t="n">
        <ns0:v>10</ns0:v>
      </ns0:c>
      <ns0:c r="C186" s="2" t="inlineStr">
        <ns0:is>
          <ns0:t>dk-dongnim-arch</ns0:t>
        </ns0:is>
      </ns0:c>
      <ns0:c r="D186" s="2" t="n">
        <ns0:v>1</ns0:v>
      </ns0:c>
      <ns0:c r="E186" s="6" t="inlineStr">
        <ns0:is>
          <ns0:t>Which shape is linked to the name Dongnimmunbawi?</ns0:t>
        </ns0:is>
      </ns0:c>
      <ns0:c r="F186" s="6" t="inlineStr">
        <ns0:is>
          <ns0:t>A gate-like arch</ns0:t>
        </ns0:is>
      </ns0:c>
      <ns0:c r="G186" s="6" t="inlineStr">
        <ns0:is>
          <ns0:t>A complete sphere</ns0:t>
        </ns0:is>
      </ns0:c>
      <ns0:c r="H186" s="6" t="inlineStr">
        <ns0:is>
          <ns0:t>An elongated dock</ns0:t>
        </ns0:is>
      </ns0:c>
      <ns0:c r="I186" s="6" t="n">
        <ns0:v>1</ns0:v>
      </ns0:c>
      <ns0:c r="J186" s="6" t="inlineStr">
        <ns0:is>
          <ns0:t>Dongnimmunbawi is named for its gate-like rock arch. It is not a human-built gate.</ns0:t>
        </ns0:is>
      </ns0:c>
      <ns0:c r="K186" s="6" t="inlineStr">
        <ns0:is>
          <ns0:t>Dongnimmunbawi is named for its gate-like rock arch. It is not a human-built gate.</ns0:t>
        </ns0:is>
      </ns0:c>
      <ns0:c r="L186" s="6" t="inlineStr">
        <ns0:is>
          <ns0:t>The selected option, “A complete sphere”, does not fit. The answer is “A gate-like arch”. Dongnimmunbawi is named for its gate-like rock arch. It is not a human-built gate.</ns0:t>
        </ns0:is>
      </ns0:c>
      <ns0:c r="M186" s="6" t="inlineStr">
        <ns0:is>
          <ns0:t>The selected option, “An elongated dock”, does not fit. The answer is “A gate-like arch”. Dongnimmunbawi is named for its gate-like rock arch. It is not a human-built gate.</ns0:t>
        </ns0:is>
      </ns0:c>
      <ns0:c r="N186" s="6" t="inlineStr"/>
      <ns0:c r="O186" s="6" t="inlineStr">
        <ns0:is>
          <ns0:t>https://www.dokdo.re.kr/home/cms/cmsCont.do?cntnts_sn=65</ns0:t>
        </ns0:is>
      </ns0:c>
      <ns0:c r="P186" s="3">
        <ns0:f>LEN(E186)+MAX(LEN(F186),LEN(G186),LEN(H186))</ns0:f>
        <ns0:v>66</ns0:v>
      </ns0:c>
      <ns0:c r="Q186" s="7" t="inlineStr">
        <ns0:is>
          <ns0:t>출처 기반 자체 검토 / 독립 승인 전</ns0:t>
        </ns0:is>
      </ns0:c>
    </ns0:row>
    <ns0:row r="187" ht="98" customHeight="1">
      <ns0:c r="A187" s="4" t="n">
        <ns0:v>910186</ns0:v>
      </ns0:c>
      <ns0:c r="B187" s="4" t="n">
        <ns0:v>10</ns0:v>
      </ns0:c>
      <ns0:c r="C187" s="4" t="inlineStr">
        <ns0:is>
          <ns0:t>dk-dongnim-arch</ns0:t>
        </ns0:is>
      </ns0:c>
      <ns0:c r="D187" s="4" t="n">
        <ns0:v>2</ns0:v>
      </ns0:c>
      <ns0:c r="E187" s="8" t="inlineStr">
        <ns0:is>
          <ns0:t>Which process is linked to Dongnimmunbawi?</ns0:t>
        </ns0:is>
      </ns0:c>
      <ns0:c r="F187" s="8" t="inlineStr">
        <ns0:is>
          <ns0:t>Brick construction</ns0:t>
        </ns0:is>
      </ns0:c>
      <ns0:c r="G187" s="8" t="inlineStr">
        <ns0:is>
          <ns0:t>Stacking ice</ns0:t>
        </ns0:is>
      </ns0:c>
      <ns0:c r="H187" s="8" t="inlineStr">
        <ns0:is>
          <ns0:t>Wave erosion</ns0:t>
        </ns0:is>
      </ns0:c>
      <ns0:c r="I187" s="8" t="n">
        <ns0:v>3</ns0:v>
      </ns0:c>
      <ns0:c r="J187" s="8" t="inlineStr">
        <ns0:is>
          <ns0:t>Dongnimmunbawi is named for its gate-like rock arch. It is not a human-built gate.</ns0:t>
        </ns0:is>
      </ns0:c>
      <ns0:c r="K187" s="8" t="inlineStr">
        <ns0:is>
          <ns0:t>The selected option, “Brick construction”, does not fit. The answer is “Wave erosion”. Dongnimmunbawi is named for its gate-like rock arch. It is not a human-built gate.</ns0:t>
        </ns0:is>
      </ns0:c>
      <ns0:c r="L187" s="8" t="inlineStr">
        <ns0:is>
          <ns0:t>The selected option, “Stacking ice”, does not fit. The answer is “Wave erosion”. Dongnimmunbawi is named for its gate-like rock arch. It is not a human-built gate.</ns0:t>
        </ns0:is>
      </ns0:c>
      <ns0:c r="M187" s="8" t="inlineStr">
        <ns0:is>
          <ns0:t>Dongnimmunbawi is named for its gate-like rock arch. It is not a human-built gate.</ns0:t>
        </ns0:is>
      </ns0:c>
      <ns0:c r="N187" s="8" t="inlineStr"/>
      <ns0:c r="O187" s="8" t="inlineStr">
        <ns0:is>
          <ns0:t>https://www.dokdo.re.kr/home/cms/cmsCont.do?cntnts_sn=65</ns0:t>
        </ns0:is>
      </ns0:c>
      <ns0:c r="P187" s="5">
        <ns0:f>LEN(E187)+MAX(LEN(F187),LEN(G187),LEN(H187))</ns0:f>
        <ns0:v>60</ns0:v>
      </ns0:c>
      <ns0:c r="Q187" s="9" t="inlineStr">
        <ns0:is>
          <ns0:t>출처 기반 자체 검토 / 독립 승인 전</ns0:t>
        </ns0:is>
      </ns0:c>
    </ns0:row>
    <ns0:row r="188" ht="98" customHeight="1">
      <ns0:c r="A188" s="2" t="n">
        <ns0:v>910187</ns0:v>
      </ns0:c>
      <ns0:c r="B188" s="2" t="n">
        <ns0:v>10</ns0:v>
      </ns0:c>
      <ns0:c r="C188" s="2" t="inlineStr">
        <ns0:is>
          <ns0:t>dk-dongnim-arch</ns0:t>
        </ns0:is>
      </ns0:c>
      <ns0:c r="D188" s="2" t="n">
        <ns0:v>3</ns0:v>
      </ns0:c>
      <ns0:c r="E188" s="6" t="inlineStr">
        <ns0:is>
          <ns0:t>Which pairing of name and origin is correct?</ns0:t>
        </ns0:is>
      </ns0:c>
      <ns0:c r="F188" s="6" t="inlineStr">
        <ns0:is>
          <ns0:t>A lighthouse nickname; electricity supply</ns0:t>
        </ns0:is>
      </ns0:c>
      <ns0:c r="G188" s="6" t="inlineStr">
        <ns0:is>
          <ns0:t>Resemblance to a gate; coastal erosion</ns0:t>
        </ns0:is>
      </ns0:c>
      <ns0:c r="H188" s="6" t="inlineStr">
        <ns0:is>
          <ns0:t>A magistrate’s name; gazette printing</ns0:t>
        </ns0:is>
      </ns0:c>
      <ns0:c r="I188" s="6" t="n">
        <ns0:v>2</ns0:v>
      </ns0:c>
      <ns0:c r="J188" s="6" t="inlineStr">
        <ns0:is>
          <ns0:t>Dongnimmunbawi is named for its gate-like rock arch. It is not a human-built gate.</ns0:t>
        </ns0:is>
      </ns0:c>
      <ns0:c r="K188" s="6" t="inlineStr">
        <ns0:is>
          <ns0:t>The selected option, “A lighthouse nickname; electricity supply”, does not fit. The answer is “Resemblance to a gate; coastal erosion”. Dongnimmunbawi is named for its gate-like rock arch. It is not a human-built gate.</ns0:t>
        </ns0:is>
      </ns0:c>
      <ns0:c r="L188" s="6" t="inlineStr">
        <ns0:is>
          <ns0:t>Dongnimmunbawi is named for its gate-like rock arch. It is not a human-built gate.</ns0:t>
        </ns0:is>
      </ns0:c>
      <ns0:c r="M188" s="6" t="inlineStr">
        <ns0:is>
          <ns0:t>The selected option, “A magistrate’s name; gazette printing”, does not fit. The answer is “Resemblance to a gate; coastal erosion”. Dongnimmunbawi is named for its gate-like rock arch. It is not a human-built gate.</ns0:t>
        </ns0:is>
      </ns0:c>
      <ns0:c r="N188" s="6" t="inlineStr">
        <ns0:is>
          <ns0:t>KIOST describes Dongnimmunbawi as a sea arch named for its resemblance to Independence Gate. Marine erosion wears away coastal rock.</ns0:t>
        </ns0:is>
      </ns0:c>
      <ns0:c r="O188" s="6" t="inlineStr">
        <ns0:is>
          <ns0:t>https://www.dokdo.re.kr/home/cms/cmsCont.do?cntnts_sn=65</ns0:t>
        </ns0:is>
      </ns0:c>
      <ns0:c r="P188" s="3">
        <ns0:f>LEN(E188)+MAX(LEN(F188),LEN(G188),LEN(H188))</ns0:f>
        <ns0:v>85</ns0:v>
      </ns0:c>
      <ns0:c r="Q188" s="7" t="inlineStr">
        <ns0:is>
          <ns0:t>출처 기반 자체 검토 / 독립 승인 전</ns0:t>
        </ns0:is>
      </ns0:c>
    </ns0:row>
    <ns0:row r="189" ht="98" customHeight="1">
      <ns0:c r="A189" s="4" t="n">
        <ns0:v>910188</ns0:v>
      </ns0:c>
      <ns0:c r="B189" s="4" t="n">
        <ns0:v>10</ns0:v>
      </ns0:c>
      <ns0:c r="C189" s="4" t="inlineStr">
        <ns0:is>
          <ns0:t>dk-dongnim-arch</ns0:t>
        </ns0:is>
      </ns0:c>
      <ns0:c r="D189" s="4" t="n">
        <ns0:v>4</ns0:v>
      </ns0:c>
      <ns0:c r="E189" s="8" t="inlineStr">
        <ns0:is>
          <ns0:t>Does the name prove that people constructed it?</ns0:t>
        </ns0:is>
      </ns0:c>
      <ns0:c r="F189" s="8" t="inlineStr">
        <ns0:is>
          <ns0:t>No; resemblance in a name is not construction evidence</ns0:t>
        </ns0:is>
      </ns0:c>
      <ns0:c r="G189" s="8" t="inlineStr">
        <ns0:is>
          <ns0:t>Anything named a gate was built by humans</ns0:t>
        </ns0:is>
      </ns0:c>
      <ns0:c r="H189" s="8" t="inlineStr">
        <ns0:is>
          <ns0:t>Natural features cannot be named</ns0:t>
        </ns0:is>
      </ns0:c>
      <ns0:c r="I189" s="8" t="n">
        <ns0:v>1</ns0:v>
      </ns0:c>
      <ns0:c r="J189" s="8" t="inlineStr">
        <ns0:is>
          <ns0:t>Dongnimmunbawi is named for its gate-like rock arch. It is not a human-built gate.</ns0:t>
        </ns0:is>
      </ns0:c>
      <ns0:c r="K189" s="8" t="inlineStr">
        <ns0:is>
          <ns0:t>Dongnimmunbawi is named for its gate-like rock arch. It is not a human-built gate.</ns0:t>
        </ns0:is>
      </ns0:c>
      <ns0:c r="L189" s="8" t="inlineStr">
        <ns0:is>
          <ns0:t>The selected option, “Anything named a gate was built by humans”, does not fit. The answer is “No; resemblance in a name is not construction evidence”. Dongnimmunbawi is named for its gate-like rock arch. It is not a human-built gate.</ns0:t>
        </ns0:is>
      </ns0:c>
      <ns0:c r="M189" s="8" t="inlineStr">
        <ns0:is>
          <ns0:t>The selected option, “Natural features cannot be named”, does not fit. The answer is “No; resemblance in a name is not construction evidence”. Dongnimmunbawi is named for its gate-like rock arch. It is not a human-built gate.</ns0:t>
        </ns0:is>
      </ns0:c>
      <ns0:c r="N189" s="8" t="inlineStr">
        <ns0:is>
          <ns0:t>KIOST describes Dongnimmunbawi as a sea arch named for its resemblance to Independence Gate. Marine erosion wears away coastal rock.</ns0:t>
        </ns0:is>
      </ns0:c>
      <ns0:c r="O189" s="8" t="inlineStr">
        <ns0:is>
          <ns0:t>https://www.dokdo.re.kr/home/cms/cmsCont.do?cntnts_sn=65</ns0:t>
        </ns0:is>
      </ns0:c>
      <ns0:c r="P189" s="5">
        <ns0:f>LEN(E189)+MAX(LEN(F189),LEN(G189),LEN(H189))</ns0:f>
        <ns0:v>101</ns0:v>
      </ns0:c>
      <ns0:c r="Q189" s="9" t="inlineStr">
        <ns0:is>
          <ns0:t>출처 기반 자체 검토 / 독립 승인 전</ns0:t>
        </ns0:is>
      </ns0:c>
    </ns0:row>
    <ns0:row r="190" ht="98" customHeight="1">
      <ns0:c r="A190" s="2" t="n">
        <ns0:v>910189</ns0:v>
      </ns0:c>
      <ns0:c r="B190" s="2" t="n">
        <ns0:v>10</ns0:v>
      </ns0:c>
      <ns0:c r="C190" s="2" t="inlineStr">
        <ns0:is>
          <ns0:t>dk-sutdol</ns0:t>
        </ns0:is>
      </ns0:c>
      <ns0:c r="D190" s="2" t="n">
        <ns0:v>1</ns0:v>
      </ns0:c>
      <ns0:c r="E190" s="6" t="inlineStr">
        <ns0:is>
          <ns0:t>Which facility is near Sutdolbawi?</ns0:t>
        </ns0:is>
      </ns0:c>
      <ns0:c r="F190" s="6" t="inlineStr">
        <ns0:is>
          <ns0:t>Seodo’s residence</ns0:t>
        </ns0:is>
      </ns0:c>
      <ns0:c r="G190" s="6" t="inlineStr">
        <ns0:is>
          <ns0:t>An airport on Ulleungdo</ns0:t>
        </ns0:is>
      </ns0:c>
      <ns0:c r="H190" s="6" t="inlineStr">
        <ns0:is>
          <ns0:t>Dongdo’s landing dock</ns0:t>
        </ns0:is>
      </ns0:c>
      <ns0:c r="I190" s="6" t="n">
        <ns0:v>3</ns0:v>
      </ns0:c>
      <ns0:c r="J190" s="6" t="inlineStr">
        <ns0:is>
          <ns0:t>Sutdolbawi is near Dongdo’s landing area. Its name refers to rock resembling a whetstone used to sharpen blades.</ns0:t>
        </ns0:is>
      </ns0:c>
      <ns0:c r="K190" s="6" t="inlineStr">
        <ns0:is>
          <ns0:t>The selected option, “Seodo’s residence”, does not fit. The answer is “Dongdo’s landing dock”. Sutdolbawi is near Dongdo’s landing area. Its name refers to rock resembling a whetstone used to sharpen blades.</ns0:t>
        </ns0:is>
      </ns0:c>
      <ns0:c r="L190" s="6" t="inlineStr">
        <ns0:is>
          <ns0:t>The selected option, “An airport on Ulleungdo”, does not fit. The answer is “Dongdo’s landing dock”. Sutdolbawi is near Dongdo’s landing area. Its name refers to rock resembling a whetstone used to sharpen blades.</ns0:t>
        </ns0:is>
      </ns0:c>
      <ns0:c r="M190" s="6" t="inlineStr">
        <ns0:is>
          <ns0:t>Sutdolbawi is near Dongdo’s landing area. Its name refers to rock resembling a whetstone used to sharpen blades.</ns0:t>
        </ns0:is>
      </ns0:c>
      <ns0:c r="N190" s="6" t="inlineStr"/>
      <ns0:c r="O190" s="6" t="inlineStr">
        <ns0:is>
          <ns0:t>https://korean.visitkorea.or.kr/detail/ms_detail.do?cotid=603167d6-1056-43c1-8a3d-c8640dd25938
https://www.dokdo.re.kr/home/cms/cmsCont.do?cntnts_sn=65</ns0:t>
        </ns0:is>
      </ns0:c>
      <ns0:c r="P190" s="3">
        <ns0:f>LEN(E190)+MAX(LEN(F190),LEN(G190),LEN(H190))</ns0:f>
        <ns0:v>57</ns0:v>
      </ns0:c>
      <ns0:c r="Q190" s="7" t="inlineStr">
        <ns0:is>
          <ns0:t>출처 기반 자체 검토 / 독립 승인 전</ns0:t>
        </ns0:is>
      </ns0:c>
    </ns0:row>
    <ns0:row r="191" ht="98" customHeight="1">
      <ns0:c r="A191" s="4" t="n">
        <ns0:v>910190</ns0:v>
      </ns0:c>
      <ns0:c r="B191" s="4" t="n">
        <ns0:v>10</ns0:v>
      </ns0:c>
      <ns0:c r="C191" s="4" t="inlineStr">
        <ns0:is>
          <ns0:t>dk-sutdol</ns0:t>
        </ns0:is>
      </ns0:c>
      <ns0:c r="D191" s="4" t="n">
        <ns0:v>2</ns0:v>
      </ns0:c>
      <ns0:c r="E191" s="8" t="inlineStr">
        <ns0:is>
          <ns0:t>What is connected to the name Sutdolbawi?</ns0:t>
        </ns0:is>
      </ns0:c>
      <ns0:c r="F191" s="8" t="inlineStr">
        <ns0:is>
          <ns0:t>The lighthouse lighting time</ns0:t>
        </ns0:is>
      </ns0:c>
      <ns0:c r="G191" s="8" t="inlineStr">
        <ns0:is>
          <ns0:t>Whetstone-like rock</ns0:t>
        </ns0:is>
      </ns0:c>
      <ns0:c r="H191" s="8" t="inlineStr">
        <ns0:is>
          <ns0:t>The island’s address number</ns0:t>
        </ns0:is>
      </ns0:c>
      <ns0:c r="I191" s="8" t="n">
        <ns0:v>2</ns0:v>
      </ns0:c>
      <ns0:c r="J191" s="8" t="inlineStr">
        <ns0:is>
          <ns0:t>Sutdolbawi is near Dongdo’s landing area. Its name refers to rock resembling a whetstone used to sharpen blades.</ns0:t>
        </ns0:is>
      </ns0:c>
      <ns0:c r="K191" s="8" t="inlineStr">
        <ns0:is>
          <ns0:t>The selected option, “The lighthouse lighting time”, does not fit. The answer is “Whetstone-like rock”. Sutdolbawi is near Dongdo’s landing area. Its name refers to rock resembling a whetstone used to sharpen blades.</ns0:t>
        </ns0:is>
      </ns0:c>
      <ns0:c r="L191" s="8" t="inlineStr">
        <ns0:is>
          <ns0:t>Sutdolbawi is near Dongdo’s landing area. Its name refers to rock resembling a whetstone used to sharpen blades.</ns0:t>
        </ns0:is>
      </ns0:c>
      <ns0:c r="M191" s="8" t="inlineStr">
        <ns0:is>
          <ns0:t>The selected option, “The island’s address number”, does not fit. The answer is “Whetstone-like rock”. Sutdolbawi is near Dongdo’s landing area. Its name refers to rock resembling a whetstone used to sharpen blades.</ns0:t>
        </ns0:is>
      </ns0:c>
      <ns0:c r="N191" s="8" t="inlineStr"/>
      <ns0:c r="O191" s="8" t="inlineStr">
        <ns0:is>
          <ns0:t>https://korean.visitkorea.or.kr/detail/ms_detail.do?cotid=603167d6-1056-43c1-8a3d-c8640dd25938
https://www.dokdo.re.kr/home/cms/cmsCont.do?cntnts_sn=65</ns0:t>
        </ns0:is>
      </ns0:c>
      <ns0:c r="P191" s="5">
        <ns0:f>LEN(E191)+MAX(LEN(F191),LEN(G191),LEN(H191))</ns0:f>
        <ns0:v>69</ns0:v>
      </ns0:c>
      <ns0:c r="Q191" s="9" t="inlineStr">
        <ns0:is>
          <ns0:t>출처 기반 자체 검토 / 독립 승인 전</ns0:t>
        </ns0:is>
      </ns0:c>
    </ns0:row>
    <ns0:row r="192" ht="98" customHeight="1">
      <ns0:c r="A192" s="2" t="n">
        <ns0:v>910191</ns0:v>
      </ns0:c>
      <ns0:c r="B192" s="2" t="n">
        <ns0:v>10</ns0:v>
      </ns0:c>
      <ns0:c r="C192" s="2" t="inlineStr">
        <ns0:is>
          <ns0:t>dk-sutdol</ns0:t>
        </ns0:is>
      </ns0:c>
      <ns0:c r="D192" s="2" t="n">
        <ns0:v>3</ns0:v>
      </ns0:c>
      <ns0:c r="E192" s="6" t="inlineStr">
        <ns0:is>
          <ns0:t>Which geological form does the source describe?</ns0:t>
        </ns0:is>
      </ns0:c>
      <ns0:c r="F192" s="6" t="inlineStr">
        <ns0:is>
          <ns0:t>Horizontal columnar joints</ns0:t>
        </ns0:is>
      </ns0:c>
      <ns0:c r="G192" s="6" t="inlineStr">
        <ns0:is>
          <ns0:t>A human-built brick wall</ns0:t>
        </ns0:is>
      </ns0:c>
      <ns0:c r="H192" s="6" t="inlineStr">
        <ns0:is>
          <ns0:t>A glacier-covered valley</ns0:t>
        </ns0:is>
      </ns0:c>
      <ns0:c r="I192" s="6" t="n">
        <ns0:v>1</ns0:v>
      </ns0:c>
      <ns0:c r="J192" s="6" t="inlineStr">
        <ns0:is>
          <ns0:t>Sutdolbawi is near Dongdo’s landing area. Its name refers to rock resembling a whetstone used to sharpen blades.</ns0:t>
        </ns0:is>
      </ns0:c>
      <ns0:c r="K192" s="6" t="inlineStr">
        <ns0:is>
          <ns0:t>Sutdolbawi is near Dongdo’s landing area. Its name refers to rock resembling a whetstone used to sharpen blades.</ns0:t>
        </ns0:is>
      </ns0:c>
      <ns0:c r="L192" s="6" t="inlineStr">
        <ns0:is>
          <ns0:t>The selected option, “A human-built brick wall”, does not fit. The answer is “Horizontal columnar joints”. Sutdolbawi is near Dongdo’s landing area. Its name refers to rock resembling a whetstone used to sharpen blades.</ns0:t>
        </ns0:is>
      </ns0:c>
      <ns0:c r="M192" s="6" t="inlineStr">
        <ns0:is>
          <ns0:t>The selected option, “A glacier-covered valley”, does not fit. The answer is “Horizontal columnar joints”. Sutdolbawi is near Dongdo’s landing area. Its name refers to rock resembling a whetstone used to sharpen blades.</ns0:t>
        </ns0:is>
      </ns0:c>
      <ns0:c r="N192" s="6" t="inlineStr">
        <ns0:is>
          <ns0:t>Korea Tourism Organization describes Sutdolbawi near the Dongdo landing area, noting whetstone-like rock and horizontal columnar-joint forms.</ns0:t>
        </ns0:is>
      </ns0:c>
      <ns0:c r="O192" s="6" t="inlineStr">
        <ns0:is>
          <ns0:t>https://korean.visitkorea.or.kr/detail/ms_detail.do?cotid=603167d6-1056-43c1-8a3d-c8640dd25938
https://www.dokdo.re.kr/home/cms/cmsCont.do?cntnts_sn=65</ns0:t>
        </ns0:is>
      </ns0:c>
      <ns0:c r="P192" s="3">
        <ns0:f>LEN(E192)+MAX(LEN(F192),LEN(G192),LEN(H192))</ns0:f>
        <ns0:v>73</ns0:v>
      </ns0:c>
      <ns0:c r="Q192" s="7" t="inlineStr">
        <ns0:is>
          <ns0:t>출처 기반 자체 검토 / 독립 승인 전</ns0:t>
        </ns0:is>
      </ns0:c>
    </ns0:row>
    <ns0:row r="193" ht="98" customHeight="1">
      <ns0:c r="A193" s="4" t="n">
        <ns0:v>910192</ns0:v>
      </ns0:c>
      <ns0:c r="B193" s="4" t="n">
        <ns0:v>10</ns0:v>
      </ns0:c>
      <ns0:c r="C193" s="4" t="inlineStr">
        <ns0:is>
          <ns0:t>dk-sutdol</ns0:t>
        </ns0:is>
      </ns0:c>
      <ns0:c r="D193" s="4" t="n">
        <ns0:v>4</ns0:v>
      </ns0:c>
      <ns0:c r="E193" s="8" t="inlineStr">
        <ns0:is>
          <ns0:t>Can the name alone establish every property of the rock?</ns0:t>
        </ns0:is>
      </ns0:c>
      <ns0:c r="F193" s="8" t="inlineStr">
        <ns0:is>
          <ns0:t>A name fixes all physical properties</ns0:t>
        </ns0:is>
      </ns0:c>
      <ns0:c r="G193" s="8" t="inlineStr">
        <ns0:is>
          <ns0:t>A place name cannot be compared with nearby facilities</ns0:t>
        </ns0:is>
      </ns0:c>
      <ns0:c r="H193" s="8" t="inlineStr">
        <ns0:is>
          <ns0:t>Rock and landform evidence must also be checked</ns0:t>
        </ns0:is>
      </ns0:c>
      <ns0:c r="I193" s="8" t="n">
        <ns0:v>3</ns0:v>
      </ns0:c>
      <ns0:c r="J193" s="8" t="inlineStr">
        <ns0:is>
          <ns0:t>Sutdolbawi is near Dongdo’s landing area. Its name refers to rock resembling a whetstone used to sharpen blades.</ns0:t>
        </ns0:is>
      </ns0:c>
      <ns0:c r="K193" s="8" t="inlineStr">
        <ns0:is>
          <ns0:t>The selected option, “A name fixes all physical properties”, does not fit. The answer is “Rock and landform evidence must also be checked”. Sutdolbawi is near Dongdo’s landing area. Its name refers to rock resembling a whetstone used to sharpen blades.</ns0:t>
        </ns0:is>
      </ns0:c>
      <ns0:c r="L193" s="8" t="inlineStr">
        <ns0:is>
          <ns0:t>The selected option, “A place name cannot be compared with nearby facilities”, does not fit. The answer is “Rock and landform evidence must also be checked”. Sutdolbawi is near Dongdo’s landing area. Its name refers to rock resembling a whetstone used to sharpen blades.</ns0:t>
        </ns0:is>
      </ns0:c>
      <ns0:c r="M193" s="8" t="inlineStr">
        <ns0:is>
          <ns0:t>Sutdolbawi is near Dongdo’s landing area. Its name refers to rock resembling a whetstone used to sharpen blades.</ns0:t>
        </ns0:is>
      </ns0:c>
      <ns0:c r="N193" s="8" t="inlineStr">
        <ns0:is>
          <ns0:t>Korea Tourism Organization describes Sutdolbawi near the Dongdo landing area, noting whetstone-like rock and horizontal columnar-joint forms.</ns0:t>
        </ns0:is>
      </ns0:c>
      <ns0:c r="O193" s="8" t="inlineStr">
        <ns0:is>
          <ns0:t>https://korean.visitkorea.or.kr/detail/ms_detail.do?cotid=603167d6-1056-43c1-8a3d-c8640dd25938
https://www.dokdo.re.kr/home/cms/cmsCont.do?cntnts_sn=65</ns0:t>
        </ns0:is>
      </ns0:c>
      <ns0:c r="P193" s="5">
        <ns0:f>LEN(E193)+MAX(LEN(F193),LEN(G193),LEN(H193))</ns0:f>
        <ns0:v>110</ns0:v>
      </ns0:c>
      <ns0:c r="Q193" s="9" t="inlineStr">
        <ns0:is>
          <ns0:t>출처 기반 자체 검토 / 독립 승인 전</ns0:t>
        </ns0:is>
      </ns0:c>
    </ns0:row>
    <ns0:row r="194" ht="98" customHeight="1">
      <ns0:c r="A194" s="2" t="n">
        <ns0:v>910193</ns0:v>
      </ns0:c>
      <ns0:c r="B194" s="2" t="n">
        <ns0:v>10</ns0:v>
      </ns0:c>
      <ns0:c r="C194" s="2" t="inlineStr">
        <ns0:is>
          <ns0:t>dk-gaje-name</ns0:t>
        </ns0:is>
      </ns0:c>
      <ns0:c r="D194" s="2" t="n">
        <ns0:v>1</ns0:v>
      </ns0:c>
      <ns0:c r="E194" s="6" t="inlineStr">
        <ns0:is>
          <ns0:t>Which animal is linked to “gaje” in the rock names?</ns0:t>
        </ns0:is>
      </ns0:c>
      <ns0:c r="F194" s="6" t="inlineStr">
        <ns0:is>
          <ns0:t>Seaside daisy</ns0:t>
        </ns0:is>
      </ns0:c>
      <ns0:c r="G194" s="6" t="inlineStr">
        <ns0:is>
          <ns0:t>Sea lion</ns0:t>
        </ns0:is>
      </ns0:c>
      <ns0:c r="H194" s="6" t="inlineStr">
        <ns0:is>
          <ns0:t>Black-tailed gull</ns0:t>
        </ns0:is>
      </ns0:c>
      <ns0:c r="I194" s="6" t="n">
        <ns0:v>2</ns0:v>
      </ns0:c>
      <ns0:c r="J194" s="6" t="inlineStr">
        <ns0:is>
          <ns0:t>The “gaje” in Keungajebawi and Jageungajebawi is linked to a local word for sea lion. Place names can preserve ecological and human memories.</ns0:t>
        </ns0:is>
      </ns0:c>
      <ns0:c r="K194" s="6" t="inlineStr">
        <ns0:is>
          <ns0:t>The selected option, “Seaside daisy”, does not fit. The answer is “Sea lion”. The “gaje” in Keungajebawi and Jageungajebawi is linked to a local word for sea lion. Place names can preserve ecological and human memories.</ns0:t>
        </ns0:is>
      </ns0:c>
      <ns0:c r="L194" s="6" t="inlineStr">
        <ns0:is>
          <ns0:t>The “gaje” in Keungajebawi and Jageungajebawi is linked to a local word for sea lion. Place names can preserve ecological and human memories.</ns0:t>
        </ns0:is>
      </ns0:c>
      <ns0:c r="M194" s="6" t="inlineStr">
        <ns0:is>
          <ns0:t>The selected option, “Black-tailed gull”, does not fit. The answer is “Sea lion”. The “gaje” in Keungajebawi and Jageungajebawi is linked to a local word for sea lion. Place names can preserve ecological and human memories.</ns0:t>
        </ns0:is>
      </ns0:c>
      <ns0:c r="N194" s="6" t="inlineStr"/>
      <ns0:c r="O194" s="6" t="inlineStr">
        <ns0:is>
          <ns0:t>https://www.dokdo.re.kr/home/cms/cmsCont.do?cntnts_sn=65</ns0:t>
        </ns0:is>
      </ns0:c>
      <ns0:c r="P194" s="3">
        <ns0:f>LEN(E194)+MAX(LEN(F194),LEN(G194),LEN(H194))</ns0:f>
        <ns0:v>68</ns0:v>
      </ns0:c>
      <ns0:c r="Q194" s="7" t="inlineStr">
        <ns0:is>
          <ns0:t>출처 기반 자체 검토 / 독립 승인 전</ns0:t>
        </ns0:is>
      </ns0:c>
    </ns0:row>
    <ns0:row r="195" ht="98" customHeight="1">
      <ns0:c r="A195" s="4" t="n">
        <ns0:v>910194</ns0:v>
      </ns0:c>
      <ns0:c r="B195" s="4" t="n">
        <ns0:v>10</ns0:v>
      </ns0:c>
      <ns0:c r="C195" s="4" t="inlineStr">
        <ns0:is>
          <ns0:t>dk-gaje-name</ns0:t>
        </ns0:is>
      </ns0:c>
      <ns0:c r="D195" s="4" t="n">
        <ns0:v>2</ns0:v>
      </ns0:c>
      <ns0:c r="E195" s="8" t="inlineStr">
        <ns0:is>
          <ns0:t>What memory is retained in the Gaje rock names?</ns0:t>
        </ns0:is>
      </ns0:c>
      <ns0:c r="F195" s="8" t="inlineStr">
        <ns0:is>
          <ns0:t>Sea lions that frequented the place</ns0:t>
        </ns0:is>
      </ns0:c>
      <ns0:c r="G195" s="8" t="inlineStr">
        <ns0:is>
          <ns0:t>Current ferry fares</ns0:t>
        </ns0:is>
      </ns0:c>
      <ns0:c r="H195" s="8" t="inlineStr">
        <ns0:is>
          <ns0:t>The lighthouse’s floor count</ns0:t>
        </ns0:is>
      </ns0:c>
      <ns0:c r="I195" s="8" t="n">
        <ns0:v>1</ns0:v>
      </ns0:c>
      <ns0:c r="J195" s="8" t="inlineStr">
        <ns0:is>
          <ns0:t>The “gaje” in Keungajebawi and Jageungajebawi is linked to a local word for sea lion. Place names can preserve ecological and human memories.</ns0:t>
        </ns0:is>
      </ns0:c>
      <ns0:c r="K195" s="8" t="inlineStr">
        <ns0:is>
          <ns0:t>The “gaje” in Keungajebawi and Jageungajebawi is linked to a local word for sea lion. Place names can preserve ecological and human memories.</ns0:t>
        </ns0:is>
      </ns0:c>
      <ns0:c r="L195" s="8" t="inlineStr">
        <ns0:is>
          <ns0:t>The selected option, “Current ferry fares”, does not fit. The answer is “Sea lions that frequented the place”. The “gaje” in Keungajebawi and Jageungajebawi is linked to a local word for sea lion. Place names can preserve ecological and human memories.</ns0:t>
        </ns0:is>
      </ns0:c>
      <ns0:c r="M195" s="8" t="inlineStr">
        <ns0:is>
          <ns0:t>The selected option, “The lighthouse’s floor count”, does not fit. The answer is “Sea lions that frequented the place”. The “gaje” in Keungajebawi and Jageungajebawi is linked to a local word for sea lion. Place names can preserve ecological and human memories.</ns0:t>
        </ns0:is>
      </ns0:c>
      <ns0:c r="N195" s="8" t="inlineStr"/>
      <ns0:c r="O195" s="8" t="inlineStr">
        <ns0:is>
          <ns0:t>https://www.dokdo.re.kr/home/cms/cmsCont.do?cntnts_sn=65</ns0:t>
        </ns0:is>
      </ns0:c>
      <ns0:c r="P195" s="5">
        <ns0:f>LEN(E195)+MAX(LEN(F195),LEN(G195),LEN(H195))</ns0:f>
        <ns0:v>82</ns0:v>
      </ns0:c>
      <ns0:c r="Q195" s="9" t="inlineStr">
        <ns0:is>
          <ns0:t>출처 기반 자체 검토 / 독립 승인 전</ns0:t>
        </ns0:is>
      </ns0:c>
    </ns0:row>
    <ns0:row r="196" ht="98" customHeight="1">
      <ns0:c r="A196" s="2" t="n">
        <ns0:v>910195</ns0:v>
      </ns0:c>
      <ns0:c r="B196" s="2" t="n">
        <ns0:v>10</ns0:v>
      </ns0:c>
      <ns0:c r="C196" s="2" t="inlineStr">
        <ns0:is>
          <ns0:t>dk-gaje-name</ns0:t>
        </ns0:is>
      </ns0:c>
      <ns0:c r="D196" s="2" t="n">
        <ns0:v>3</ns0:v>
      </ns0:c>
      <ns0:c r="E196" s="6" t="inlineStr">
        <ns0:is>
          <ns0:t>Which link explains the names in the source?</ns0:t>
        </ns0:is>
      </ns0:c>
      <ns0:c r="F196" s="6" t="inlineStr">
        <ns0:is>
          <ns0:t>Gaje → elevation of 151 m</ns0:t>
        </ns0:is>
      </ns0:c>
      <ns0:c r="G196" s="6" t="inlineStr">
        <ns0:is>
          <ns0:t>Gaje → the magistrate’s office</ns0:t>
        </ns0:is>
      </ns0:c>
      <ns0:c r="H196" s="6" t="inlineStr">
        <ns0:is>
          <ns0:t>Local word gaje → sea lion presence</ns0:t>
        </ns0:is>
      </ns0:c>
      <ns0:c r="I196" s="6" t="n">
        <ns0:v>3</ns0:v>
      </ns0:c>
      <ns0:c r="J196" s="6" t="inlineStr">
        <ns0:is>
          <ns0:t>The “gaje” in Keungajebawi and Jageungajebawi is linked to a local word for sea lion. Place names can preserve ecological and human memories.</ns0:t>
        </ns0:is>
      </ns0:c>
      <ns0:c r="K196" s="6" t="inlineStr">
        <ns0:is>
          <ns0:t>The selected option, “Gaje → elevation of 151 m”, does not fit. The answer is “Local word gaje → sea lion presence”. The “gaje” in Keungajebawi and Jageungajebawi is linked to a local word for sea lion. Place names can preserve ecological and human memories.</ns0:t>
        </ns0:is>
      </ns0:c>
      <ns0:c r="L196" s="6" t="inlineStr">
        <ns0:is>
          <ns0:t>The selected option, “Gaje → the magistrate’s office”, does not fit. The answer is “Local word gaje → sea lion presence”. The “gaje” in Keungajebawi and Jageungajebawi is linked to a local word for sea lion. Place names can preserve ecological and human memories.</ns0:t>
        </ns0:is>
      </ns0:c>
      <ns0:c r="M196" s="6" t="inlineStr">
        <ns0:is>
          <ns0:t>The “gaje” in Keungajebawi and Jageungajebawi is linked to a local word for sea lion. Place names can preserve ecological and human memories.</ns0:t>
        </ns0:is>
      </ns0:c>
      <ns0:c r="N196" s="6" t="inlineStr">
        <ns0:is>
          <ns0:t>KIOST links the names of the two Gaje rocks to gaje, a local term for sea lions that were reported to frequent them.</ns0:t>
        </ns0:is>
      </ns0:c>
      <ns0:c r="O196" s="6" t="inlineStr">
        <ns0:is>
          <ns0:t>https://www.dokdo.re.kr/home/cms/cmsCont.do?cntnts_sn=65</ns0:t>
        </ns0:is>
      </ns0:c>
      <ns0:c r="P196" s="3">
        <ns0:f>LEN(E196)+MAX(LEN(F196),LEN(G196),LEN(H196))</ns0:f>
        <ns0:v>79</ns0:v>
      </ns0:c>
      <ns0:c r="Q196" s="7" t="inlineStr">
        <ns0:is>
          <ns0:t>출처 기반 자체 검토 / 독립 승인 전</ns0:t>
        </ns0:is>
      </ns0:c>
    </ns0:row>
    <ns0:row r="197" ht="98" customHeight="1">
      <ns0:c r="A197" s="4" t="n">
        <ns0:v>910196</ns0:v>
      </ns0:c>
      <ns0:c r="B197" s="4" t="n">
        <ns0:v>10</ns0:v>
      </ns0:c>
      <ns0:c r="C197" s="4" t="inlineStr">
        <ns0:is>
          <ns0:t>dk-gaje-name</ns0:t>
        </ns0:is>
      </ns0:c>
      <ns0:c r="D197" s="4" t="n">
        <ns0:v>4</ns0:v>
      </ns0:c>
      <ns0:c r="E197" s="8" t="inlineStr">
        <ns0:is>
          <ns0:t>Does the name prove sea lions live there today?</ns0:t>
        </ns0:is>
      </ns0:c>
      <ns0:c r="F197" s="8" t="inlineStr">
        <ns0:is>
          <ns0:t>An animal in a name makes extinction impossible</ns0:t>
        </ns0:is>
      </ns0:c>
      <ns0:c r="G197" s="8" t="inlineStr">
        <ns0:is>
          <ns0:t>Historical naming and present observation must be separated</ns0:t>
        </ns0:is>
      </ns0:c>
      <ns0:c r="H197" s="8" t="inlineStr">
        <ns0:is>
          <ns0:t>An old name guarantees current populations</ns0:t>
        </ns0:is>
      </ns0:c>
      <ns0:c r="I197" s="8" t="n">
        <ns0:v>2</ns0:v>
      </ns0:c>
      <ns0:c r="J197" s="8" t="inlineStr">
        <ns0:is>
          <ns0:t>The “gaje” in Keungajebawi and Jageungajebawi is linked to a local word for sea lion. Place names can preserve ecological and human memories.</ns0:t>
        </ns0:is>
      </ns0:c>
      <ns0:c r="K197" s="8" t="inlineStr">
        <ns0:is>
          <ns0:t>The selected option, “An animal in a name makes extinction impossible”, does not fit. The answer is “Historical naming and present observation must be separated”. The “gaje” in Keungajebawi and Jageungajebawi is linked to a local word for sea lion. Place names can preserve ecological and human memories.</ns0:t>
        </ns0:is>
      </ns0:c>
      <ns0:c r="L197" s="8" t="inlineStr">
        <ns0:is>
          <ns0:t>The “gaje” in Keungajebawi and Jageungajebawi is linked to a local word for sea lion. Place names can preserve ecological and human memories.</ns0:t>
        </ns0:is>
      </ns0:c>
      <ns0:c r="M197" s="8" t="inlineStr">
        <ns0:is>
          <ns0:t>The selected option, “An old name guarantees current populations”, does not fit. The answer is “Historical naming and present observation must be separated”. The “gaje” in Keungajebawi and Jageungajebawi is linked to a local word for sea lion. Place names can preserve ecological and human memories.</ns0:t>
        </ns0:is>
      </ns0:c>
      <ns0:c r="N197" s="8" t="inlineStr">
        <ns0:is>
          <ns0:t>KIOST links the names of the two Gaje rocks to gaje, a local term for sea lions that were reported to frequent them.</ns0:t>
        </ns0:is>
      </ns0:c>
      <ns0:c r="O197" s="8" t="inlineStr">
        <ns0:is>
          <ns0:t>https://www.dokdo.re.kr/home/cms/cmsCont.do?cntnts_sn=65</ns0:t>
        </ns0:is>
      </ns0:c>
      <ns0:c r="P197" s="5">
        <ns0:f>LEN(E197)+MAX(LEN(F197),LEN(G197),LEN(H197))</ns0:f>
        <ns0:v>106</ns0:v>
      </ns0:c>
      <ns0:c r="Q197" s="9" t="inlineStr">
        <ns0:is>
          <ns0:t>출처 기반 자체 검토 / 독립 승인 전</ns0:t>
        </ns0:is>
      </ns0:c>
    </ns0:row>
    <ns0:row r="198" ht="98" customHeight="1">
      <ns0:c r="A198" s="2" t="n">
        <ns0:v>910197</ns0:v>
      </ns0:c>
      <ns0:c r="B198" s="2" t="n">
        <ns0:v>10</ns0:v>
      </ns0:c>
      <ns0:c r="C198" s="2" t="inlineStr">
        <ns0:is>
          <ns0:t>dk-tanggeon</ns0:t>
        </ns0:is>
      </ns0:c>
      <ns0:c r="D198" s="2" t="n">
        <ns0:v>1</ns0:v>
      </ns0:c>
      <ns0:c r="E198" s="6" t="inlineStr">
        <ns0:is>
          <ns0:t>What is linked to the name Tanggeonbong?</ns0:t>
        </ns0:is>
      </ns0:c>
      <ns0:c r="F198" s="6" t="inlineStr">
        <ns0:is>
          <ns0:t>Traditional headwear called a tanggeon</ns0:t>
        </ns0:is>
      </ns0:c>
      <ns0:c r="G198" s="6" t="inlineStr">
        <ns0:is>
          <ns0:t>A mooring rope</ns0:t>
        </ns0:is>
      </ns0:c>
      <ns0:c r="H198" s="6" t="inlineStr">
        <ns0:is>
          <ns0:t>Wakame seaweed</ns0:t>
        </ns0:is>
      </ns0:c>
      <ns0:c r="I198" s="6" t="n">
        <ns0:v>1</ns0:v>
      </ns0:c>
      <ns0:c r="J198" s="6" t="inlineStr">
        <ns0:is>
          <ns0:t>Tanggeonbong is named for a resemblance to the traditional scholar’s headwear called a tanggeon. Many Dokdo names refer to shapes.</ns0:t>
        </ns0:is>
      </ns0:c>
      <ns0:c r="K198" s="6" t="inlineStr">
        <ns0:is>
          <ns0:t>Tanggeonbong is named for a resemblance to the traditional scholar’s headwear called a tanggeon. Many Dokdo names refer to shapes.</ns0:t>
        </ns0:is>
      </ns0:c>
      <ns0:c r="L198" s="6" t="inlineStr">
        <ns0:is>
          <ns0:t>The selected option, “A mooring rope”, does not fit. The answer is “Traditional headwear called a tanggeon”. Tanggeonbong is named for a resemblance to the traditional scholar’s headwear called a tanggeon. Many Dokdo names refer to shapes.</ns0:t>
        </ns0:is>
      </ns0:c>
      <ns0:c r="M198" s="6" t="inlineStr">
        <ns0:is>
          <ns0:t>The selected option, “Wakame seaweed”, does not fit. The answer is “Traditional headwear called a tanggeon”. Tanggeonbong is named for a resemblance to the traditional scholar’s headwear called a tanggeon. Many Dokdo names refer to shapes.</ns0:t>
        </ns0:is>
      </ns0:c>
      <ns0:c r="N198" s="6" t="inlineStr"/>
      <ns0:c r="O198" s="6" t="inlineStr">
        <ns0:is>
          <ns0:t>https://www.dokdo.re.kr/home/cms/cmsCont.do?cntnts_sn=65</ns0:t>
        </ns0:is>
      </ns0:c>
      <ns0:c r="P198" s="3">
        <ns0:f>LEN(E198)+MAX(LEN(F198),LEN(G198),LEN(H198))</ns0:f>
        <ns0:v>78</ns0:v>
      </ns0:c>
      <ns0:c r="Q198" s="7" t="inlineStr">
        <ns0:is>
          <ns0:t>출처 기반 자체 검토 / 독립 승인 전</ns0:t>
        </ns0:is>
      </ns0:c>
    </ns0:row>
    <ns0:row r="199" ht="98" customHeight="1">
      <ns0:c r="A199" s="4" t="n">
        <ns0:v>910198</ns0:v>
      </ns0:c>
      <ns0:c r="B199" s="4" t="n">
        <ns0:v>10</ns0:v>
      </ns0:c>
      <ns0:c r="C199" s="4" t="inlineStr">
        <ns0:is>
          <ns0:t>dk-tanggeon</ns0:t>
        </ns0:is>
      </ns0:c>
      <ns0:c r="D199" s="4" t="n">
        <ns0:v>2</ns0:v>
      </ns0:c>
      <ns0:c r="E199" s="8" t="inlineStr">
        <ns0:is>
          <ns0:t>What do Tanggeonbong and Dongnimmunbawi names share?</ns0:t>
        </ns0:is>
      </ns0:c>
      <ns0:c r="F199" s="8" t="inlineStr">
        <ns0:is>
          <ns0:t>Both are magistrates’ names</ns0:t>
        </ns0:is>
      </ns0:c>
      <ns0:c r="G199" s="8" t="inlineStr">
        <ns0:is>
          <ns0:t>Both specify the same area</ns0:t>
        </ns0:is>
      </ns0:c>
      <ns0:c r="H199" s="8" t="inlineStr">
        <ns0:is>
          <ns0:t>They refer to a resemblance in shape</ns0:t>
        </ns0:is>
      </ns0:c>
      <ns0:c r="I199" s="8" t="n">
        <ns0:v>3</ns0:v>
      </ns0:c>
      <ns0:c r="J199" s="8" t="inlineStr">
        <ns0:is>
          <ns0:t>Tanggeonbong is named for a resemblance to the traditional scholar’s headwear called a tanggeon. Many Dokdo names refer to shapes.</ns0:t>
        </ns0:is>
      </ns0:c>
      <ns0:c r="K199" s="8" t="inlineStr">
        <ns0:is>
          <ns0:t>The selected option, “Both are magistrates’ names”, does not fit. The answer is “They refer to a resemblance in shape”. Tanggeonbong is named for a resemblance to the traditional scholar’s headwear called a tanggeon. Many Dokdo names refer to shapes.</ns0:t>
        </ns0:is>
      </ns0:c>
      <ns0:c r="L199" s="8" t="inlineStr">
        <ns0:is>
          <ns0:t>The selected option, “Both specify the same area”, does not fit. The answer is “They refer to a resemblance in shape”. Tanggeonbong is named for a resemblance to the traditional scholar’s headwear called a tanggeon. Many Dokdo names refer to shapes.</ns0:t>
        </ns0:is>
      </ns0:c>
      <ns0:c r="M199" s="8" t="inlineStr">
        <ns0:is>
          <ns0:t>Tanggeonbong is named for a resemblance to the traditional scholar’s headwear called a tanggeon. Many Dokdo names refer to shapes.</ns0:t>
        </ns0:is>
      </ns0:c>
      <ns0:c r="N199" s="8" t="inlineStr"/>
      <ns0:c r="O199" s="8" t="inlineStr">
        <ns0:is>
          <ns0:t>https://www.dokdo.re.kr/home/cms/cmsCont.do?cntnts_sn=65</ns0:t>
        </ns0:is>
      </ns0:c>
      <ns0:c r="P199" s="5">
        <ns0:f>LEN(E199)+MAX(LEN(F199),LEN(G199),LEN(H199))</ns0:f>
        <ns0:v>88</ns0:v>
      </ns0:c>
      <ns0:c r="Q199" s="9" t="inlineStr">
        <ns0:is>
          <ns0:t>출처 기반 자체 검토 / 독립 승인 전</ns0:t>
        </ns0:is>
      </ns0:c>
    </ns0:row>
    <ns0:row r="200" ht="98" customHeight="1">
      <ns0:c r="A200" s="2" t="n">
        <ns0:v>910199</ns0:v>
      </ns0:c>
      <ns0:c r="B200" s="2" t="n">
        <ns0:v>10</ns0:v>
      </ns0:c>
      <ns0:c r="C200" s="2" t="inlineStr">
        <ns0:is>
          <ns0:t>dk-tanggeon</ns0:t>
        </ns0:is>
      </ns0:c>
      <ns0:c r="D200" s="2" t="n">
        <ns0:v>3</ns0:v>
      </ns0:c>
      <ns0:c r="E200" s="6" t="inlineStr">
        <ns0:is>
          <ns0:t>Which explanation is supported by the source?</ns0:t>
        </ns0:is>
      </ns0:c>
      <ns0:c r="F200" s="6" t="inlineStr">
        <ns0:is>
          <ns0:t>It looks exactly the same from every direction</ns0:t>
        </ns0:is>
      </ns0:c>
      <ns0:c r="G200" s="6" t="inlineStr">
        <ns0:is>
          <ns0:t>It refers to a headwear-like peak shape</ns0:t>
        </ns0:is>
      </ns0:c>
      <ns0:c r="H200" s="6" t="inlineStr">
        <ns0:is>
          <ns0:t>A giant hat was physically placed on the peak</ns0:t>
        </ns0:is>
      </ns0:c>
      <ns0:c r="I200" s="6" t="n">
        <ns0:v>2</ns0:v>
      </ns0:c>
      <ns0:c r="J200" s="6" t="inlineStr">
        <ns0:is>
          <ns0:t>Tanggeonbong is named for a resemblance to the traditional scholar’s headwear called a tanggeon. Many Dokdo names refer to shapes.</ns0:t>
        </ns0:is>
      </ns0:c>
      <ns0:c r="K200" s="6" t="inlineStr">
        <ns0:is>
          <ns0:t>The selected option, “It looks exactly the same from every direction”, does not fit. The answer is “It refers to a headwear-like peak shape”. Tanggeonbong is named for a resemblance to the traditional scholar’s headwear called a tanggeon. Many Dokdo names refer to shapes.</ns0:t>
        </ns0:is>
      </ns0:c>
      <ns0:c r="L200" s="6" t="inlineStr">
        <ns0:is>
          <ns0:t>Tanggeonbong is named for a resemblance to the traditional scholar’s headwear called a tanggeon. Many Dokdo names refer to shapes.</ns0:t>
        </ns0:is>
      </ns0:c>
      <ns0:c r="M200" s="6" t="inlineStr">
        <ns0:is>
          <ns0:t>The selected option, “A giant hat was physically placed on the peak”, does not fit. The answer is “It refers to a headwear-like peak shape”. Tanggeonbong is named for a resemblance to the traditional scholar’s headwear called a tanggeon. Many Dokdo names refer to shapes.</ns0:t>
        </ns0:is>
      </ns0:c>
      <ns0:c r="N200" s="6" t="inlineStr">
        <ns0:is>
          <ns0:t>KIOST explains Tanggeonbong through its resemblance to traditional headwear. A rock’s appearance can vary with viewpoint.</ns0:t>
        </ns0:is>
      </ns0:c>
      <ns0:c r="O200" s="6" t="inlineStr">
        <ns0:is>
          <ns0:t>https://www.dokdo.re.kr/home/cms/cmsCont.do?cntnts_sn=65</ns0:t>
        </ns0:is>
      </ns0:c>
      <ns0:c r="P200" s="3">
        <ns0:f>LEN(E200)+MAX(LEN(F200),LEN(G200),LEN(H200))</ns0:f>
        <ns0:v>91</ns0:v>
      </ns0:c>
      <ns0:c r="Q200" s="7" t="inlineStr">
        <ns0:is>
          <ns0:t>출처 기반 자체 검토 / 독립 승인 전</ns0:t>
        </ns0:is>
      </ns0:c>
    </ns0:row>
    <ns0:row r="201" ht="98" customHeight="1">
      <ns0:c r="A201" s="4" t="n">
        <ns0:v>910200</ns0:v>
      </ns0:c>
      <ns0:c r="B201" s="4" t="n">
        <ns0:v>10</ns0:v>
      </ns0:c>
      <ns0:c r="C201" s="4" t="inlineStr">
        <ns0:is>
          <ns0:t>dk-tanggeon</ns0:t>
        </ns0:is>
      </ns0:c>
      <ns0:c r="D201" s="4" t="n">
        <ns0:v>4</ns0:v>
      </ns0:c>
      <ns0:c r="E201" s="8" t="inlineStr">
        <ns0:is>
          <ns0:t>Does a less similar view invalidate the place name?</ns0:t>
        </ns0:is>
      </ns0:c>
      <ns0:c r="F201" s="8" t="inlineStr">
        <ns0:is>
          <ns0:t>Consider naming history and viewpoint together</ns0:t>
        </ns0:is>
      </ns0:c>
      <ns0:c r="G201" s="8" t="inlineStr">
        <ns0:is>
          <ns0:t>A name must exactly match any single photo</ns0:t>
        </ns0:is>
      </ns0:c>
      <ns0:c r="H201" s="8" t="inlineStr">
        <ns0:is>
          <ns0:t>Viewpoint cannot affect a landform’s appearance</ns0:t>
        </ns0:is>
      </ns0:c>
      <ns0:c r="I201" s="8" t="n">
        <ns0:v>1</ns0:v>
      </ns0:c>
      <ns0:c r="J201" s="8" t="inlineStr">
        <ns0:is>
          <ns0:t>Tanggeonbong is named for a resemblance to the traditional scholar’s headwear called a tanggeon. Many Dokdo names refer to shapes.</ns0:t>
        </ns0:is>
      </ns0:c>
      <ns0:c r="K201" s="8" t="inlineStr">
        <ns0:is>
          <ns0:t>Tanggeonbong is named for a resemblance to the traditional scholar’s headwear called a tanggeon. Many Dokdo names refer to shapes.</ns0:t>
        </ns0:is>
      </ns0:c>
      <ns0:c r="L201" s="8" t="inlineStr">
        <ns0:is>
          <ns0:t>The selected option, “A name must exactly match any single photo”, does not fit. The answer is “Consider naming history and viewpoint together”. Tanggeonbong is named for a resemblance to the traditional scholar’s headwear called a tanggeon. Many Dokdo names refer to shapes.</ns0:t>
        </ns0:is>
      </ns0:c>
      <ns0:c r="M201" s="8" t="inlineStr">
        <ns0:is>
          <ns0:t>The selected option, “Viewpoint cannot affect a landform’s appearance”, does not fit. The answer is “Consider naming history and viewpoint together”. Tanggeonbong is named for a resemblance to the traditional scholar’s headwear called a tanggeon. Many Dokdo names refer to shapes.</ns0:t>
        </ns0:is>
      </ns0:c>
      <ns0:c r="N201" s="8" t="inlineStr">
        <ns0:is>
          <ns0:t>KIOST explains Tanggeonbong through its resemblance to traditional headwear. A rock’s appearance can vary with viewpoint.</ns0:t>
        </ns0:is>
      </ns0:c>
      <ns0:c r="O201" s="8" t="inlineStr">
        <ns0:is>
          <ns0:t>https://www.dokdo.re.kr/home/cms/cmsCont.do?cntnts_sn=65</ns0:t>
        </ns0:is>
      </ns0:c>
      <ns0:c r="P201" s="5">
        <ns0:f>LEN(E201)+MAX(LEN(F201),LEN(G201),LEN(H201))</ns0:f>
        <ns0:v>98</ns0:v>
      </ns0:c>
      <ns0:c r="Q201" s="9" t="inlineStr">
        <ns0:is>
          <ns0:t>출처 기반 자체 검토 / 독립 승인 전</ns0:t>
        </ns0:is>
      </ns0:c>
    </ns0:row>
    <ns0:row r="202" ht="98" customHeight="1">
      <ns0:c r="A202" s="2" t="n">
        <ns0:v>910201</ns0:v>
      </ns0:c>
      <ns0:c r="B202" s="2" t="n">
        <ns0:v>11</ns0:v>
      </ns0:c>
      <ns0:c r="C202" s="2" t="inlineStr">
        <ns0:is>
          <ns0:t>dk-dajokan-type</ns0:t>
        </ns0:is>
      </ns0:c>
      <ns0:c r="D202" s="2" t="n">
        <ns0:v>1</ns0:v>
      </ns0:c>
      <ns0:c r="E202" s="6" t="inlineStr">
        <ns0:is>
          <ns0:t>Which country produced the Dajokan administrative document?</ns0:t>
        </ns0:is>
      </ns0:c>
      <ns0:c r="F202" s="6" t="inlineStr">
        <ns0:is>
          <ns0:t>The Korean Empire</ns0:t>
        </ns0:is>
      </ns0:c>
      <ns0:c r="G202" s="6" t="inlineStr">
        <ns0:is>
          <ns0:t>Joseon</ns0:t>
        </ns0:is>
      </ns0:c>
      <ns0:c r="H202" s="6" t="inlineStr">
        <ns0:is>
          <ns0:t>Japan</ns0:t>
        </ns0:is>
      </ns0:c>
      <ns0:c r="I202" s="6" t="n">
        <ns0:v>3</ns0:v>
      </ns0:c>
      <ns0:c r="J202" s="6" t="inlineStr">
        <ns0:is>
          <ns0:t>The 1877 Dajokan directive is a Japanese administrative document. Read it in terms of which offices considered and answered what issue.</ns0:t>
        </ns0:is>
      </ns0:c>
      <ns0:c r="K202" s="6" t="inlineStr">
        <ns0:is>
          <ns0:t>The selected option, “The Korean Empire”, does not fit. The answer is “Japan”. The 1877 Dajokan directive is a Japanese administrative document. Read it in terms of which offices considered and answered what issue.</ns0:t>
        </ns0:is>
      </ns0:c>
      <ns0:c r="L202" s="6" t="inlineStr">
        <ns0:is>
          <ns0:t>The selected option, “Joseon”, does not fit. The answer is “Japan”. The 1877 Dajokan directive is a Japanese administrative document. Read it in terms of which offices considered and answered what issue.</ns0:t>
        </ns0:is>
      </ns0:c>
      <ns0:c r="M202" s="6" t="inlineStr">
        <ns0:is>
          <ns0:t>The 1877 Dajokan directive is a Japanese administrative document. Read it in terms of which offices considered and answered what issue.</ns0:t>
        </ns0:is>
      </ns0:c>
      <ns0:c r="N202" s="6" t="inlineStr"/>
      <ns0:c r="O202" s="6" t="inlineStr">
        <ns0:is>
          <ns0:t>https://dokdo.mofa.go.kr/kor/pds/part05_view03.jsp
https://dokdo.mofa.go.kr/kor/include/print_faq.jsp?class_faq=q7</ns0:t>
        </ns0:is>
      </ns0:c>
      <ns0:c r="P202" s="3">
        <ns0:f>LEN(E202)+MAX(LEN(F202),LEN(G202),LEN(H202))</ns0:f>
        <ns0:v>76</ns0:v>
      </ns0:c>
      <ns0:c r="Q202" s="7" t="inlineStr">
        <ns0:is>
          <ns0:t>출처 기반 자체 검토 / 독립 승인 전</ns0:t>
        </ns0:is>
      </ns0:c>
    </ns0:row>
    <ns0:row r="203" ht="98" customHeight="1">
      <ns0:c r="A203" s="4" t="n">
        <ns0:v>910202</ns0:v>
      </ns0:c>
      <ns0:c r="B203" s="4" t="n">
        <ns0:v>11</ns0:v>
      </ns0:c>
      <ns0:c r="C203" s="4" t="inlineStr">
        <ns0:is>
          <ns0:t>dk-dajokan-type</ns0:t>
        </ns0:is>
      </ns0:c>
      <ns0:c r="D203" s="4" t="n">
        <ns0:v>2</ns0:v>
      </ns0:c>
      <ns0:c r="E203" s="8" t="inlineStr">
        <ns0:is>
          <ns0:t>What kind of source is the Dajokan directive?</ns0:t>
        </ns0:is>
      </ns0:c>
      <ns0:c r="F203" s="8" t="inlineStr">
        <ns0:is>
          <ns0:t>A seabird observation table</ns0:t>
        </ns0:is>
      </ns0:c>
      <ns0:c r="G203" s="8" t="inlineStr">
        <ns0:is>
          <ns0:t>An administrative directive responding to an inquiry</ns0:t>
        </ns0:is>
      </ns0:c>
      <ns0:c r="H203" s="8" t="inlineStr">
        <ns0:is>
          <ns0:t>A modern tourism photo</ns0:t>
        </ns0:is>
      </ns0:c>
      <ns0:c r="I203" s="8" t="n">
        <ns0:v>2</ns0:v>
      </ns0:c>
      <ns0:c r="J203" s="8" t="inlineStr">
        <ns0:is>
          <ns0:t>The 1877 Dajokan directive is a Japanese administrative document. Read it in terms of which offices considered and answered what issue.</ns0:t>
        </ns0:is>
      </ns0:c>
      <ns0:c r="K203" s="8" t="inlineStr">
        <ns0:is>
          <ns0:t>The selected option, “A seabird observation table”, does not fit. The answer is “An administrative directive responding to an inquiry”. The 1877 Dajokan directive is a Japanese administrative document. Read it in terms of which offices considered and answered what issue.</ns0:t>
        </ns0:is>
      </ns0:c>
      <ns0:c r="L203" s="8" t="inlineStr">
        <ns0:is>
          <ns0:t>The 1877 Dajokan directive is a Japanese administrative document. Read it in terms of which offices considered and answered what issue.</ns0:t>
        </ns0:is>
      </ns0:c>
      <ns0:c r="M203" s="8" t="inlineStr">
        <ns0:is>
          <ns0:t>The selected option, “A modern tourism photo”, does not fit. The answer is “An administrative directive responding to an inquiry”. The 1877 Dajokan directive is a Japanese administrative document. Read it in terms of which offices considered and answered what issue.</ns0:t>
        </ns0:is>
      </ns0:c>
      <ns0:c r="N203" s="8" t="inlineStr"/>
      <ns0:c r="O203" s="8" t="inlineStr">
        <ns0:is>
          <ns0:t>https://dokdo.mofa.go.kr/kor/pds/part05_view03.jsp
https://dokdo.mofa.go.kr/kor/include/print_faq.jsp?class_faq=q7</ns0:t>
        </ns0:is>
      </ns0:c>
      <ns0:c r="P203" s="5">
        <ns0:f>LEN(E203)+MAX(LEN(F203),LEN(G203),LEN(H203))</ns0:f>
        <ns0:v>97</ns0:v>
      </ns0:c>
      <ns0:c r="Q203" s="9" t="inlineStr">
        <ns0:is>
          <ns0:t>출처 기반 자체 검토 / 독립 승인 전</ns0:t>
        </ns0:is>
      </ns0:c>
    </ns0:row>
    <ns0:row r="204" ht="98" customHeight="1">
      <ns0:c r="A204" s="2" t="n">
        <ns0:v>910203</ns0:v>
      </ns0:c>
      <ns0:c r="B204" s="2" t="n">
        <ns0:v>11</ns0:v>
      </ns0:c>
      <ns0:c r="C204" s="2" t="inlineStr">
        <ns0:is>
          <ns0:t>dk-dajokan-type</ns0:t>
        </ns0:is>
      </ns0:c>
      <ns0:c r="D204" s="2" t="n">
        <ns0:v>3</ns0:v>
      </ns0:c>
      <ns0:c r="E204" s="6" t="inlineStr">
        <ns0:is>
          <ns0:t>What context is identified in the supplied account?</ns0:t>
        </ns0:is>
      </ns0:c>
      <ns0:c r="F204" s="6" t="inlineStr">
        <ns0:is>
          <ns0:t>An inquiry and response concerning land records</ns0:t>
        </ns0:is>
      </ns0:c>
      <ns0:c r="G204" s="6" t="inlineStr">
        <ns0:is>
          <ns0:t>A present-day landing reservation</ns0:t>
        </ns0:is>
      </ns0:c>
      <ns0:c r="H204" s="6" t="inlineStr">
        <ns0:is>
          <ns0:t>A modern sea lion population experiment</ns0:t>
        </ns0:is>
      </ns0:c>
      <ns0:c r="I204" s="6" t="n">
        <ns0:v>1</ns0:v>
      </ns0:c>
      <ns0:c r="J204" s="6" t="inlineStr">
        <ns0:is>
          <ns0:t>The 1877 Dajokan directive is a Japanese administrative document. Read it in terms of which offices considered and answered what issue.</ns0:t>
        </ns0:is>
      </ns0:c>
      <ns0:c r="K204" s="6" t="inlineStr">
        <ns0:is>
          <ns0:t>The 1877 Dajokan directive is a Japanese administrative document. Read it in terms of which offices considered and answered what issue.</ns0:t>
        </ns0:is>
      </ns0:c>
      <ns0:c r="L204" s="6" t="inlineStr">
        <ns0:is>
          <ns0:t>The selected option, “A present-day landing reservation”, does not fit. The answer is “An inquiry and response concerning land records”. The 1877 Dajokan directive is a Japanese administrative document. Read it in terms of which offices considered and answered what issue.</ns0:t>
        </ns0:is>
      </ns0:c>
      <ns0:c r="M204" s="6" t="inlineStr">
        <ns0:is>
          <ns0:t>The selected option, “A modern sea lion population experiment”, does not fit. The answer is “An inquiry and response concerning land records”. The 1877 Dajokan directive is a Japanese administrative document. Read it in terms of which offices considered and answered what issue.</ns0:t>
        </ns0:is>
      </ns0:c>
      <ns0:c r="N204" s="6" t="inlineStr">
        <ns0:is>
          <ns0:t>MOFA discusses an administrative inquiry and response involving the Japanese Home Ministry and Dajokan during land-record compilation. The place-name identification is examined with commentary and an attached map.</ns0:t>
        </ns0:is>
      </ns0:c>
      <ns0:c r="O204" s="6" t="inlineStr">
        <ns0:is>
          <ns0:t>https://dokdo.mofa.go.kr/kor/pds/part05_view03.jsp
https://dokdo.mofa.go.kr/kor/include/print_faq.jsp?class_faq=q7</ns0:t>
        </ns0:is>
      </ns0:c>
      <ns0:c r="P204" s="3">
        <ns0:f>LEN(E204)+MAX(LEN(F204),LEN(G204),LEN(H204))</ns0:f>
        <ns0:v>98</ns0:v>
      </ns0:c>
      <ns0:c r="Q204" s="7" t="inlineStr">
        <ns0:is>
          <ns0:t>출처 기반 자체 검토 / 독립 승인 전</ns0:t>
        </ns0:is>
      </ns0:c>
    </ns0:row>
    <ns0:row r="205" ht="98" customHeight="1">
      <ns0:c r="A205" s="4" t="n">
        <ns0:v>910204</ns0:v>
      </ns0:c>
      <ns0:c r="B205" s="4" t="n">
        <ns0:v>11</ns0:v>
      </ns0:c>
      <ns0:c r="C205" s="4" t="inlineStr">
        <ns0:is>
          <ns0:t>dk-dajokan-type</ns0:t>
        </ns0:is>
      </ns0:c>
      <ns0:c r="D205" s="4" t="n">
        <ns0:v>4</ns0:v>
      </ns0:c>
      <ns0:c r="E205" s="8" t="inlineStr">
        <ns0:is>
          <ns0:t>What is wrong with calling it an international court judgment?</ns0:t>
        </ns0:is>
      </ns0:c>
      <ns0:c r="F205" s="8" t="inlineStr">
        <ns0:is>
          <ns0:t>Every old document is an international judgment</ns0:t>
        </ns0:is>
      </ns0:c>
      <ns0:c r="G205" s="8" t="inlineStr">
        <ns0:is>
          <ns0:t>Administrative documents cannot be historical evidence</ns0:t>
        </ns0:is>
      </ns0:c>
      <ns0:c r="H205" s="8" t="inlineStr">
        <ns0:is>
          <ns0:t>It confuses an internal administrative document with a court ruling</ns0:t>
        </ns0:is>
      </ns0:c>
      <ns0:c r="I205" s="8" t="n">
        <ns0:v>3</ns0:v>
      </ns0:c>
      <ns0:c r="J205" s="8" t="inlineStr">
        <ns0:is>
          <ns0:t>The 1877 Dajokan directive is a Japanese administrative document. Read it in terms of which offices considered and answered what issue.</ns0:t>
        </ns0:is>
      </ns0:c>
      <ns0:c r="K205" s="8" t="inlineStr">
        <ns0:is>
          <ns0:t>The selected option, “Every old document is an international judgment”, does not fit. The answer is “It confuses an internal administrative document with a court ruling”. The 1877 Dajokan directive is a Japanese administrative document. Read it in terms of which offices considered and answered what issue.</ns0:t>
        </ns0:is>
      </ns0:c>
      <ns0:c r="L205" s="8" t="inlineStr">
        <ns0:is>
          <ns0:t>The selected option, “Administrative documents cannot be historical evidence”, does not fit. The answer is “It confuses an internal administrative document with a court ruling”. The 1877 Dajokan directive is a Japanese administrative document. Read it in terms of which offices considered and answered what issue.</ns0:t>
        </ns0:is>
      </ns0:c>
      <ns0:c r="M205" s="8" t="inlineStr">
        <ns0:is>
          <ns0:t>The 1877 Dajokan directive is a Japanese administrative document. Read it in terms of which offices considered and answered what issue.</ns0:t>
        </ns0:is>
      </ns0:c>
      <ns0:c r="N205" s="8" t="inlineStr">
        <ns0:is>
          <ns0:t>MOFA discusses an administrative inquiry and response involving the Japanese Home Ministry and Dajokan during land-record compilation. The place-name identification is examined with commentary and an attached map.</ns0:t>
        </ns0:is>
      </ns0:c>
      <ns0:c r="O205" s="8" t="inlineStr">
        <ns0:is>
          <ns0:t>https://dokdo.mofa.go.kr/kor/pds/part05_view03.jsp
https://dokdo.mofa.go.kr/kor/include/print_faq.jsp?class_faq=q7</ns0:t>
        </ns0:is>
      </ns0:c>
      <ns0:c r="P205" s="5">
        <ns0:f>LEN(E205)+MAX(LEN(F205),LEN(G205),LEN(H205))</ns0:f>
        <ns0:v>129</ns0:v>
      </ns0:c>
      <ns0:c r="Q205" s="9" t="inlineStr">
        <ns0:is>
          <ns0:t>출처 기반 자체 검토 / 독립 승인 전</ns0:t>
        </ns0:is>
      </ns0:c>
    </ns0:row>
    <ns0:row r="206" ht="98" customHeight="1">
      <ns0:c r="A206" s="2" t="n">
        <ns0:v>910205</ns0:v>
      </ns0:c>
      <ns0:c r="B206" s="2" t="n">
        <ns0:v>11</ns0:v>
      </ns0:c>
      <ns0:c r="C206" s="2" t="inlineStr">
        <ns0:is>
          <ns0:t>dk-historic-name-context</ns0:t>
        </ns0:is>
      </ns0:c>
      <ns0:c r="D206" s="2" t="n">
        <ns0:v>1</ns0:v>
      </ns0:c>
      <ns0:c r="E206" s="6" t="inlineStr">
        <ns0:is>
          <ns0:t>Which island does Takeshima mean in the supplied old account?</ns0:t>
        </ns0:is>
      </ns0:c>
      <ns0:c r="F206" s="6" t="inlineStr">
        <ns0:is>
          <ns0:t>Ganghwado</ns0:t>
        </ns0:is>
      </ns0:c>
      <ns0:c r="G206" s="6" t="inlineStr">
        <ns0:is>
          <ns0:t>Ulleungdo</ns0:t>
        </ns0:is>
      </ns0:c>
      <ns0:c r="H206" s="6" t="inlineStr">
        <ns0:is>
          <ns0:t>Jejudo</ns0:t>
        </ns0:is>
      </ns0:c>
      <ns0:c r="I206" s="6" t="n">
        <ns0:v>2</ns0:v>
      </ns0:c>
      <ns0:c r="J206" s="6" t="inlineStr">
        <ns0:is>
          <ns0:t>In some older Japanese records, Takeshima referred to Ulleungdo. A name’s referent must be checked for its time and source.</ns0:t>
        </ns0:is>
      </ns0:c>
      <ns0:c r="K206" s="6" t="inlineStr">
        <ns0:is>
          <ns0:t>The selected option, “Ganghwado”, does not fit. The answer is “Ulleungdo”. In some older Japanese records, Takeshima referred to Ulleungdo. A name’s referent must be checked for its time and source.</ns0:t>
        </ns0:is>
      </ns0:c>
      <ns0:c r="L206" s="6" t="inlineStr">
        <ns0:is>
          <ns0:t>In some older Japanese records, Takeshima referred to Ulleungdo. A name’s referent must be checked for its time and source.</ns0:t>
        </ns0:is>
      </ns0:c>
      <ns0:c r="M206" s="6" t="inlineStr">
        <ns0:is>
          <ns0:t>The selected option, “Jejudo”, does not fit. The answer is “Ulleungdo”. In some older Japanese records, Takeshima referred to Ulleungdo. A name’s referent must be checked for its time and source.</ns0:t>
        </ns0:is>
      </ns0:c>
      <ns0:c r="N206" s="6" t="inlineStr"/>
      <ns0:c r="O206" s="6" t="inlineStr">
        <ns0:is>
          <ns0:t>https://dokdo.mofa.go.kr/m/kor/dokdo/reason_list.jsp
https://dokdo.mofa.go.kr/kor/pds/part05_view03.jsp</ns0:t>
        </ns0:is>
      </ns0:c>
      <ns0:c r="P206" s="3">
        <ns0:f>LEN(E206)+MAX(LEN(F206),LEN(G206),LEN(H206))</ns0:f>
        <ns0:v>70</ns0:v>
      </ns0:c>
      <ns0:c r="Q206" s="7" t="inlineStr">
        <ns0:is>
          <ns0:t>출처 기반 자체 검토 / 독립 승인 전</ns0:t>
        </ns0:is>
      </ns0:c>
    </ns0:row>
    <ns0:row r="207" ht="98" customHeight="1">
      <ns0:c r="A207" s="4" t="n">
        <ns0:v>910206</ns0:v>
      </ns0:c>
      <ns0:c r="B207" s="4" t="n">
        <ns0:v>11</ns0:v>
      </ns0:c>
      <ns0:c r="C207" s="4" t="inlineStr">
        <ns0:is>
          <ns0:t>dk-historic-name-context</ns0:t>
        </ns0:is>
      </ns0:c>
      <ns0:c r="D207" s="4" t="n">
        <ns0:v>2</ns0:v>
      </ns0:c>
      <ns0:c r="E207" s="8" t="inlineStr">
        <ns0:is>
          <ns0:t>What should be checked when identifying an old place name?</ns0:t>
        </ns0:is>
      </ns0:c>
      <ns0:c r="F207" s="8" t="inlineStr">
        <ns0:is>
          <ns0:t>Maps and descriptions from that time</ns0:t>
        </ns0:is>
      </ns0:c>
      <ns0:c r="G207" s="8" t="inlineStr">
        <ns0:is>
          <ns0:t>Only today’s pronunciation</ns0:t>
        </ns0:is>
      </ns0:c>
      <ns0:c r="H207" s="8" t="inlineStr">
        <ns0:is>
          <ns0:t>Only the text colour</ns0:t>
        </ns0:is>
      </ns0:c>
      <ns0:c r="I207" s="8" t="n">
        <ns0:v>1</ns0:v>
      </ns0:c>
      <ns0:c r="J207" s="8" t="inlineStr">
        <ns0:is>
          <ns0:t>In some older Japanese records, Takeshima referred to Ulleungdo. A name’s referent must be checked for its time and source.</ns0:t>
        </ns0:is>
      </ns0:c>
      <ns0:c r="K207" s="8" t="inlineStr">
        <ns0:is>
          <ns0:t>In some older Japanese records, Takeshima referred to Ulleungdo. A name’s referent must be checked for its time and source.</ns0:t>
        </ns0:is>
      </ns0:c>
      <ns0:c r="L207" s="8" t="inlineStr">
        <ns0:is>
          <ns0:t>The selected option, “Only today’s pronunciation”, does not fit. The answer is “Maps and descriptions from that time”. In some older Japanese records, Takeshima referred to Ulleungdo. A name’s referent must be checked for its time and source.</ns0:t>
        </ns0:is>
      </ns0:c>
      <ns0:c r="M207" s="8" t="inlineStr">
        <ns0:is>
          <ns0:t>The selected option, “Only the text colour”, does not fit. The answer is “Maps and descriptions from that time”. In some older Japanese records, Takeshima referred to Ulleungdo. A name’s referent must be checked for its time and source.</ns0:t>
        </ns0:is>
      </ns0:c>
      <ns0:c r="N207" s="8" t="inlineStr"/>
      <ns0:c r="O207" s="8" t="inlineStr">
        <ns0:is>
          <ns0:t>https://dokdo.mofa.go.kr/m/kor/dokdo/reason_list.jsp
https://dokdo.mofa.go.kr/kor/pds/part05_view03.jsp</ns0:t>
        </ns0:is>
      </ns0:c>
      <ns0:c r="P207" s="5">
        <ns0:f>LEN(E207)+MAX(LEN(F207),LEN(G207),LEN(H207))</ns0:f>
        <ns0:v>94</ns0:v>
      </ns0:c>
      <ns0:c r="Q207" s="9" t="inlineStr">
        <ns0:is>
          <ns0:t>출처 기반 자체 검토 / 독립 승인 전</ns0:t>
        </ns0:is>
      </ns0:c>
    </ns0:row>
    <ns0:row r="208" ht="98" customHeight="1">
      <ns0:c r="A208" s="2" t="n">
        <ns0:v>910207</ns0:v>
      </ns0:c>
      <ns0:c r="B208" s="2" t="n">
        <ns0:v>11</ns0:v>
      </ns0:c>
      <ns0:c r="C208" s="2" t="inlineStr">
        <ns0:is>
          <ns0:t>dk-historic-name-context</ns0:t>
        </ns0:is>
      </ns0:c>
      <ns0:c r="D208" s="2" t="n">
        <ns0:v>3</ns0:v>
      </ns0:c>
      <ns0:c r="E208" s="6" t="inlineStr">
        <ns0:is>
          <ns0:t>How is the target island identified in the 1696 entry?</ns0:t>
        </ns0:is>
      </ns0:c>
      <ns0:c r="F208" s="6" t="inlineStr">
        <ns0:is>
          <ns0:t>The Dongdo lighthouse</ns0:t>
        </ns0:is>
      </ns0:c>
      <ns0:c r="G208" s="6" t="inlineStr">
        <ns0:is>
          <ns0:t>Cheonjang Cave</ns0:t>
        </ns0:is>
      </ns0:c>
      <ns0:c r="H208" s="6" t="inlineStr">
        <ns0:is>
          <ns0:t>Takeshima, then referring to Ulleungdo</ns0:t>
        </ns0:is>
      </ns0:c>
      <ns0:c r="I208" s="6" t="n">
        <ns0:v>3</ns0:v>
      </ns0:c>
      <ns0:c r="J208" s="6" t="inlineStr">
        <ns0:is>
          <ns0:t>In some older Japanese records, Takeshima referred to Ulleungdo. A name’s referent must be checked for its time and source.</ns0:t>
        </ns0:is>
      </ns0:c>
      <ns0:c r="K208" s="6" t="inlineStr">
        <ns0:is>
          <ns0:t>The selected option, “The Dongdo lighthouse”, does not fit. The answer is “Takeshima, then referring to Ulleungdo”. In some older Japanese records, Takeshima referred to Ulleungdo. A name’s referent must be checked for its time and source.</ns0:t>
        </ns0:is>
      </ns0:c>
      <ns0:c r="L208" s="6" t="inlineStr">
        <ns0:is>
          <ns0:t>The selected option, “Cheonjang Cave”, does not fit. The answer is “Takeshima, then referring to Ulleungdo”. In some older Japanese records, Takeshima referred to Ulleungdo. A name’s referent must be checked for its time and source.</ns0:t>
        </ns0:is>
      </ns0:c>
      <ns0:c r="M208" s="6" t="inlineStr">
        <ns0:is>
          <ns0:t>In some older Japanese records, Takeshima referred to Ulleungdo. A name’s referent must be checked for its time and source.</ns0:t>
        </ns0:is>
      </ns0:c>
      <ns0:c r="N208" s="6" t="inlineStr">
        <ns0:is>
          <ns0:t>MOFA’s 1696 timeline entry identifies Takeshima as Ulleungdo. Modern name usage should not be imposed on all older records without examining contemporary maps and descriptions.</ns0:t>
        </ns0:is>
      </ns0:c>
      <ns0:c r="O208" s="6" t="inlineStr">
        <ns0:is>
          <ns0:t>https://dokdo.mofa.go.kr/m/kor/dokdo/reason_list.jsp
https://dokdo.mofa.go.kr/kor/pds/part05_view03.jsp</ns0:t>
        </ns0:is>
      </ns0:c>
      <ns0:c r="P208" s="3">
        <ns0:f>LEN(E208)+MAX(LEN(F208),LEN(G208),LEN(H208))</ns0:f>
        <ns0:v>92</ns0:v>
      </ns0:c>
      <ns0:c r="Q208" s="7" t="inlineStr">
        <ns0:is>
          <ns0:t>출처 기반 자체 검토 / 독립 승인 전</ns0:t>
        </ns0:is>
      </ns0:c>
    </ns0:row>
    <ns0:row r="209" ht="98" customHeight="1">
      <ns0:c r="A209" s="4" t="n">
        <ns0:v>910208</ns0:v>
      </ns0:c>
      <ns0:c r="B209" s="4" t="n">
        <ns0:v>11</ns0:v>
      </ns0:c>
      <ns0:c r="C209" s="4" t="inlineStr">
        <ns0:is>
          <ns0:t>dk-historic-name-context</ns0:t>
        </ns0:is>
      </ns0:c>
      <ns0:c r="D209" s="4" t="n">
        <ns0:v>4</ns0:v>
      </ns0:c>
      <ns0:c r="E209" s="8" t="inlineStr">
        <ns0:is>
          <ns0:t>Must a name refer to the same island in every period?</ns0:t>
        </ns0:is>
      </ns0:c>
      <ns0:c r="F209" s="8" t="inlineStr">
        <ns0:is>
          <ns0:t>Old maps cannot aid place-name interpretation</ns0:t>
        </ns0:is>
      </ns0:c>
      <ns0:c r="G209" s="8" t="inlineStr">
        <ns0:is>
          <ns0:t>Check the period, maps and context</ns0:t>
        </ns0:is>
      </ns0:c>
      <ns0:c r="H209" s="8" t="inlineStr">
        <ns0:is>
          <ns0:t>Identical pronunciation rules out changes in reference</ns0:t>
        </ns0:is>
      </ns0:c>
      <ns0:c r="I209" s="8" t="n">
        <ns0:v>2</ns0:v>
      </ns0:c>
      <ns0:c r="J209" s="8" t="inlineStr">
        <ns0:is>
          <ns0:t>In some older Japanese records, Takeshima referred to Ulleungdo. A name’s referent must be checked for its time and source.</ns0:t>
        </ns0:is>
      </ns0:c>
      <ns0:c r="K209" s="8" t="inlineStr">
        <ns0:is>
          <ns0:t>The selected option, “Old maps cannot aid place-name interpretation”, does not fit. The answer is “Check the period, maps and context”. In some older Japanese records, Takeshima referred to Ulleungdo. A name’s referent must be checked for its time and source.</ns0:t>
        </ns0:is>
      </ns0:c>
      <ns0:c r="L209" s="8" t="inlineStr">
        <ns0:is>
          <ns0:t>In some older Japanese records, Takeshima referred to Ulleungdo. A name’s referent must be checked for its time and source.</ns0:t>
        </ns0:is>
      </ns0:c>
      <ns0:c r="M209" s="8" t="inlineStr">
        <ns0:is>
          <ns0:t>The selected option, “Identical pronunciation rules out changes in reference”, does not fit. The answer is “Check the period, maps and context”. In some older Japanese records, Takeshima referred to Ulleungdo. A name’s referent must be checked for its time and source.</ns0:t>
        </ns0:is>
      </ns0:c>
      <ns0:c r="N209" s="8" t="inlineStr">
        <ns0:is>
          <ns0:t>MOFA’s 1696 timeline entry identifies Takeshima as Ulleungdo. Modern name usage should not be imposed on all older records without examining contemporary maps and descriptions.</ns0:t>
        </ns0:is>
      </ns0:c>
      <ns0:c r="O209" s="8" t="inlineStr">
        <ns0:is>
          <ns0:t>https://dokdo.mofa.go.kr/m/kor/dokdo/reason_list.jsp
https://dokdo.mofa.go.kr/kor/pds/part05_view03.jsp</ns0:t>
        </ns0:is>
      </ns0:c>
      <ns0:c r="P209" s="5">
        <ns0:f>LEN(E209)+MAX(LEN(F209),LEN(G209),LEN(H209))</ns0:f>
        <ns0:v>107</ns0:v>
      </ns0:c>
      <ns0:c r="Q209" s="9" t="inlineStr">
        <ns0:is>
          <ns0:t>출처 기반 자체 검토 / 독립 승인 전</ns0:t>
        </ns0:is>
      </ns0:c>
    </ns0:row>
    <ns0:row r="210" ht="98" customHeight="1">
      <ns0:c r="A210" s="2" t="n">
        <ns0:v>910209</ns0:v>
      </ns0:c>
      <ns0:c r="B210" s="2" t="n">
        <ns0:v>11</ns0:v>
      </ns0:c>
      <ns0:c r="C210" s="2" t="inlineStr">
        <ns0:is>
          <ns0:t>dk-map-and-document</ns0:t>
        </ns0:is>
      </ns0:c>
      <ns0:c r="D210" s="2" t="n">
        <ns0:v>1</ns0:v>
      </ns0:c>
      <ns0:c r="E210" s="6" t="inlineStr">
        <ns0:is>
          <ns0:t>What can help interpret island names in an old document?</ns0:t>
        </ns0:is>
      </ns0:c>
      <ns0:c r="F210" s="6" t="inlineStr">
        <ns0:is>
          <ns0:t>Its contemporary attached map</ns0:t>
        </ns0:is>
      </ns0:c>
      <ns0:c r="G210" s="6" t="inlineStr">
        <ns0:is>
          <ns0:t>Only today’s ferry ticket price</ns0:t>
        </ns0:is>
      </ns0:c>
      <ns0:c r="H210" s="6" t="inlineStr">
        <ns0:is>
          <ns0:t>Only lighthouse bulb colour</ns0:t>
        </ns0:is>
      </ns0:c>
      <ns0:c r="I210" s="6" t="n">
        <ns0:v>1</ns0:v>
      </ns0:c>
      <ns0:c r="J210" s="6" t="inlineStr">
        <ns0:is>
          <ns0:t>Dajokan-related materials are examined alongside an attached map to interpret island names and relative locations.</ns0:t>
        </ns0:is>
      </ns0:c>
      <ns0:c r="K210" s="6" t="inlineStr">
        <ns0:is>
          <ns0:t>Dajokan-related materials are examined alongside an attached map to interpret island names and relative locations.</ns0:t>
        </ns0:is>
      </ns0:c>
      <ns0:c r="L210" s="6" t="inlineStr">
        <ns0:is>
          <ns0:t>The selected option, “Only today’s ferry ticket price”, does not fit. The answer is “Its contemporary attached map”. Dajokan-related materials are examined alongside an attached map to interpret island names and relative locations.</ns0:t>
        </ns0:is>
      </ns0:c>
      <ns0:c r="M210" s="6" t="inlineStr">
        <ns0:is>
          <ns0:t>The selected option, “Only lighthouse bulb colour”, does not fit. The answer is “Its contemporary attached map”. Dajokan-related materials are examined alongside an attached map to interpret island names and relative locations.</ns0:t>
        </ns0:is>
      </ns0:c>
      <ns0:c r="N210" s="6" t="inlineStr"/>
      <ns0:c r="O210" s="6" t="inlineStr">
        <ns0:is>
          <ns0:t>https://dokdo.mofa.go.kr/kor/include/print_faq.jsp?class_faq=q7</ns0:t>
        </ns0:is>
      </ns0:c>
      <ns0:c r="P210" s="3">
        <ns0:f>LEN(E210)+MAX(LEN(F210),LEN(G210),LEN(H210))</ns0:f>
        <ns0:v>87</ns0:v>
      </ns0:c>
      <ns0:c r="Q210" s="7" t="inlineStr">
        <ns0:is>
          <ns0:t>출처 기반 자체 검토 / 독립 승인 전</ns0:t>
        </ns0:is>
      </ns0:c>
    </ns0:row>
    <ns0:row r="211" ht="98" customHeight="1">
      <ns0:c r="A211" s="4" t="n">
        <ns0:v>910210</ns0:v>
      </ns0:c>
      <ns0:c r="B211" s="4" t="n">
        <ns0:v>11</ns0:v>
      </ns0:c>
      <ns0:c r="C211" s="4" t="inlineStr">
        <ns0:is>
          <ns0:t>dk-map-and-document</ns0:t>
        </ns0:is>
      </ns0:c>
      <ns0:c r="D211" s="4" t="n">
        <ns0:v>2</ns0:v>
      </ns0:c>
      <ns0:c r="E211" s="8" t="inlineStr">
        <ns0:is>
          <ns0:t>Why read the document and map together?</ns0:t>
        </ns0:is>
      </ns0:c>
      <ns0:c r="F211" s="8" t="inlineStr">
        <ns0:is>
          <ns0:t>To remove both dates</ns0:t>
        </ns0:is>
      </ns0:c>
      <ns0:c r="G211" s="8" t="inlineStr">
        <ns0:is>
          <ns0:t>To increase the island count arbitrarily</ns0:t>
        </ns0:is>
      </ns0:c>
      <ns0:c r="H211" s="8" t="inlineStr">
        <ns0:is>
          <ns0:t>To compare names and relative locations</ns0:t>
        </ns0:is>
      </ns0:c>
      <ns0:c r="I211" s="8" t="n">
        <ns0:v>3</ns0:v>
      </ns0:c>
      <ns0:c r="J211" s="8" t="inlineStr">
        <ns0:is>
          <ns0:t>Dajokan-related materials are examined alongside an attached map to interpret island names and relative locations.</ns0:t>
        </ns0:is>
      </ns0:c>
      <ns0:c r="K211" s="8" t="inlineStr">
        <ns0:is>
          <ns0:t>The selected option, “To remove both dates”, does not fit. The answer is “To compare names and relative locations”. Dajokan-related materials are examined alongside an attached map to interpret island names and relative locations.</ns0:t>
        </ns0:is>
      </ns0:c>
      <ns0:c r="L211" s="8" t="inlineStr">
        <ns0:is>
          <ns0:t>The selected option, “To increase the island count arbitrarily”, does not fit. The answer is “To compare names and relative locations”. Dajokan-related materials are examined alongside an attached map to interpret island names and relative locations.</ns0:t>
        </ns0:is>
      </ns0:c>
      <ns0:c r="M211" s="8" t="inlineStr">
        <ns0:is>
          <ns0:t>Dajokan-related materials are examined alongside an attached map to interpret island names and relative locations.</ns0:t>
        </ns0:is>
      </ns0:c>
      <ns0:c r="N211" s="8" t="inlineStr"/>
      <ns0:c r="O211" s="8" t="inlineStr">
        <ns0:is>
          <ns0:t>https://dokdo.mofa.go.kr/kor/include/print_faq.jsp?class_faq=q7</ns0:t>
        </ns0:is>
      </ns0:c>
      <ns0:c r="P211" s="5">
        <ns0:f>LEN(E211)+MAX(LEN(F211),LEN(G211),LEN(H211))</ns0:f>
        <ns0:v>79</ns0:v>
      </ns0:c>
      <ns0:c r="Q211" s="9" t="inlineStr">
        <ns0:is>
          <ns0:t>출처 기반 자체 검토 / 독립 승인 전</ns0:t>
        </ns0:is>
      </ns0:c>
    </ns0:row>
    <ns0:row r="212" ht="98" customHeight="1">
      <ns0:c r="A212" s="2" t="n">
        <ns0:v>910211</ns0:v>
      </ns0:c>
      <ns0:c r="B212" s="2" t="n">
        <ns0:v>11</ns0:v>
      </ns0:c>
      <ns0:c r="C212" s="2" t="inlineStr">
        <ns0:is>
          <ns0:t>dk-map-and-document</ns0:t>
        </ns0:is>
      </ns0:c>
      <ns0:c r="D212" s="2" t="n">
        <ns0:v>3</ns0:v>
      </ns0:c>
      <ns0:c r="E212" s="6" t="inlineStr">
        <ns0:is>
          <ns0:t>Which features should be cross-checked?</ns0:t>
        </ns0:is>
      </ns0:c>
      <ns0:c r="F212" s="6" t="inlineStr">
        <ns0:is>
          <ns0:t>Only the paper’s brightness</ns0:t>
        </ns0:is>
      </ns0:c>
      <ns0:c r="G212" s="6" t="inlineStr">
        <ns0:is>
          <ns0:t>Names, island count and relative locations</ns0:t>
        </ns0:is>
      </ns0:c>
      <ns0:c r="H212" s="6" t="inlineStr">
        <ns0:is>
          <ns0:t>Only the number of text lines</ns0:t>
        </ns0:is>
      </ns0:c>
      <ns0:c r="I212" s="6" t="n">
        <ns0:v>2</ns0:v>
      </ns0:c>
      <ns0:c r="J212" s="6" t="inlineStr">
        <ns0:is>
          <ns0:t>Dajokan-related materials are examined alongside an attached map to interpret island names and relative locations.</ns0:t>
        </ns0:is>
      </ns0:c>
      <ns0:c r="K212" s="6" t="inlineStr">
        <ns0:is>
          <ns0:t>The selected option, “Only the paper’s brightness”, does not fit. The answer is “Names, island count and relative locations”. Dajokan-related materials are examined alongside an attached map to interpret island names and relative locations.</ns0:t>
        </ns0:is>
      </ns0:c>
      <ns0:c r="L212" s="6" t="inlineStr">
        <ns0:is>
          <ns0:t>Dajokan-related materials are examined alongside an attached map to interpret island names and relative locations.</ns0:t>
        </ns0:is>
      </ns0:c>
      <ns0:c r="M212" s="6" t="inlineStr">
        <ns0:is>
          <ns0:t>The selected option, “Only the number of text lines”, does not fit. The answer is “Names, island count and relative locations”. Dajokan-related materials are examined alongside an attached map to interpret island names and relative locations.</ns0:t>
        </ns0:is>
      </ns0:c>
      <ns0:c r="N212" s="6" t="inlineStr">
        <ns0:is>
          <ns0:t>MOFA presents the attached Kijukudo sketch map in its discussion of the directive. Names, island count and relative placement can be compared with the document.</ns0:t>
        </ns0:is>
      </ns0:c>
      <ns0:c r="O212" s="6" t="inlineStr">
        <ns0:is>
          <ns0:t>https://dokdo.mofa.go.kr/kor/include/print_faq.jsp?class_faq=q7</ns0:t>
        </ns0:is>
      </ns0:c>
      <ns0:c r="P212" s="3">
        <ns0:f>LEN(E212)+MAX(LEN(F212),LEN(G212),LEN(H212))</ns0:f>
        <ns0:v>81</ns0:v>
      </ns0:c>
      <ns0:c r="Q212" s="7" t="inlineStr">
        <ns0:is>
          <ns0:t>출처 기반 자체 검토 / 독립 승인 전</ns0:t>
        </ns0:is>
      </ns0:c>
    </ns0:row>
    <ns0:row r="213" ht="98" customHeight="1">
      <ns0:c r="A213" s="4" t="n">
        <ns0:v>910212</ns0:v>
      </ns0:c>
      <ns0:c r="B213" s="4" t="n">
        <ns0:v>11</ns0:v>
      </ns0:c>
      <ns0:c r="C213" s="4" t="inlineStr">
        <ns0:is>
          <ns0:t>dk-map-and-document</ns0:t>
        </ns0:is>
      </ns0:c>
      <ns0:c r="D213" s="4" t="n">
        <ns0:v>4</ns0:v>
      </ns0:c>
      <ns0:c r="E213" s="8" t="inlineStr">
        <ns0:is>
          <ns0:t>What if a cropped map is given a different label?</ns0:t>
        </ns0:is>
      </ns0:c>
      <ns0:c r="F213" s="8" t="inlineStr">
        <ns0:is>
          <ns0:t>Check the original legend, document and whole layout</ns0:t>
        </ns0:is>
      </ns0:c>
      <ns0:c r="G213" s="8" t="inlineStr">
        <ns0:is>
          <ns0:t>A cropped image is always more accurate</ns0:t>
        </ns0:is>
      </ns0:c>
      <ns0:c r="H213" s="8" t="inlineStr">
        <ns0:is>
          <ns0:t>A new label automatically replaces the original name</ns0:t>
        </ns0:is>
      </ns0:c>
      <ns0:c r="I213" s="8" t="n">
        <ns0:v>1</ns0:v>
      </ns0:c>
      <ns0:c r="J213" s="8" t="inlineStr">
        <ns0:is>
          <ns0:t>Dajokan-related materials are examined alongside an attached map to interpret island names and relative locations.</ns0:t>
        </ns0:is>
      </ns0:c>
      <ns0:c r="K213" s="8" t="inlineStr">
        <ns0:is>
          <ns0:t>Dajokan-related materials are examined alongside an attached map to interpret island names and relative locations.</ns0:t>
        </ns0:is>
      </ns0:c>
      <ns0:c r="L213" s="8" t="inlineStr">
        <ns0:is>
          <ns0:t>The selected option, “A cropped image is always more accurate”, does not fit. The answer is “Check the original legend, document and whole layout”. Dajokan-related materials are examined alongside an attached map to interpret island names and relative locations.</ns0:t>
        </ns0:is>
      </ns0:c>
      <ns0:c r="M213" s="8" t="inlineStr">
        <ns0:is>
          <ns0:t>The selected option, “A new label automatically replaces the original name”, does not fit. The answer is “Check the original legend, document and whole layout”. Dajokan-related materials are examined alongside an attached map to interpret island names and relative locations.</ns0:t>
        </ns0:is>
      </ns0:c>
      <ns0:c r="N213" s="8" t="inlineStr">
        <ns0:is>
          <ns0:t>MOFA presents the attached Kijukudo sketch map in its discussion of the directive. Names, island count and relative placement can be compared with the document.</ns0:t>
        </ns0:is>
      </ns0:c>
      <ns0:c r="O213" s="8" t="inlineStr">
        <ns0:is>
          <ns0:t>https://dokdo.mofa.go.kr/kor/include/print_faq.jsp?class_faq=q7</ns0:t>
        </ns0:is>
      </ns0:c>
      <ns0:c r="P213" s="5">
        <ns0:f>LEN(E213)+MAX(LEN(F213),LEN(G213),LEN(H213))</ns0:f>
        <ns0:v>101</ns0:v>
      </ns0:c>
      <ns0:c r="Q213" s="9" t="inlineStr">
        <ns0:is>
          <ns0:t>출처 기반 자체 검토 / 독립 승인 전</ns0:t>
        </ns0:is>
      </ns0:c>
    </ns0:row>
    <ns0:row r="214" ht="98" customHeight="1">
      <ns0:c r="A214" s="2" t="n">
        <ns0:v>910213</ns0:v>
      </ns0:c>
      <ns0:c r="B214" s="2" t="n">
        <ns0:v>11</ns0:v>
      </ns0:c>
      <ns0:c r="C214" s="2" t="inlineStr">
        <ns0:is>
          <ns0:t>dk-record-types</ns0:t>
        </ns0:is>
      </ns0:c>
      <ns0:c r="D214" s="2" t="n">
        <ns0:v>1</ns0:v>
      </ns0:c>
      <ns0:c r="E214" s="6" t="inlineStr">
        <ns0:is>
          <ns0:t>Which document reports circumstances to higher authorities?</ns0:t>
        </ns0:is>
      </ns0:c>
      <ns0:c r="F214" s="6" t="inlineStr">
        <ns0:is>
          <ns0:t>A ferry ticket</ns0:t>
        </ns0:is>
      </ns0:c>
      <ns0:c r="G214" s="6" t="inlineStr">
        <ns0:is>
          <ns0:t>A lighthouse drawing</ns0:t>
        </ns0:is>
      </ns0:c>
      <ns0:c r="H214" s="6" t="inlineStr">
        <ns0:is>
          <ns0:t>A report</ns0:t>
        </ns0:is>
      </ns0:c>
      <ns0:c r="I214" s="6" t="n">
        <ns0:v>3</ns0:v>
      </ns0:c>
      <ns0:c r="J214" s="6" t="inlineStr">
        <ns0:is>
          <ns0:t>A decree establishes rules, a report conveys circumstances, and a directive instructs action. Dokdo-related documents have distinct functions.</ns0:t>
        </ns0:is>
      </ns0:c>
      <ns0:c r="K214" s="6" t="inlineStr">
        <ns0:is>
          <ns0:t>The selected option, “A ferry ticket”, does not fit. The answer is “A report”. A decree establishes rules, a report conveys circumstances, and a directive instructs action. Dokdo-related documents have distinct functions.</ns0:t>
        </ns0:is>
      </ns0:c>
      <ns0:c r="L214" s="6" t="inlineStr">
        <ns0:is>
          <ns0:t>The selected option, “A lighthouse drawing”, does not fit. The answer is “A report”. A decree establishes rules, a report conveys circumstances, and a directive instructs action. Dokdo-related documents have distinct functions.</ns0:t>
        </ns0:is>
      </ns0:c>
      <ns0:c r="M214" s="6" t="inlineStr">
        <ns0:is>
          <ns0:t>A decree establishes rules, a report conveys circumstances, and a directive instructs action. Dokdo-related documents have distinct functions.</ns0:t>
        </ns0:is>
      </ns0:c>
      <ns0:c r="N214" s="6" t="inlineStr"/>
      <ns0:c r="O214" s="6" t="inlineStr">
        <ns0:is>
          <ns0:t>https://dokdo.mofa.go.kr/kor/pds/part02_view02.jsp
https://dokdo.mofa.go.kr/kor/pds/part02_view04.jsp
https://dokdo.mofa.go.kr/kor/pds/part02_view05.jsp</ns0:t>
        </ns0:is>
      </ns0:c>
      <ns0:c r="P214" s="3">
        <ns0:f>LEN(E214)+MAX(LEN(F214),LEN(G214),LEN(H214))</ns0:f>
        <ns0:v>79</ns0:v>
      </ns0:c>
      <ns0:c r="Q214" s="7" t="inlineStr">
        <ns0:is>
          <ns0:t>출처 기반 자체 검토 / 독립 승인 전</ns0:t>
        </ns0:is>
      </ns0:c>
    </ns0:row>
    <ns0:row r="215" ht="98" customHeight="1">
      <ns0:c r="A215" s="4" t="n">
        <ns0:v>910214</ns0:v>
      </ns0:c>
      <ns0:c r="B215" s="4" t="n">
        <ns0:v>11</ns0:v>
      </ns0:c>
      <ns0:c r="C215" s="4" t="inlineStr">
        <ns0:is>
          <ns0:t>dk-record-types</ns0:t>
        </ns0:is>
      </ns0:c>
      <ns0:c r="D215" s="4" t="n">
        <ns0:v>2</ns0:v>
      </ns0:c>
      <ns0:c r="E215" s="8" t="inlineStr">
        <ns0:is>
          <ns0:t>Which document–function pairing is correct?</ns0:t>
        </ns0:is>
      </ns0:c>
      <ns0:c r="F215" s="8" t="inlineStr">
        <ns0:is>
          <ns0:t>Directive = a rock nickname</ns0:t>
        </ns0:is>
      </ns0:c>
      <ns0:c r="G215" s="8" t="inlineStr">
        <ns0:is>
          <ns0:t>Report = conveying circumstances</ns0:t>
        </ns0:is>
      </ns0:c>
      <ns0:c r="H215" s="8" t="inlineStr">
        <ns0:is>
          <ns0:t>Decree = only a field photograph</ns0:t>
        </ns0:is>
      </ns0:c>
      <ns0:c r="I215" s="8" t="n">
        <ns0:v>2</ns0:v>
      </ns0:c>
      <ns0:c r="J215" s="8" t="inlineStr">
        <ns0:is>
          <ns0:t>A decree establishes rules, a report conveys circumstances, and a directive instructs action. Dokdo-related documents have distinct functions.</ns0:t>
        </ns0:is>
      </ns0:c>
      <ns0:c r="K215" s="8" t="inlineStr">
        <ns0:is>
          <ns0:t>The selected option, “Directive = a rock nickname”, does not fit. The answer is “Report = conveying circumstances”. A decree establishes rules, a report conveys circumstances, and a directive instructs action. Dokdo-related documents have distinct functions.</ns0:t>
        </ns0:is>
      </ns0:c>
      <ns0:c r="L215" s="8" t="inlineStr">
        <ns0:is>
          <ns0:t>A decree establishes rules, a report conveys circumstances, and a directive instructs action. Dokdo-related documents have distinct functions.</ns0:t>
        </ns0:is>
      </ns0:c>
      <ns0:c r="M215" s="8" t="inlineStr">
        <ns0:is>
          <ns0:t>The selected option, “Decree = only a field photograph”, does not fit. The answer is “Report = conveying circumstances”. A decree establishes rules, a report conveys circumstances, and a directive instructs action. Dokdo-related documents have distinct functions.</ns0:t>
        </ns0:is>
      </ns0:c>
      <ns0:c r="N215" s="8" t="inlineStr"/>
      <ns0:c r="O215" s="8" t="inlineStr">
        <ns0:is>
          <ns0:t>https://dokdo.mofa.go.kr/kor/pds/part02_view02.jsp
https://dokdo.mofa.go.kr/kor/pds/part02_view04.jsp
https://dokdo.mofa.go.kr/kor/pds/part02_view05.jsp</ns0:t>
        </ns0:is>
      </ns0:c>
      <ns0:c r="P215" s="5">
        <ns0:f>LEN(E215)+MAX(LEN(F215),LEN(G215),LEN(H215))</ns0:f>
        <ns0:v>75</ns0:v>
      </ns0:c>
      <ns0:c r="Q215" s="9" t="inlineStr">
        <ns0:is>
          <ns0:t>출처 기반 자체 검토 / 독립 승인 전</ns0:t>
        </ns0:is>
      </ns0:c>
    </ns0:row>
    <ns0:row r="216" ht="98" customHeight="1">
      <ns0:c r="A216" s="2" t="n">
        <ns0:v>910215</ns0:v>
      </ns0:c>
      <ns0:c r="B216" s="2" t="n">
        <ns0:v>11</ns0:v>
      </ns0:c>
      <ns0:c r="C216" s="2" t="inlineStr">
        <ns0:is>
          <ns0:t>dk-record-types</ns0:t>
        </ns0:is>
      </ns0:c>
      <ns0:c r="D216" s="2" t="n">
        <ns0:v>3</ns0:v>
      </ns0:c>
      <ns0:c r="E216" s="6" t="inlineStr">
        <ns0:is>
          <ns0:t>How are the three document roles best summarised?</ns0:t>
        </ns0:is>
      </ns0:c>
      <ns0:c r="F216" s="6" t="inlineStr">
        <ns0:is>
          <ns0:t>Setting rules, reporting, directing a response</ns0:t>
        </ns0:is>
      </ns0:c>
      <ns0:c r="G216" s="6" t="inlineStr">
        <ns0:is>
          <ns0:t>Forecasts, fares, animal counts</ns0:t>
        </ns0:is>
      </ns0:c>
      <ns0:c r="H216" s="6" t="inlineStr">
        <ns0:is>
          <ns0:t>One person’s diary entries from one day</ns0:t>
        </ns0:is>
      </ns0:c>
      <ns0:c r="I216" s="6" t="n">
        <ns0:v>1</ns0:v>
      </ns0:c>
      <ns0:c r="J216" s="6" t="inlineStr">
        <ns0:is>
          <ns0:t>A decree establishes rules, a report conveys circumstances, and a directive instructs action. Dokdo-related documents have distinct functions.</ns0:t>
        </ns0:is>
      </ns0:c>
      <ns0:c r="K216" s="6" t="inlineStr">
        <ns0:is>
          <ns0:t>A decree establishes rules, a report conveys circumstances, and a directive instructs action. Dokdo-related documents have distinct functions.</ns0:t>
        </ns0:is>
      </ns0:c>
      <ns0:c r="L216" s="6" t="inlineStr">
        <ns0:is>
          <ns0:t>The selected option, “Forecasts, fares, animal counts”, does not fit. The answer is “Setting rules, reporting, directing a response”. A decree establishes rules, a report conveys circumstances, and a directive instructs action. Dokdo-related documents have distinct functions.</ns0:t>
        </ns0:is>
      </ns0:c>
      <ns0:c r="M216" s="6" t="inlineStr">
        <ns0:is>
          <ns0:t>The selected option, “One person’s diary entries from one day”, does not fit. The answer is “Setting rules, reporting, directing a response”. A decree establishes rules, a report conveys circumstances, and a directive instructs action. Dokdo-related documents have distinct functions.</ns0:t>
        </ns0:is>
      </ns0:c>
      <ns0:c r="N216" s="6" t="inlineStr">
        <ns0:is>
          <ns0:t>Source set: Decree No. 41 establishes an administrative structure; Shim’s 1906 report transmits circumstances; Directive No. 3 rejects a claim and orders further inquiry.</ns0:t>
        </ns0:is>
      </ns0:c>
      <ns0:c r="O216" s="6" t="inlineStr">
        <ns0:is>
          <ns0:t>https://dokdo.mofa.go.kr/kor/pds/part02_view02.jsp
https://dokdo.mofa.go.kr/kor/pds/part02_view04.jsp
https://dokdo.mofa.go.kr/kor/pds/part02_view05.jsp</ns0:t>
        </ns0:is>
      </ns0:c>
      <ns0:c r="P216" s="3">
        <ns0:f>LEN(E216)+MAX(LEN(F216),LEN(G216),LEN(H216))</ns0:f>
        <ns0:v>95</ns0:v>
      </ns0:c>
      <ns0:c r="Q216" s="7" t="inlineStr">
        <ns0:is>
          <ns0:t>출처 기반 자체 검토 / 독립 승인 전</ns0:t>
        </ns0:is>
      </ns0:c>
    </ns0:row>
    <ns0:row r="217" ht="98" customHeight="1">
      <ns0:c r="A217" s="4" t="n">
        <ns0:v>910216</ns0:v>
      </ns0:c>
      <ns0:c r="B217" s="4" t="n">
        <ns0:v>11</ns0:v>
      </ns0:c>
      <ns0:c r="C217" s="4" t="inlineStr">
        <ns0:is>
          <ns0:t>dk-record-types</ns0:t>
        </ns0:is>
      </ns0:c>
      <ns0:c r="D217" s="4" t="n">
        <ns0:v>4</ns0:v>
      </ns0:c>
      <ns0:c r="E217" s="8" t="inlineStr">
        <ns0:is>
          <ns0:t>What is the risk of treating isolated sentences as one identical claim?</ns0:t>
        </ns0:is>
      </ns0:c>
      <ns0:c r="F217" s="8" t="inlineStr">
        <ns0:is>
          <ns0:t>All Dokdo sources have identical functions</ns0:t>
        </ns0:is>
      </ns0:c>
      <ns0:c r="G217" s="8" t="inlineStr">
        <ns0:is>
          <ns0:t>Adding dates permits changing their context</ns0:t>
        </ns0:is>
      </ns0:c>
      <ns0:c r="H217" s="8" t="inlineStr">
        <ns0:is>
          <ns0:t>It may erase differences in author, purpose and context</ns0:t>
        </ns0:is>
      </ns0:c>
      <ns0:c r="I217" s="8" t="n">
        <ns0:v>3</ns0:v>
      </ns0:c>
      <ns0:c r="J217" s="8" t="inlineStr">
        <ns0:is>
          <ns0:t>A decree establishes rules, a report conveys circumstances, and a directive instructs action. Dokdo-related documents have distinct functions.</ns0:t>
        </ns0:is>
      </ns0:c>
      <ns0:c r="K217" s="8" t="inlineStr">
        <ns0:is>
          <ns0:t>The selected option, “All Dokdo sources have identical functions”, does not fit. The answer is “It may erase differences in author, purpose and context”. A decree establishes rules, a report conveys circumstances, and a directive instructs action. Dokdo-related documents have distinct functions.</ns0:t>
        </ns0:is>
      </ns0:c>
      <ns0:c r="L217" s="8" t="inlineStr">
        <ns0:is>
          <ns0:t>The selected option, “Adding dates permits changing their context”, does not fit. The answer is “It may erase differences in author, purpose and context”. A decree establishes rules, a report conveys circumstances, and a directive instructs action. Dokdo-related documents have distinct functions.</ns0:t>
        </ns0:is>
      </ns0:c>
      <ns0:c r="M217" s="8" t="inlineStr">
        <ns0:is>
          <ns0:t>A decree establishes rules, a report conveys circumstances, and a directive instructs action. Dokdo-related documents have distinct functions.</ns0:t>
        </ns0:is>
      </ns0:c>
      <ns0:c r="N217" s="8" t="inlineStr">
        <ns0:is>
          <ns0:t>Source set: Decree No. 41 establishes an administrative structure; Shim’s 1906 report transmits circumstances; Directive No. 3 rejects a claim and orders further inquiry.</ns0:t>
        </ns0:is>
      </ns0:c>
      <ns0:c r="O217" s="8" t="inlineStr">
        <ns0:is>
          <ns0:t>https://dokdo.mofa.go.kr/kor/pds/part02_view02.jsp
https://dokdo.mofa.go.kr/kor/pds/part02_view04.jsp
https://dokdo.mofa.go.kr/kor/pds/part02_view05.jsp</ns0:t>
        </ns0:is>
      </ns0:c>
      <ns0:c r="P217" s="5">
        <ns0:f>LEN(E217)+MAX(LEN(F217),LEN(G217),LEN(H217))</ns0:f>
        <ns0:v>126</ns0:v>
      </ns0:c>
      <ns0:c r="Q217" s="9" t="inlineStr">
        <ns0:is>
          <ns0:t>출처 기반 자체 검토 / 독립 승인 전</ns0:t>
        </ns0:is>
      </ns0:c>
    </ns0:row>
    <ns0:row r="218" ht="98" customHeight="1">
      <ns0:c r="A218" s="2" t="n">
        <ns0:v>910217</ns0:v>
      </ns0:c>
      <ns0:c r="B218" s="2" t="n">
        <ns0:v>11</ns0:v>
      </ns0:c>
      <ns0:c r="C218" s="2" t="inlineStr">
        <ns0:is>
          <ns0:t>dk-authority-and-interpretation</ns0:t>
        </ns0:is>
      </ns0:c>
      <ns0:c r="D218" s="2" t="n">
        <ns0:v>1</ns0:v>
      </ns0:c>
      <ns0:c r="E218" s="6" t="inlineStr">
        <ns0:is>
          <ns0:t>What shows the appearance of the historical wording?</ns0:t>
        </ns0:is>
      </ns0:c>
      <ns0:c r="F218" s="6" t="inlineStr">
        <ns0:is>
          <ns0:t>Today’s comment count</ns0:t>
        </ns0:is>
      </ns0:c>
      <ns0:c r="G218" s="6" t="inlineStr">
        <ns0:is>
          <ns0:t>The original document image</ns0:t>
        </ns0:is>
      </ns0:c>
      <ns0:c r="H218" s="6" t="inlineStr">
        <ns0:is>
          <ns0:t>A modern advertisement headline</ns0:t>
        </ns0:is>
      </ns0:c>
      <ns0:c r="I218" s="6" t="n">
        <ns0:v>2</ns0:v>
      </ns0:c>
      <ns0:c r="J218" s="6" t="inlineStr">
        <ns0:is>
          <ns0:t>When reading Dokdo sources, distinguish historical documents from present commentary and identify who provides an interpretation.</ns0:t>
        </ns0:is>
      </ns0:c>
      <ns0:c r="K218" s="6" t="inlineStr">
        <ns0:is>
          <ns0:t>The selected option, “Today’s comment count”, does not fit. The answer is “The original document image”. When reading Dokdo sources, distinguish historical documents from present commentary and identify who provides an interpretation.</ns0:t>
        </ns0:is>
      </ns0:c>
      <ns0:c r="L218" s="6" t="inlineStr">
        <ns0:is>
          <ns0:t>When reading Dokdo sources, distinguish historical documents from present commentary and identify who provides an interpretation.</ns0:t>
        </ns0:is>
      </ns0:c>
      <ns0:c r="M218" s="6" t="inlineStr">
        <ns0:is>
          <ns0:t>The selected option, “A modern advertisement headline”, does not fit. The answer is “The original document image”. When reading Dokdo sources, distinguish historical documents from present commentary and identify who provides an interpretation.</ns0:t>
        </ns0:is>
      </ns0:c>
      <ns0:c r="N218" s="6" t="inlineStr"/>
      <ns0:c r="O218" s="6" t="inlineStr">
        <ns0:is>
          <ns0:t>https://dokdo.mofa.go.kr/kor/pds/part06_view02.jsp
https://dokdo.mofa.go.kr/kor/pds/part02_view02.jsp
https://dokdo.mofa.go.kr/kor/pds/part05_view03.jsp</ns0:t>
        </ns0:is>
      </ns0:c>
      <ns0:c r="P218" s="3">
        <ns0:f>LEN(E218)+MAX(LEN(F218),LEN(G218),LEN(H218))</ns0:f>
        <ns0:v>83</ns0:v>
      </ns0:c>
      <ns0:c r="Q218" s="7" t="inlineStr">
        <ns0:is>
          <ns0:t>출처 기반 자체 검토 / 독립 승인 전</ns0:t>
        </ns0:is>
      </ns0:c>
    </ns0:row>
    <ns0:row r="219" ht="98" customHeight="1">
      <ns0:c r="A219" s="4" t="n">
        <ns0:v>910218</ns0:v>
      </ns0:c>
      <ns0:c r="B219" s="4" t="n">
        <ns0:v>11</ns0:v>
      </ns0:c>
      <ns0:c r="C219" s="4" t="inlineStr">
        <ns0:is>
          <ns0:t>dk-authority-and-interpretation</ns0:t>
        </ns0:is>
      </ns0:c>
      <ns0:c r="D219" s="4" t="n">
        <ns0:v>2</ns0:v>
      </ns0:c>
      <ns0:c r="E219" s="8" t="inlineStr">
        <ns0:is>
          <ns0:t>Why distinguish an original from commentary?</ns0:t>
        </ns0:is>
      </ns0:c>
      <ns0:c r="F219" s="8" t="inlineStr">
        <ns0:is>
          <ns0:t>To distinguish historical wording from current explanation</ns0:t>
        </ns0:is>
      </ns0:c>
      <ns0:c r="G219" s="8" t="inlineStr">
        <ns0:is>
          <ns0:t>To remove the original whenever commentary exists</ns0:t>
        </ns0:is>
      </ns0:c>
      <ns0:c r="H219" s="8" t="inlineStr">
        <ns0:is>
          <ns0:t>To hide the document date</ns0:t>
        </ns0:is>
      </ns0:c>
      <ns0:c r="I219" s="8" t="n">
        <ns0:v>1</ns0:v>
      </ns0:c>
      <ns0:c r="J219" s="8" t="inlineStr">
        <ns0:is>
          <ns0:t>When reading Dokdo sources, distinguish historical documents from present commentary and identify who provides an interpretation.</ns0:t>
        </ns0:is>
      </ns0:c>
      <ns0:c r="K219" s="8" t="inlineStr">
        <ns0:is>
          <ns0:t>When reading Dokdo sources, distinguish historical documents from present commentary and identify who provides an interpretation.</ns0:t>
        </ns0:is>
      </ns0:c>
      <ns0:c r="L219" s="8" t="inlineStr">
        <ns0:is>
          <ns0:t>The selected option, “To remove the original whenever commentary exists”, does not fit. The answer is “To distinguish historical wording from current explanation”. When reading Dokdo sources, distinguish historical documents from present commentary and identify who provides an interpretation.</ns0:t>
        </ns0:is>
      </ns0:c>
      <ns0:c r="M219" s="8" t="inlineStr">
        <ns0:is>
          <ns0:t>The selected option, “To hide the document date”, does not fit. The answer is “To distinguish historical wording from current explanation”. When reading Dokdo sources, distinguish historical documents from present commentary and identify who provides an interpretation.</ns0:t>
        </ns0:is>
      </ns0:c>
      <ns0:c r="N219" s="8" t="inlineStr"/>
      <ns0:c r="O219" s="8" t="inlineStr">
        <ns0:is>
          <ns0:t>https://dokdo.mofa.go.kr/kor/pds/part06_view02.jsp
https://dokdo.mofa.go.kr/kor/pds/part02_view02.jsp
https://dokdo.mofa.go.kr/kor/pds/part05_view03.jsp</ns0:t>
        </ns0:is>
      </ns0:c>
      <ns0:c r="P219" s="5">
        <ns0:f>LEN(E219)+MAX(LEN(F219),LEN(G219),LEN(H219))</ns0:f>
        <ns0:v>102</ns0:v>
      </ns0:c>
      <ns0:c r="Q219" s="9" t="inlineStr">
        <ns0:is>
          <ns0:t>출처 기반 자체 검토 / 독립 승인 전</ns0:t>
        </ns0:is>
      </ns0:c>
    </ns0:row>
    <ns0:row r="220" ht="98" customHeight="1">
      <ns0:c r="A220" s="2" t="n">
        <ns0:v>910219</ns0:v>
      </ns0:c>
      <ns0:c r="B220" s="2" t="n">
        <ns0:v>11</ns0:v>
      </ns0:c>
      <ns0:c r="C220" s="2" t="inlineStr">
        <ns0:is>
          <ns0:t>dk-authority-and-interpretation</ns0:t>
        </ns0:is>
      </ns0:c>
      <ns0:c r="D220" s="2" t="n">
        <ns0:v>3</ns0:v>
      </ns0:c>
      <ns0:c r="E220" s="6" t="inlineStr">
        <ns0:is>
          <ns0:t>What is the role of a modern place name added in parentheses?</ns0:t>
        </ns0:is>
      </ns0:c>
      <ns0:c r="F220" s="6" t="inlineStr">
        <ns0:is>
          <ns0:t>It is always letter-for-letter original text</ns0:t>
        </ns0:is>
      </ns0:c>
      <ns0:c r="G220" s="6" t="inlineStr">
        <ns0:is>
          <ns0:t>It is a surveyed coastal measurement</ns0:t>
        </ns0:is>
      </ns0:c>
      <ns0:c r="H220" s="6" t="inlineStr">
        <ns0:is>
          <ns0:t>It may be explanatory commentary</ns0:t>
        </ns0:is>
      </ns0:c>
      <ns0:c r="I220" s="6" t="n">
        <ns0:v>3</ns0:v>
      </ns0:c>
      <ns0:c r="J220" s="6" t="inlineStr">
        <ns0:is>
          <ns0:t>When reading Dokdo sources, distinguish historical documents from present commentary and identify who provides an interpretation.</ns0:t>
        </ns0:is>
      </ns0:c>
      <ns0:c r="K220" s="6" t="inlineStr">
        <ns0:is>
          <ns0:t>The selected option, “It is always letter-for-letter original text”, does not fit. The answer is “It may be explanatory commentary”. When reading Dokdo sources, distinguish historical documents from present commentary and identify who provides an interpretation.</ns0:t>
        </ns0:is>
      </ns0:c>
      <ns0:c r="L220" s="6" t="inlineStr">
        <ns0:is>
          <ns0:t>The selected option, “It is a surveyed coastal measurement”, does not fit. The answer is “It may be explanatory commentary”. When reading Dokdo sources, distinguish historical documents from present commentary and identify who provides an interpretation.</ns0:t>
        </ns0:is>
      </ns0:c>
      <ns0:c r="M220" s="6" t="inlineStr">
        <ns0:is>
          <ns0:t>When reading Dokdo sources, distinguish historical documents from present commentary and identify who provides an interpretation.</ns0:t>
        </ns0:is>
      </ns0:c>
      <ns0:c r="N220" s="6" t="inlineStr">
        <ns0:is>
          <ns0:t>MOFA’s archive supplies original images, translations and commentary. These represent historical wording, its rendering, and explanations such as modern place-name identifications.</ns0:t>
        </ns0:is>
      </ns0:c>
      <ns0:c r="O220" s="6" t="inlineStr">
        <ns0:is>
          <ns0:t>https://dokdo.mofa.go.kr/kor/pds/part06_view02.jsp
https://dokdo.mofa.go.kr/kor/pds/part02_view02.jsp
https://dokdo.mofa.go.kr/kor/pds/part05_view03.jsp</ns0:t>
        </ns0:is>
      </ns0:c>
      <ns0:c r="P220" s="3">
        <ns0:f>LEN(E220)+MAX(LEN(F220),LEN(G220),LEN(H220))</ns0:f>
        <ns0:v>105</ns0:v>
      </ns0:c>
      <ns0:c r="Q220" s="7" t="inlineStr">
        <ns0:is>
          <ns0:t>출처 기반 자체 검토 / 독립 승인 전</ns0:t>
        </ns0:is>
      </ns0:c>
    </ns0:row>
    <ns0:row r="221" ht="98" customHeight="1">
      <ns0:c r="A221" s="4" t="n">
        <ns0:v>910220</ns0:v>
      </ns0:c>
      <ns0:c r="B221" s="4" t="n">
        <ns0:v>11</ns0:v>
      </ns0:c>
      <ns0:c r="C221" s="4" t="inlineStr">
        <ns0:is>
          <ns0:t>dk-authority-and-interpretation</ns0:t>
        </ns0:is>
      </ns0:c>
      <ns0:c r="D221" s="4" t="n">
        <ns0:v>4</ns0:v>
      </ns0:c>
      <ns0:c r="E221" s="8" t="inlineStr">
        <ns0:is>
          <ns0:t>How should a commentary’s place-name identification be presented?</ns0:t>
        </ns0:is>
      </ns0:c>
      <ns0:c r="F221" s="8" t="inlineStr">
        <ns0:is>
          <ns0:t>All interpreted sources are unusable</ns0:t>
        </ns0:is>
      </ns0:c>
      <ns0:c r="G221" s="8" t="inlineStr">
        <ns0:is>
          <ns0:t>Identify the interpreting institution and supporting material</ns0:t>
        </ns0:is>
      </ns0:c>
      <ns0:c r="H221" s="8" t="inlineStr">
        <ns0:is>
          <ns0:t>Present absent modern names as original quotations</ns0:t>
        </ns0:is>
      </ns0:c>
      <ns0:c r="I221" s="8" t="n">
        <ns0:v>2</ns0:v>
      </ns0:c>
      <ns0:c r="J221" s="8" t="inlineStr">
        <ns0:is>
          <ns0:t>When reading Dokdo sources, distinguish historical documents from present commentary and identify who provides an interpretation.</ns0:t>
        </ns0:is>
      </ns0:c>
      <ns0:c r="K221" s="8" t="inlineStr">
        <ns0:is>
          <ns0:t>The selected option, “All interpreted sources are unusable”, does not fit. The answer is “Identify the interpreting institution and supporting material”. When reading Dokdo sources, distinguish historical documents from present commentary and identify who provides an interpretation.</ns0:t>
        </ns0:is>
      </ns0:c>
      <ns0:c r="L221" s="8" t="inlineStr">
        <ns0:is>
          <ns0:t>When reading Dokdo sources, distinguish historical documents from present commentary and identify who provides an interpretation.</ns0:t>
        </ns0:is>
      </ns0:c>
      <ns0:c r="M221" s="8" t="inlineStr">
        <ns0:is>
          <ns0:t>The selected option, “Present absent modern names as original quotations”, does not fit. The answer is “Identify the interpreting institution and supporting material”. When reading Dokdo sources, distinguish historical documents from present commentary and identify who provides an interpretation.</ns0:t>
        </ns0:is>
      </ns0:c>
      <ns0:c r="N221" s="8" t="inlineStr">
        <ns0:is>
          <ns0:t>MOFA’s archive supplies original images, translations and commentary. These represent historical wording, its rendering, and explanations such as modern place-name identifications.</ns0:t>
        </ns0:is>
      </ns0:c>
      <ns0:c r="O221" s="8" t="inlineStr">
        <ns0:is>
          <ns0:t>https://dokdo.mofa.go.kr/kor/pds/part06_view02.jsp
https://dokdo.mofa.go.kr/kor/pds/part02_view02.jsp
https://dokdo.mofa.go.kr/kor/pds/part05_view03.jsp</ns0:t>
        </ns0:is>
      </ns0:c>
      <ns0:c r="P221" s="5">
        <ns0:f>LEN(E221)+MAX(LEN(F221),LEN(G221),LEN(H221))</ns0:f>
        <ns0:v>126</ns0:v>
      </ns0:c>
      <ns0:c r="Q221" s="9" t="inlineStr">
        <ns0:is>
          <ns0:t>출처 기반 자체 검토 / 독립 승인 전</ns0:t>
        </ns0:is>
      </ns0:c>
    </ns0:row>
    <ns0:row r="222" ht="98" customHeight="1">
      <ns0:c r="A222" s="2" t="n">
        <ns0:v>910221</ns0:v>
      </ns0:c>
      <ns0:c r="B222" s="2" t="n">
        <ns0:v>12</ns0:v>
      </ns0:c>
      <ns0:c r="C222" s="2" t="inlineStr">
        <ns0:is>
          <ns0:t>dk-weather-access</ns0:t>
        </ns0:is>
      </ns0:c>
      <ns0:c r="D222" s="2" t="n">
        <ns0:v>1</ns0:v>
      </ns0:c>
      <ns0:c r="E222" s="6" t="inlineStr">
        <ns0:is>
          <ns0:t>What can affect whether visitors can land on Dokdo?</ns0:t>
        </ns0:is>
      </ns0:c>
      <ns0:c r="F222" s="6" t="inlineStr">
        <ns0:is>
          <ns0:t>Weather and vessel conditions</ns0:t>
        </ns0:is>
      </ns0:c>
      <ns0:c r="G222" s="6" t="inlineStr">
        <ns0:is>
          <ns0:t>A quiz score</ns0:t>
        </ns0:is>
      </ns0:c>
      <ns0:c r="H222" s="6" t="inlineStr">
        <ns0:is>
          <ns0:t>The length of a visitor’s nickname</ns0:t>
        </ns0:is>
      </ns0:c>
      <ns0:c r="I222" s="6" t="n">
        <ns0:v>1</ns0:v>
      </ns0:c>
      <ns0:c r="J222" s="6" t="inlineStr">
        <ns0:is>
          <ns0:t>Even when a vessel travels to Dokdo, weather or vessel conditions may prevent landing. Current guidance should be checked before a visit.</ns0:t>
        </ns0:is>
      </ns0:c>
      <ns0:c r="K222" s="6" t="inlineStr">
        <ns0:is>
          <ns0:t>Even when a vessel travels to Dokdo, weather or vessel conditions may prevent landing. Current guidance should be checked before a visit.</ns0:t>
        </ns0:is>
      </ns0:c>
      <ns0:c r="L222" s="6" t="inlineStr">
        <ns0:is>
          <ns0:t>The selected option, “A quiz score”, does not fit. The answer is “Weather and vessel conditions”. Even when a vessel travels to Dokdo, weather or vessel conditions may prevent landing. Current guidance should be checked before a visit.</ns0:t>
        </ns0:is>
      </ns0:c>
      <ns0:c r="M222" s="6" t="inlineStr">
        <ns0:is>
          <ns0:t>The selected option, “The length of a visitor’s nickname”, does not fit. The answer is “Weather and vessel conditions”. Even when a vessel travels to Dokdo, weather or vessel conditions may prevent landing. Current guidance should be checked before a visit.</ns0:t>
        </ns0:is>
      </ns0:c>
      <ns0:c r="N222" s="6" t="inlineStr"/>
      <ns0:c r="O222" s="6" t="inlineStr">
        <ns0:is>
          <ns0:t>https://dokdo.mofa.go.kr/kor/introduce/residence.jsp</ns0:t>
        </ns0:is>
      </ns0:c>
      <ns0:c r="P222" s="3">
        <ns0:f>LEN(E222)+MAX(LEN(F222),LEN(G222),LEN(H222))</ns0:f>
        <ns0:v>85</ns0:v>
      </ns0:c>
      <ns0:c r="Q222" s="7" t="inlineStr">
        <ns0:is>
          <ns0:t>출처 기반 자체 검토 / 독립 승인 전</ns0:t>
        </ns0:is>
      </ns0:c>
    </ns0:row>
    <ns0:row r="223" ht="98" customHeight="1">
      <ns0:c r="A223" s="4" t="n">
        <ns0:v>910222</ns0:v>
      </ns0:c>
      <ns0:c r="B223" s="4" t="n">
        <ns0:v>12</ns0:v>
      </ns0:c>
      <ns0:c r="C223" s="4" t="inlineStr">
        <ns0:is>
          <ns0:t>dk-weather-access</ns0:t>
        </ns0:is>
      </ns0:c>
      <ns0:c r="D223" s="4" t="n">
        <ns0:v>2</ns0:v>
      </ns0:c>
      <ns0:c r="E223" s="8" t="inlineStr">
        <ns0:is>
          <ns0:t>What should still be checked after booking a boat?</ns0:t>
        </ns0:is>
      </ns0:c>
      <ns0:c r="F223" s="8" t="inlineStr">
        <ns0:is>
          <ns0:t>The number of letters in Seodo</ns0:t>
        </ns0:is>
      </ns0:c>
      <ns0:c r="G223" s="8" t="inlineStr">
        <ns0:is>
          <ns0:t>The colour of an old decree’s paper</ns0:t>
        </ns0:is>
      </ns0:c>
      <ns0:c r="H223" s="8" t="inlineStr">
        <ns0:is>
          <ns0:t>Weather and current landing guidance</ns0:t>
        </ns0:is>
      </ns0:c>
      <ns0:c r="I223" s="8" t="n">
        <ns0:v>3</ns0:v>
      </ns0:c>
      <ns0:c r="J223" s="8" t="inlineStr">
        <ns0:is>
          <ns0:t>Even when a vessel travels to Dokdo, weather or vessel conditions may prevent landing. Current guidance should be checked before a visit.</ns0:t>
        </ns0:is>
      </ns0:c>
      <ns0:c r="K223" s="8" t="inlineStr">
        <ns0:is>
          <ns0:t>The selected option, “The number of letters in Seodo”, does not fit. The answer is “Weather and current landing guidance”. Even when a vessel travels to Dokdo, weather or vessel conditions may prevent landing. Current guidance should be checked before a visit.</ns0:t>
        </ns0:is>
      </ns0:c>
      <ns0:c r="L223" s="8" t="inlineStr">
        <ns0:is>
          <ns0:t>The selected option, “The colour of an old decree’s paper”, does not fit. The answer is “Weather and current landing guidance”. Even when a vessel travels to Dokdo, weather or vessel conditions may prevent landing. Current guidance should be checked before a visit.</ns0:t>
        </ns0:is>
      </ns0:c>
      <ns0:c r="M223" s="8" t="inlineStr">
        <ns0:is>
          <ns0:t>Even when a vessel travels to Dokdo, weather or vessel conditions may prevent landing. Current guidance should be checked before a visit.</ns0:t>
        </ns0:is>
      </ns0:c>
      <ns0:c r="N223" s="8" t="inlineStr"/>
      <ns0:c r="O223" s="8" t="inlineStr">
        <ns0:is>
          <ns0:t>https://dokdo.mofa.go.kr/kor/introduce/residence.jsp</ns0:t>
        </ns0:is>
      </ns0:c>
      <ns0:c r="P223" s="5">
        <ns0:f>LEN(E223)+MAX(LEN(F223),LEN(G223),LEN(H223))</ns0:f>
        <ns0:v>86</ns0:v>
      </ns0:c>
      <ns0:c r="Q223" s="9" t="inlineStr">
        <ns0:is>
          <ns0:t>출처 기반 자체 검토 / 독립 승인 전</ns0:t>
        </ns0:is>
      </ns0:c>
    </ns0:row>
    <ns0:row r="224" ht="98" customHeight="1">
      <ns0:c r="A224" s="2" t="n">
        <ns0:v>910223</ns0:v>
      </ns0:c>
      <ns0:c r="B224" s="2" t="n">
        <ns0:v>12</ns0:v>
      </ns0:c>
      <ns0:c r="C224" s="2" t="inlineStr">
        <ns0:is>
          <ns0:t>dk-weather-access</ns0:t>
        </ns0:is>
      </ns0:c>
      <ns0:c r="D224" s="2" t="n">
        <ns0:v>3</ns0:v>
      </ns0:c>
      <ns0:c r="E224" s="6" t="inlineStr">
        <ns0:is>
          <ns0:t>Which restrictions are explicitly mentioned?</ns0:t>
        </ns0:is>
      </ns0:c>
      <ns0:c r="F224" s="6" t="inlineStr">
        <ns0:is>
          <ns0:t>The number of bird names</ns0:t>
        </ns0:is>
      </ns0:c>
      <ns0:c r="G224" s="6" t="inlineStr">
        <ns0:is>
          <ns0:t>Weather or vessel conditions</ns0:t>
        </ns0:is>
      </ns0:c>
      <ns0:c r="H224" s="6" t="inlineStr">
        <ns0:is>
          <ns0:t>Daily changes in island elevation</ns0:t>
        </ns0:is>
      </ns0:c>
      <ns0:c r="I224" s="6" t="n">
        <ns0:v>2</ns0:v>
      </ns0:c>
      <ns0:c r="J224" s="6" t="inlineStr">
        <ns0:is>
          <ns0:t>Even when a vessel travels to Dokdo, weather or vessel conditions may prevent landing. Current guidance should be checked before a visit.</ns0:t>
        </ns0:is>
      </ns0:c>
      <ns0:c r="K224" s="6" t="inlineStr">
        <ns0:is>
          <ns0:t>The selected option, “The number of bird names”, does not fit. The answer is “Weather or vessel conditions”. Even when a vessel travels to Dokdo, weather or vessel conditions may prevent landing. Current guidance should be checked before a visit.</ns0:t>
        </ns0:is>
      </ns0:c>
      <ns0:c r="L224" s="6" t="inlineStr">
        <ns0:is>
          <ns0:t>Even when a vessel travels to Dokdo, weather or vessel conditions may prevent landing. Current guidance should be checked before a visit.</ns0:t>
        </ns0:is>
      </ns0:c>
      <ns0:c r="M224" s="6" t="inlineStr">
        <ns0:is>
          <ns0:t>The selected option, “Daily changes in island elevation”, does not fit. The answer is “Weather or vessel conditions”. Even when a vessel travels to Dokdo, weather or vessel conditions may prevent landing. Current guidance should be checked before a visit.</ns0:t>
        </ns0:is>
      </ns0:c>
      <ns0:c r="N224" s="6" t="inlineStr">
        <ns0:is>
          <ns0:t>MOFA’s landing guidance notes restrictions due to weather or vessel conditions. Checked 2026-09-11; actual schedules and permissions require current operator guidance.</ns0:t>
        </ns0:is>
      </ns0:c>
      <ns0:c r="O224" s="6" t="inlineStr">
        <ns0:is>
          <ns0:t>https://dokdo.mofa.go.kr/kor/introduce/residence.jsp</ns0:t>
        </ns0:is>
      </ns0:c>
      <ns0:c r="P224" s="3">
        <ns0:f>LEN(E224)+MAX(LEN(F224),LEN(G224),LEN(H224))</ns0:f>
        <ns0:v>77</ns0:v>
      </ns0:c>
      <ns0:c r="Q224" s="7" t="inlineStr">
        <ns0:is>
          <ns0:t>출처 기반 자체 검토 / 독립 승인 전</ns0:t>
        </ns0:is>
      </ns0:c>
    </ns0:row>
    <ns0:row r="225" ht="98" customHeight="1">
      <ns0:c r="A225" s="4" t="n">
        <ns0:v>910224</ns0:v>
      </ns0:c>
      <ns0:c r="B225" s="4" t="n">
        <ns0:v>12</ns0:v>
      </ns0:c>
      <ns0:c r="C225" s="4" t="inlineStr">
        <ns0:is>
          <ns0:t>dk-weather-access</ns0:t>
        </ns0:is>
      </ns0:c>
      <ns0:c r="D225" s="4" t="n">
        <ns0:v>4</ns0:v>
      </ns0:c>
      <ns0:c r="E225" s="8" t="inlineStr">
        <ns0:is>
          <ns0:t>Does a photo from a past visit guarantee landing tomorrow?</ns0:t>
        </ns0:is>
      </ns0:c>
      <ns0:c r="F225" s="8" t="inlineStr">
        <ns0:is>
          <ns0:t>Current weather, operations and permissions must be checked</ns0:t>
        </ns0:is>
      </ns0:c>
      <ns0:c r="G225" s="8" t="inlineStr">
        <ns0:is>
          <ns0:t>People in a photo imply unrestricted future landing</ns0:t>
        </ns0:is>
      </ns0:c>
      <ns0:c r="H225" s="8" t="inlineStr">
        <ns0:is>
          <ns0:t>A past visit invalidates later restrictions</ns0:t>
        </ns0:is>
      </ns0:c>
      <ns0:c r="I225" s="8" t="n">
        <ns0:v>1</ns0:v>
      </ns0:c>
      <ns0:c r="J225" s="8" t="inlineStr">
        <ns0:is>
          <ns0:t>Even when a vessel travels to Dokdo, weather or vessel conditions may prevent landing. Current guidance should be checked before a visit.</ns0:t>
        </ns0:is>
      </ns0:c>
      <ns0:c r="K225" s="8" t="inlineStr">
        <ns0:is>
          <ns0:t>Even when a vessel travels to Dokdo, weather or vessel conditions may prevent landing. Current guidance should be checked before a visit.</ns0:t>
        </ns0:is>
      </ns0:c>
      <ns0:c r="L225" s="8" t="inlineStr">
        <ns0:is>
          <ns0:t>The selected option, “People in a photo imply unrestricted future landing”, does not fit. The answer is “Current weather, operations and permissions must be checked”. Even when a vessel travels to Dokdo, weather or vessel conditions may prevent landing. Current guidance should be checked before a visit.</ns0:t>
        </ns0:is>
      </ns0:c>
      <ns0:c r="M225" s="8" t="inlineStr">
        <ns0:is>
          <ns0:t>The selected option, “A past visit invalidates later restrictions”, does not fit. The answer is “Current weather, operations and permissions must be checked”. Even when a vessel travels to Dokdo, weather or vessel conditions may prevent landing. Current guidance should be checked before a visit.</ns0:t>
        </ns0:is>
      </ns0:c>
      <ns0:c r="N225" s="8" t="inlineStr">
        <ns0:is>
          <ns0:t>MOFA’s landing guidance notes restrictions due to weather or vessel conditions. Checked 2026-09-11; actual schedules and permissions require current operator guidance.</ns0:t>
        </ns0:is>
      </ns0:c>
      <ns0:c r="O225" s="8" t="inlineStr">
        <ns0:is>
          <ns0:t>https://dokdo.mofa.go.kr/kor/introduce/residence.jsp</ns0:t>
        </ns0:is>
      </ns0:c>
      <ns0:c r="P225" s="5">
        <ns0:f>LEN(E225)+MAX(LEN(F225),LEN(G225),LEN(H225))</ns0:f>
        <ns0:v>117</ns0:v>
      </ns0:c>
      <ns0:c r="Q225" s="9" t="inlineStr">
        <ns0:is>
          <ns0:t>출처 기반 자체 검토 / 독립 승인 전</ns0:t>
        </ns0:is>
      </ns0:c>
    </ns0:row>
    <ns0:row r="226" ht="98" customHeight="1">
      <ns0:c r="A226" s="2" t="n">
        <ns0:v>910225</ns0:v>
      </ns0:c>
      <ns0:c r="B226" s="2" t="n">
        <ns0:v>12</ns0:v>
      </ns0:c>
      <ns0:c r="C226" s="2" t="inlineStr">
        <ns0:is>
          <ns0:t>dk-maritime-climate</ns0:t>
        </ns0:is>
      </ns0:c>
      <ns0:c r="D226" s="2" t="n">
        <ns0:v>1</ns0:v>
      </ns0:c>
      <ns0:c r="E226" s="6" t="inlineStr">
        <ns0:is>
          <ns0:t>What surrounding environment strongly influences Dokdo’s climate?</ns0:t>
        </ns0:is>
      </ns0:c>
      <ns0:c r="F226" s="6" t="inlineStr">
        <ns0:is>
          <ns0:t>An inland desert</ns0:t>
        </ns0:is>
      </ns0:c>
      <ns0:c r="G226" s="6" t="inlineStr">
        <ns0:is>
          <ns0:t>A large freshwater lake</ns0:t>
        </ns0:is>
      </ns0:c>
      <ns0:c r="H226" s="6" t="inlineStr">
        <ns0:is>
          <ns0:t>The sea</ns0:t>
        </ns0:is>
      </ns0:c>
      <ns0:c r="I226" s="6" t="n">
        <ns0:v>3</ns0:v>
      </ns0:c>
      <ns0:c r="J226" s="6" t="inlineStr">
        <ns0:is>
          <ns0:t>Dokdo has an ocean-influenced maritime climate, with frequent fog and clouds affecting its appearance.</ns0:t>
        </ns0:is>
      </ns0:c>
      <ns0:c r="K226" s="6" t="inlineStr">
        <ns0:is>
          <ns0:t>The selected option, “An inland desert”, does not fit. The answer is “The sea”. Dokdo has an ocean-influenced maritime climate, with frequent fog and clouds affecting its appearance.</ns0:t>
        </ns0:is>
      </ns0:c>
      <ns0:c r="L226" s="6" t="inlineStr">
        <ns0:is>
          <ns0:t>The selected option, “A large freshwater lake”, does not fit. The answer is “The sea”. Dokdo has an ocean-influenced maritime climate, with frequent fog and clouds affecting its appearance.</ns0:t>
        </ns0:is>
      </ns0:c>
      <ns0:c r="M226" s="6" t="inlineStr">
        <ns0:is>
          <ns0:t>Dokdo has an ocean-influenced maritime climate, with frequent fog and clouds affecting its appearance.</ns0:t>
        </ns0:is>
      </ns0:c>
      <ns0:c r="N226" s="6" t="inlineStr"/>
      <ns0:c r="O226" s="6" t="inlineStr">
        <ns0:is>
          <ns0:t>https://dokdo.mofa.go.kr/kor/introduce/nature.jsp</ns0:t>
        </ns0:is>
      </ns0:c>
      <ns0:c r="P226" s="3">
        <ns0:f>LEN(E226)+MAX(LEN(F226),LEN(G226),LEN(H226))</ns0:f>
        <ns0:v>88</ns0:v>
      </ns0:c>
      <ns0:c r="Q226" s="7" t="inlineStr">
        <ns0:is>
          <ns0:t>출처 기반 자체 검토 / 독립 승인 전</ns0:t>
        </ns0:is>
      </ns0:c>
    </ns0:row>
    <ns0:row r="227" ht="98" customHeight="1">
      <ns0:c r="A227" s="4" t="n">
        <ns0:v>910226</ns0:v>
      </ns0:c>
      <ns0:c r="B227" s="4" t="n">
        <ns0:v>12</ns0:v>
      </ns0:c>
      <ns0:c r="C227" s="4" t="inlineStr">
        <ns0:is>
          <ns0:t>dk-maritime-climate</ns0:t>
        </ns0:is>
      </ns0:c>
      <ns0:c r="D227" s="4" t="n">
        <ns0:v>2</ns0:v>
      </ns0:c>
      <ns0:c r="E227" s="8" t="inlineStr">
        <ns0:is>
          <ns0:t>What may change when Dokdo is foggy?</ns0:t>
        </ns0:is>
      </ns0:c>
      <ns0:c r="F227" s="8" t="inlineStr">
        <ns0:is>
          <ns0:t>The decree’s year</ns0:t>
        </ns0:is>
      </ns0:c>
      <ns0:c r="G227" s="8" t="inlineStr">
        <ns0:is>
          <ns0:t>How clearly the islands can be seen</ns0:t>
        </ns0:is>
      </ns0:c>
      <ns0:c r="H227" s="8" t="inlineStr">
        <ns0:is>
          <ns0:t>Dongdo’s official name</ns0:t>
        </ns0:is>
      </ns0:c>
      <ns0:c r="I227" s="8" t="n">
        <ns0:v>2</ns0:v>
      </ns0:c>
      <ns0:c r="J227" s="8" t="inlineStr">
        <ns0:is>
          <ns0:t>Dokdo has an ocean-influenced maritime climate, with frequent fog and clouds affecting its appearance.</ns0:t>
        </ns0:is>
      </ns0:c>
      <ns0:c r="K227" s="8" t="inlineStr">
        <ns0:is>
          <ns0:t>The selected option, “The decree’s year”, does not fit. The answer is “How clearly the islands can be seen”. Dokdo has an ocean-influenced maritime climate, with frequent fog and clouds affecting its appearance.</ns0:t>
        </ns0:is>
      </ns0:c>
      <ns0:c r="L227" s="8" t="inlineStr">
        <ns0:is>
          <ns0:t>Dokdo has an ocean-influenced maritime climate, with frequent fog and clouds affecting its appearance.</ns0:t>
        </ns0:is>
      </ns0:c>
      <ns0:c r="M227" s="8" t="inlineStr">
        <ns0:is>
          <ns0:t>The selected option, “Dongdo’s official name”, does not fit. The answer is “How clearly the islands can be seen”. Dokdo has an ocean-influenced maritime climate, with frequent fog and clouds affecting its appearance.</ns0:t>
        </ns0:is>
      </ns0:c>
      <ns0:c r="N227" s="8" t="inlineStr"/>
      <ns0:c r="O227" s="8" t="inlineStr">
        <ns0:is>
          <ns0:t>https://dokdo.mofa.go.kr/kor/introduce/nature.jsp</ns0:t>
        </ns0:is>
      </ns0:c>
      <ns0:c r="P227" s="5">
        <ns0:f>LEN(E227)+MAX(LEN(F227),LEN(G227),LEN(H227))</ns0:f>
        <ns0:v>71</ns0:v>
      </ns0:c>
      <ns0:c r="Q227" s="9" t="inlineStr">
        <ns0:is>
          <ns0:t>출처 기반 자체 검토 / 독립 승인 전</ns0:t>
        </ns0:is>
      </ns0:c>
    </ns0:row>
    <ns0:row r="228" ht="98" customHeight="1">
      <ns0:c r="A228" s="2" t="n">
        <ns0:v>910227</ns0:v>
      </ns0:c>
      <ns0:c r="B228" s="2" t="n">
        <ns0:v>12</ns0:v>
      </ns0:c>
      <ns0:c r="C228" s="2" t="inlineStr">
        <ns0:is>
          <ns0:t>dk-maritime-climate</ns0:t>
        </ns0:is>
      </ns0:c>
      <ns0:c r="D228" s="2" t="n">
        <ns0:v>3</ns0:v>
      </ns0:c>
      <ns0:c r="E228" s="6" t="inlineStr">
        <ns0:is>
          <ns0:t>How does the climate description relate to today’s weather?</ns0:t>
        </ns0:is>
      </ns0:c>
      <ns0:c r="F228" s="6" t="inlineStr">
        <ns0:is>
          <ns0:t>Long-term patterns and today’s observations differ</ns0:t>
        </ns0:is>
      </ns0:c>
      <ns0:c r="G228" s="6" t="inlineStr">
        <ns0:is>
          <ns0:t>A maritime climate means identical weather daily</ns0:t>
        </ns0:is>
      </ns0:c>
      <ns0:c r="H228" s="6" t="inlineStr">
        <ns0:is>
          <ns0:t>Frequent fog makes clear days impossible</ns0:t>
        </ns0:is>
      </ns0:c>
      <ns0:c r="I228" s="6" t="n">
        <ns0:v>1</ns0:v>
      </ns0:c>
      <ns0:c r="J228" s="6" t="inlineStr">
        <ns0:is>
          <ns0:t>Dokdo has an ocean-influenced maritime climate, with frequent fog and clouds affecting its appearance.</ns0:t>
        </ns0:is>
      </ns0:c>
      <ns0:c r="K228" s="6" t="inlineStr">
        <ns0:is>
          <ns0:t>Dokdo has an ocean-influenced maritime climate, with frequent fog and clouds affecting its appearance.</ns0:t>
        </ns0:is>
      </ns0:c>
      <ns0:c r="L228" s="6" t="inlineStr">
        <ns0:is>
          <ns0:t>The selected option, “A maritime climate means identical weather daily”, does not fit. The answer is “Long-term patterns and today’s observations differ”. Dokdo has an ocean-influenced maritime climate, with frequent fog and clouds affecting its appearance.</ns0:t>
        </ns0:is>
      </ns0:c>
      <ns0:c r="M228" s="6" t="inlineStr">
        <ns0:is>
          <ns0:t>The selected option, “Frequent fog makes clear days impossible”, does not fit. The answer is “Long-term patterns and today’s observations differ”. Dokdo has an ocean-influenced maritime climate, with frequent fog and clouds affecting its appearance.</ns0:t>
        </ns0:is>
      </ns0:c>
      <ns0:c r="N228" s="6" t="inlineStr">
        <ns0:is>
          <ns0:t>MOFA describes a maritime climate and frequent fog and cloudy conditions. Climate concerns longer-term patterns, while today’s weather requires current observations.</ns0:t>
        </ns0:is>
      </ns0:c>
      <ns0:c r="O228" s="6" t="inlineStr">
        <ns0:is>
          <ns0:t>https://dokdo.mofa.go.kr/kor/introduce/nature.jsp</ns0:t>
        </ns0:is>
      </ns0:c>
      <ns0:c r="P228" s="3">
        <ns0:f>LEN(E228)+MAX(LEN(F228),LEN(G228),LEN(H228))</ns0:f>
        <ns0:v>109</ns0:v>
      </ns0:c>
      <ns0:c r="Q228" s="7" t="inlineStr">
        <ns0:is>
          <ns0:t>출처 기반 자체 검토 / 독립 승인 전</ns0:t>
        </ns0:is>
      </ns0:c>
    </ns0:row>
    <ns0:row r="229" ht="98" customHeight="1">
      <ns0:c r="A229" s="4" t="n">
        <ns0:v>910228</ns0:v>
      </ns0:c>
      <ns0:c r="B229" s="4" t="n">
        <ns0:v>12</ns0:v>
      </ns0:c>
      <ns0:c r="C229" s="4" t="inlineStr">
        <ns0:is>
          <ns0:t>dk-maritime-climate</ns0:t>
        </ns0:is>
      </ns0:c>
      <ns0:c r="D229" s="4" t="n">
        <ns0:v>4</ns0:v>
      </ns0:c>
      <ns0:c r="E229" s="8" t="inlineStr">
        <ns0:is>
          <ns0:t>Can one clear photo establish that Dokdo is always clear?</ns0:t>
        </ns0:is>
      </ns0:c>
      <ns0:c r="F229" s="8" t="inlineStr">
        <ns0:is>
          <ns0:t>A Dokdo photo always displays annual averages</ns0:t>
        </ns0:is>
      </ns0:c>
      <ns0:c r="G229" s="8" t="inlineStr">
        <ns0:is>
          <ns0:t>A climate description makes observations unnecessary</ns0:t>
        </ns0:is>
      </ns0:c>
      <ns0:c r="H229" s="8" t="inlineStr">
        <ns0:is>
          <ns0:t>It confuses one moment with long-term climate</ns0:t>
        </ns0:is>
      </ns0:c>
      <ns0:c r="I229" s="8" t="n">
        <ns0:v>3</ns0:v>
      </ns0:c>
      <ns0:c r="J229" s="8" t="inlineStr">
        <ns0:is>
          <ns0:t>Dokdo has an ocean-influenced maritime climate, with frequent fog and clouds affecting its appearance.</ns0:t>
        </ns0:is>
      </ns0:c>
      <ns0:c r="K229" s="8" t="inlineStr">
        <ns0:is>
          <ns0:t>The selected option, “A Dokdo photo always displays annual averages”, does not fit. The answer is “It confuses one moment with long-term climate”. Dokdo has an ocean-influenced maritime climate, with frequent fog and clouds affecting its appearance.</ns0:t>
        </ns0:is>
      </ns0:c>
      <ns0:c r="L229" s="8" t="inlineStr">
        <ns0:is>
          <ns0:t>The selected option, “A climate description makes observations unnecessary”, does not fit. The answer is “It confuses one moment with long-term climate”. Dokdo has an ocean-influenced maritime climate, with frequent fog and clouds affecting its appearance.</ns0:t>
        </ns0:is>
      </ns0:c>
      <ns0:c r="M229" s="8" t="inlineStr">
        <ns0:is>
          <ns0:t>Dokdo has an ocean-influenced maritime climate, with frequent fog and clouds affecting its appearance.</ns0:t>
        </ns0:is>
      </ns0:c>
      <ns0:c r="N229" s="8" t="inlineStr">
        <ns0:is>
          <ns0:t>MOFA describes a maritime climate and frequent fog and cloudy conditions. Climate concerns longer-term patterns, while today’s weather requires current observations.</ns0:t>
        </ns0:is>
      </ns0:c>
      <ns0:c r="O229" s="8" t="inlineStr">
        <ns0:is>
          <ns0:t>https://dokdo.mofa.go.kr/kor/introduce/nature.jsp</ns0:t>
        </ns0:is>
      </ns0:c>
      <ns0:c r="P229" s="5">
        <ns0:f>LEN(E229)+MAX(LEN(F229),LEN(G229),LEN(H229))</ns0:f>
        <ns0:v>109</ns0:v>
      </ns0:c>
      <ns0:c r="Q229" s="9" t="inlineStr">
        <ns0:is>
          <ns0:t>출처 기반 자체 검토 / 독립 승인 전</ns0:t>
        </ns0:is>
      </ns0:c>
    </ns0:row>
    <ns0:row r="230" ht="98" customHeight="1">
      <ns0:c r="A230" s="2" t="n">
        <ns0:v>910229</ns0:v>
      </ns0:c>
      <ns0:c r="B230" s="2" t="n">
        <ns0:v>12</ns0:v>
      </ns0:c>
      <ns0:c r="C230" s="2" t="inlineStr">
        <ns0:is>
          <ns0:t>dk-admin-address</ns0:t>
        </ns0:is>
      </ns0:c>
      <ns0:c r="D230" s="2" t="n">
        <ns0:v>1</ns0:v>
      </ns0:c>
      <ns0:c r="E230" s="6" t="inlineStr">
        <ns0:is>
          <ns0:t>Which county includes Dokdo?</ns0:t>
        </ns0:is>
      </ns0:c>
      <ns0:c r="F230" s="6" t="inlineStr">
        <ns0:is>
          <ns0:t>Ulju-gun</ns0:t>
        </ns0:is>
      </ns0:c>
      <ns0:c r="G230" s="6" t="inlineStr">
        <ns0:is>
          <ns0:t>Ulleung-gun</ns0:t>
        </ns0:is>
      </ns0:c>
      <ns0:c r="H230" s="6" t="inlineStr">
        <ns0:is>
          <ns0:t>Uljin-gun</ns0:t>
        </ns0:is>
      </ns0:c>
      <ns0:c r="I230" s="6" t="n">
        <ns0:v>2</ns0:v>
      </ns0:c>
      <ns0:c r="J230" s="6" t="inlineStr">
        <ns0:is>
          <ns0:t>Dokdo’s addresses are within Ulleung-eup, Ulleung-gun, Gyeongsangbuk-do. Dongdo and Seodo have different road addresses.</ns0:t>
        </ns0:is>
      </ns0:c>
      <ns0:c r="K230" s="6" t="inlineStr">
        <ns0:is>
          <ns0:t>The selected option, “Ulju-gun”, does not fit. The answer is “Ulleung-gun”. Dokdo’s addresses are within Ulleung-eup, Ulleung-gun, Gyeongsangbuk-do. Dongdo and Seodo have different road addresses.</ns0:t>
        </ns0:is>
      </ns0:c>
      <ns0:c r="L230" s="6" t="inlineStr">
        <ns0:is>
          <ns0:t>Dokdo’s addresses are within Ulleung-eup, Ulleung-gun, Gyeongsangbuk-do. Dongdo and Seodo have different road addresses.</ns0:t>
        </ns0:is>
      </ns0:c>
      <ns0:c r="M230" s="6" t="inlineStr">
        <ns0:is>
          <ns0:t>The selected option, “Uljin-gun”, does not fit. The answer is “Ulleung-gun”. Dokdo’s addresses are within Ulleung-eup, Ulleung-gun, Gyeongsangbuk-do. Dongdo and Seodo have different road addresses.</ns0:t>
        </ns0:is>
      </ns0:c>
      <ns0:c r="N230" s="6" t="inlineStr"/>
      <ns0:c r="O230" s="6" t="inlineStr">
        <ns0:is>
          <ns0:t>https://www.mof.go.kr/doc/ko/selectDoc.do?bbsSeq=27&amp;docSeq=20937&amp;menuSeq=929</ns0:t>
        </ns0:is>
      </ns0:c>
      <ns0:c r="P230" s="3">
        <ns0:f>LEN(E230)+MAX(LEN(F230),LEN(G230),LEN(H230))</ns0:f>
        <ns0:v>39</ns0:v>
      </ns0:c>
      <ns0:c r="Q230" s="7" t="inlineStr">
        <ns0:is>
          <ns0:t>출처 기반 자체 검토 / 독립 승인 전</ns0:t>
        </ns0:is>
      </ns0:c>
    </ns0:row>
    <ns0:row r="231" ht="98" customHeight="1">
      <ns0:c r="A231" s="4" t="n">
        <ns0:v>910230</ns0:v>
      </ns0:c>
      <ns0:c r="B231" s="4" t="n">
        <ns0:v>12</ns0:v>
      </ns0:c>
      <ns0:c r="C231" s="4" t="inlineStr">
        <ns0:is>
          <ns0:t>dk-admin-address</ns0:t>
        </ns0:is>
      </ns0:c>
      <ns0:c r="D231" s="4" t="n">
        <ns0:v>2</ns0:v>
      </ns0:c>
      <ns0:c r="E231" s="8" t="inlineStr">
        <ns0:is>
          <ns0:t>Which facility is linked to Dokdoanyongbok-gil?</ns0:t>
        </ns0:is>
      </ns0:c>
      <ns0:c r="F231" s="8" t="inlineStr">
        <ns0:is>
          <ns0:t>Seodo’s residence</ns0:t>
        </ns0:is>
      </ns0:c>
      <ns0:c r="G231" s="8" t="inlineStr">
        <ns0:is>
          <ns0:t>Dongdo’s lighthouse</ns0:t>
        </ns0:is>
      </ns0:c>
      <ns0:c r="H231" s="8" t="inlineStr">
        <ns0:is>
          <ns0:t>Dongdo’s police facility</ns0:t>
        </ns0:is>
      </ns0:c>
      <ns0:c r="I231" s="8" t="n">
        <ns0:v>1</ns0:v>
      </ns0:c>
      <ns0:c r="J231" s="8" t="inlineStr">
        <ns0:is>
          <ns0:t>Dokdo’s addresses are within Ulleung-eup, Ulleung-gun, Gyeongsangbuk-do. Dongdo and Seodo have different road addresses.</ns0:t>
        </ns0:is>
      </ns0:c>
      <ns0:c r="K231" s="8" t="inlineStr">
        <ns0:is>
          <ns0:t>Dokdo’s addresses are within Ulleung-eup, Ulleung-gun, Gyeongsangbuk-do. Dongdo and Seodo have different road addresses.</ns0:t>
        </ns0:is>
      </ns0:c>
      <ns0:c r="L231" s="8" t="inlineStr">
        <ns0:is>
          <ns0:t>The selected option, “Dongdo’s lighthouse”, does not fit. The answer is “Seodo’s residence”. Dokdo’s addresses are within Ulleung-eup, Ulleung-gun, Gyeongsangbuk-do. Dongdo and Seodo have different road addresses.</ns0:t>
        </ns0:is>
      </ns0:c>
      <ns0:c r="M231" s="8" t="inlineStr">
        <ns0:is>
          <ns0:t>The selected option, “Dongdo’s police facility”, does not fit. The answer is “Seodo’s residence”. Dokdo’s addresses are within Ulleung-eup, Ulleung-gun, Gyeongsangbuk-do. Dongdo and Seodo have different road addresses.</ns0:t>
        </ns0:is>
      </ns0:c>
      <ns0:c r="N231" s="8" t="inlineStr"/>
      <ns0:c r="O231" s="8" t="inlineStr">
        <ns0:is>
          <ns0:t>https://www.mof.go.kr/doc/ko/selectDoc.do?bbsSeq=27&amp;docSeq=20937&amp;menuSeq=929</ns0:t>
        </ns0:is>
      </ns0:c>
      <ns0:c r="P231" s="5">
        <ns0:f>LEN(E231)+MAX(LEN(F231),LEN(G231),LEN(H231))</ns0:f>
        <ns0:v>71</ns0:v>
      </ns0:c>
      <ns0:c r="Q231" s="9" t="inlineStr">
        <ns0:is>
          <ns0:t>출처 기반 자체 검토 / 독립 승인 전</ns0:t>
        </ns0:is>
      </ns0:c>
    </ns0:row>
    <ns0:row r="232" ht="98" customHeight="1">
      <ns0:c r="A232" s="2" t="n">
        <ns0:v>910231</ns0:v>
      </ns0:c>
      <ns0:c r="B232" s="2" t="n">
        <ns0:v>12</ns0:v>
      </ns0:c>
      <ns0:c r="C232" s="2" t="inlineStr">
        <ns0:is>
          <ns0:t>dk-admin-address</ns0:t>
        </ns0:is>
      </ns0:c>
      <ns0:c r="D232" s="2" t="n">
        <ns0:v>3</ns0:v>
      </ns0:c>
      <ns0:c r="E232" s="6" t="inlineStr">
        <ns0:is>
          <ns0:t>Which two facilities does the guide place on Dongdo?</ns0:t>
        </ns0:is>
      </ns0:c>
      <ns0:c r="F232" s="6" t="inlineStr">
        <ns0:is>
          <ns0:t>Residence and Mulgol</ns0:t>
        </ns0:is>
      </ns0:c>
      <ns0:c r="G232" s="6" t="inlineStr">
        <ns0:is>
          <ns0:t>Ulleungdo harbour and Seodo’s summit</ns0:t>
        </ns0:is>
      </ns0:c>
      <ns0:c r="H232" s="6" t="inlineStr">
        <ns0:is>
          <ns0:t>Police facility and lighthouse</ns0:t>
        </ns0:is>
      </ns0:c>
      <ns0:c r="I232" s="6" t="n">
        <ns0:v>3</ns0:v>
      </ns0:c>
      <ns0:c r="J232" s="6" t="inlineStr">
        <ns0:is>
          <ns0:t>Dokdo’s addresses are within Ulleung-eup, Ulleung-gun, Gyeongsangbuk-do. Dongdo and Seodo have different road addresses.</ns0:t>
        </ns0:is>
      </ns0:c>
      <ns0:c r="K232" s="6" t="inlineStr">
        <ns0:is>
          <ns0:t>The selected option, “Residence and Mulgol”, does not fit. The answer is “Police facility and lighthouse”. Dokdo’s addresses are within Ulleung-eup, Ulleung-gun, Gyeongsangbuk-do. Dongdo and Seodo have different road addresses.</ns0:t>
        </ns0:is>
      </ns0:c>
      <ns0:c r="L232" s="6" t="inlineStr">
        <ns0:is>
          <ns0:t>The selected option, “Ulleungdo harbour and Seodo’s summit”, does not fit. The answer is “Police facility and lighthouse”. Dokdo’s addresses are within Ulleung-eup, Ulleung-gun, Gyeongsangbuk-do. Dongdo and Seodo have different road addresses.</ns0:t>
        </ns0:is>
      </ns0:c>
      <ns0:c r="M232" s="6" t="inlineStr">
        <ns0:is>
          <ns0:t>Dokdo’s addresses are within Ulleung-eup, Ulleung-gun, Gyeongsangbuk-do. Dongdo and Seodo have different road addresses.</ns0:t>
        </ns0:is>
      </ns0:c>
      <ns0:c r="N232" s="6" t="inlineStr">
        <ns0:is>
          <ns0:t>MOF address guide: Dongdo police facility, Dokdoisabu-gil 55; lighthouse, Dokdoisabu-gil 63; Seodo residence, Dokdoanyongbok-gil 3.</ns0:t>
        </ns0:is>
      </ns0:c>
      <ns0:c r="O232" s="6" t="inlineStr">
        <ns0:is>
          <ns0:t>https://www.mof.go.kr/doc/ko/selectDoc.do?bbsSeq=27&amp;docSeq=20937&amp;menuSeq=929</ns0:t>
        </ns0:is>
      </ns0:c>
      <ns0:c r="P232" s="3">
        <ns0:f>LEN(E232)+MAX(LEN(F232),LEN(G232),LEN(H232))</ns0:f>
        <ns0:v>88</ns0:v>
      </ns0:c>
      <ns0:c r="Q232" s="7" t="inlineStr">
        <ns0:is>
          <ns0:t>출처 기반 자체 검토 / 독립 승인 전</ns0:t>
        </ns0:is>
      </ns0:c>
    </ns0:row>
    <ns0:row r="233" ht="98" customHeight="1">
      <ns0:c r="A233" s="4" t="n">
        <ns0:v>910232</ns0:v>
      </ns0:c>
      <ns0:c r="B233" s="4" t="n">
        <ns0:v>12</ns0:v>
      </ns0:c>
      <ns0:c r="C233" s="4" t="inlineStr">
        <ns0:is>
          <ns0:t>dk-admin-address</ns0:t>
        </ns0:is>
      </ns0:c>
      <ns0:c r="D233" s="4" t="n">
        <ns0:v>4</ns0:v>
      </ns0:c>
      <ns0:c r="E233" s="8" t="inlineStr">
        <ns0:is>
          <ns0:t>What is wrong with interpreting address number 63 as 63° north?</ns0:t>
        </ns0:is>
      </ns0:c>
      <ns0:c r="F233" s="8" t="inlineStr">
        <ns0:is>
          <ns0:t>Addresses contain no facility information</ns0:t>
        </ns0:is>
      </ns0:c>
      <ns0:c r="G233" s="8" t="inlineStr">
        <ns0:is>
          <ns0:t>It confuses an address number with a geographic coordinate</ns0:t>
        </ns0:is>
      </ns0:c>
      <ns0:c r="H233" s="8" t="inlineStr">
        <ns0:is>
          <ns0:t>Street numbers always equal latitude</ns0:t>
        </ns0:is>
      </ns0:c>
      <ns0:c r="I233" s="8" t="n">
        <ns0:v>2</ns0:v>
      </ns0:c>
      <ns0:c r="J233" s="8" t="inlineStr">
        <ns0:is>
          <ns0:t>Dokdo’s addresses are within Ulleung-eup, Ulleung-gun, Gyeongsangbuk-do. Dongdo and Seodo have different road addresses.</ns0:t>
        </ns0:is>
      </ns0:c>
      <ns0:c r="K233" s="8" t="inlineStr">
        <ns0:is>
          <ns0:t>The selected option, “Addresses contain no facility information”, does not fit. The answer is “It confuses an address number with a geographic coordinate”. Dokdo’s addresses are within Ulleung-eup, Ulleung-gun, Gyeongsangbuk-do. Dongdo and Seodo have different road addresses.</ns0:t>
        </ns0:is>
      </ns0:c>
      <ns0:c r="L233" s="8" t="inlineStr">
        <ns0:is>
          <ns0:t>Dokdo’s addresses are within Ulleung-eup, Ulleung-gun, Gyeongsangbuk-do. Dongdo and Seodo have different road addresses.</ns0:t>
        </ns0:is>
      </ns0:c>
      <ns0:c r="M233" s="8" t="inlineStr">
        <ns0:is>
          <ns0:t>The selected option, “Street numbers always equal latitude”, does not fit. The answer is “It confuses an address number with a geographic coordinate”. Dokdo’s addresses are within Ulleung-eup, Ulleung-gun, Gyeongsangbuk-do. Dongdo and Seodo have different road addresses.</ns0:t>
        </ns0:is>
      </ns0:c>
      <ns0:c r="N233" s="8" t="inlineStr">
        <ns0:is>
          <ns0:t>MOF address guide: Dongdo police facility, Dokdoisabu-gil 55; lighthouse, Dokdoisabu-gil 63; Seodo residence, Dokdoanyongbok-gil 3.</ns0:t>
        </ns0:is>
      </ns0:c>
      <ns0:c r="O233" s="8" t="inlineStr">
        <ns0:is>
          <ns0:t>https://www.mof.go.kr/doc/ko/selectDoc.do?bbsSeq=27&amp;docSeq=20937&amp;menuSeq=929</ns0:t>
        </ns0:is>
      </ns0:c>
      <ns0:c r="P233" s="5">
        <ns0:f>LEN(E233)+MAX(LEN(F233),LEN(G233),LEN(H233))</ns0:f>
        <ns0:v>121</ns0:v>
      </ns0:c>
      <ns0:c r="Q233" s="9" t="inlineStr">
        <ns0:is>
          <ns0:t>출처 기반 자체 검토 / 독립 승인 전</ns0:t>
        </ns0:is>
      </ns0:c>
    </ns0:row>
    <ns0:row r="234" ht="98" customHeight="1">
      <ns0:c r="A234" s="2" t="n">
        <ns0:v>910233</ns0:v>
      </ns0:c>
      <ns0:c r="B234" s="2" t="n">
        <ns0:v>12</ns0:v>
      </ns0:c>
      <ns0:c r="C234" s="2" t="inlineStr">
        <ns0:is>
          <ns0:t>dk-visiting-scope</ns0:t>
        </ns0:is>
      </ns0:c>
      <ns0:c r="D234" s="2" t="n">
        <ns0:v>1</ns0:v>
      </ns0:c>
      <ns0:c r="E234" s="6" t="inlineStr">
        <ns0:is>
          <ns0:t>Which area is identified for ordinary viewing?</ns0:t>
        </ns0:is>
      </ns0:c>
      <ns0:c r="F234" s="6" t="inlineStr">
        <ns0:is>
          <ns0:t>Dongdo’s landing area</ns0:t>
        </ns0:is>
      </ns0:c>
      <ns0:c r="G234" s="6" t="inlineStr">
        <ns0:is>
          <ns0:t>The whole interior of Cheonjang Cave</ns0:t>
        </ns0:is>
      </ns0:c>
      <ns0:c r="H234" s="6" t="inlineStr">
        <ns0:is>
          <ns0:t>Every cliff on Seodo</ns0:t>
        </ns0:is>
      </ns0:c>
      <ns0:c r="I234" s="6" t="n">
        <ns0:v>1</ns0:v>
      </ns0:c>
      <ns0:c r="J234" s="6" t="inlineStr">
        <ns0:is>
          <ns0:t>Dokdo’s protected area is not identical to the area open to ordinary visitors. Access to one part does not mean access everywhere.</ns0:t>
        </ns0:is>
      </ns0:c>
      <ns0:c r="K234" s="6" t="inlineStr">
        <ns0:is>
          <ns0:t>Dokdo’s protected area is not identical to the area open to ordinary visitors. Access to one part does not mean access everywhere.</ns0:t>
        </ns0:is>
      </ns0:c>
      <ns0:c r="L234" s="6" t="inlineStr">
        <ns0:is>
          <ns0:t>The selected option, “The whole interior of Cheonjang Cave”, does not fit. The answer is “Dongdo’s landing area”. Dokdo’s protected area is not identical to the area open to ordinary visitors. Access to one part does not mean access everywhere.</ns0:t>
        </ns0:is>
      </ns0:c>
      <ns0:c r="M234" s="6" t="inlineStr">
        <ns0:is>
          <ns0:t>The selected option, “Every cliff on Seodo”, does not fit. The answer is “Dongdo’s landing area”. Dokdo’s protected area is not identical to the area open to ordinary visitors. Access to one part does not mean access everywhere.</ns0:t>
        </ns0:is>
      </ns0:c>
      <ns0:c r="N234" s="6" t="inlineStr"/>
      <ns0:c r="O234" s="6" t="inlineStr">
        <ns0:is>
          <ns0:t>https://dokdo.mofa.go.kr/kor/introduce/residence.jsp
https://www.heritage.go.kr/heri/cul/culSelectDetail.do?VdkVgwKey=16%2C03360000%2C37&amp;pageNo=1_1_2_0</ns0:t>
        </ns0:is>
      </ns0:c>
      <ns0:c r="P234" s="3">
        <ns0:f>LEN(E234)+MAX(LEN(F234),LEN(G234),LEN(H234))</ns0:f>
        <ns0:v>82</ns0:v>
      </ns0:c>
      <ns0:c r="Q234" s="7" t="inlineStr">
        <ns0:is>
          <ns0:t>출처 기반 자체 검토 / 독립 승인 전</ns0:t>
        </ns0:is>
      </ns0:c>
    </ns0:row>
    <ns0:row r="235" ht="98" customHeight="1">
      <ns0:c r="A235" s="4" t="n">
        <ns0:v>910234</ns0:v>
      </ns0:c>
      <ns0:c r="B235" s="4" t="n">
        <ns0:v>12</ns0:v>
      </ns0:c>
      <ns0:c r="C235" s="4" t="inlineStr">
        <ns0:is>
          <ns0:t>dk-visiting-scope</ns0:t>
        </ns0:is>
      </ns0:c>
      <ns0:c r="D235" s="4" t="n">
        <ns0:v>2</ns0:v>
      </ns0:c>
      <ns0:c r="E235" s="8" t="inlineStr">
        <ns0:is>
          <ns0:t>Does permission to view one part allow access everywhere?</ns0:t>
        </ns0:is>
      </ns0:c>
      <ns0:c r="F235" s="8" t="inlineStr">
        <ns0:is>
          <ns0:t>Partial permission means full permission</ns0:t>
        </ns0:is>
      </ns0:c>
      <ns0:c r="G235" s="8" t="inlineStr">
        <ns0:is>
          <ns0:t>A photo creates permission</ns0:t>
        </ns0:is>
      </ns0:c>
      <ns0:c r="H235" s="8" t="inlineStr">
        <ns0:is>
          <ns0:t>Permitted areas remain defined</ns0:t>
        </ns0:is>
      </ns0:c>
      <ns0:c r="I235" s="8" t="n">
        <ns0:v>3</ns0:v>
      </ns0:c>
      <ns0:c r="J235" s="8" t="inlineStr">
        <ns0:is>
          <ns0:t>Dokdo’s protected area is not identical to the area open to ordinary visitors. Access to one part does not mean access everywhere.</ns0:t>
        </ns0:is>
      </ns0:c>
      <ns0:c r="K235" s="8" t="inlineStr">
        <ns0:is>
          <ns0:t>The selected option, “Partial permission means full permission”, does not fit. The answer is “Permitted areas remain defined”. Dokdo’s protected area is not identical to the area open to ordinary visitors. Access to one part does not mean access everywhere.</ns0:t>
        </ns0:is>
      </ns0:c>
      <ns0:c r="L235" s="8" t="inlineStr">
        <ns0:is>
          <ns0:t>The selected option, “A photo creates permission”, does not fit. The answer is “Permitted areas remain defined”. Dokdo’s protected area is not identical to the area open to ordinary visitors. Access to one part does not mean access everywhere.</ns0:t>
        </ns0:is>
      </ns0:c>
      <ns0:c r="M235" s="8" t="inlineStr">
        <ns0:is>
          <ns0:t>Dokdo’s protected area is not identical to the area open to ordinary visitors. Access to one part does not mean access everywhere.</ns0:t>
        </ns0:is>
      </ns0:c>
      <ns0:c r="N235" s="8" t="inlineStr"/>
      <ns0:c r="O235" s="8" t="inlineStr">
        <ns0:is>
          <ns0:t>https://dokdo.mofa.go.kr/kor/introduce/residence.jsp
https://www.heritage.go.kr/heri/cul/culSelectDetail.do?VdkVgwKey=16%2C03360000%2C37&amp;pageNo=1_1_2_0</ns0:t>
        </ns0:is>
      </ns0:c>
      <ns0:c r="P235" s="5">
        <ns0:f>LEN(E235)+MAX(LEN(F235),LEN(G235),LEN(H235))</ns0:f>
        <ns0:v>97</ns0:v>
      </ns0:c>
      <ns0:c r="Q235" s="9" t="inlineStr">
        <ns0:is>
          <ns0:t>출처 기반 자체 검토 / 독립 승인 전</ns0:t>
        </ns0:is>
      </ns0:c>
    </ns0:row>
    <ns0:row r="236" ht="98" customHeight="1">
      <ns0:c r="A236" s="2" t="n">
        <ns0:v>910235</ns0:v>
      </ns0:c>
      <ns0:c r="B236" s="2" t="n">
        <ns0:v>12</ns0:v>
      </ns0:c>
      <ns0:c r="C236" s="2" t="inlineStr">
        <ns0:is>
          <ns0:t>dk-visiting-scope</ns0:t>
        </ns0:is>
      </ns0:c>
      <ns0:c r="D236" s="2" t="n">
        <ns0:v>3</ns0:v>
      </ns0:c>
      <ns0:c r="E236" s="6" t="inlineStr">
        <ns0:is>
          <ns0:t>Which reading of protected and visiting areas is correct?</ns0:t>
        </ns0:is>
      </ns0:c>
      <ns0:c r="F236" s="6" t="inlineStr">
        <ns0:is>
          <ns0:t>Visitor access ends protected status</ns0:t>
        </ns0:is>
      </ns0:c>
      <ns0:c r="G236" s="6" t="inlineStr">
        <ns0:is>
          <ns0:t>The whole protected area and open portion differ</ns0:t>
        </ns0:is>
      </ns0:c>
      <ns0:c r="H236" s="6" t="inlineStr">
        <ns0:is>
          <ns0:t>Only the landing area has natural heritage value</ns0:t>
        </ns0:is>
      </ns0:c>
      <ns0:c r="I236" s="6" t="n">
        <ns0:v>2</ns0:v>
      </ns0:c>
      <ns0:c r="J236" s="6" t="inlineStr">
        <ns0:is>
          <ns0:t>Dokdo’s protected area is not identical to the area open to ordinary visitors. Access to one part does not mean access everywhere.</ns0:t>
        </ns0:is>
      </ns0:c>
      <ns0:c r="K236" s="6" t="inlineStr">
        <ns0:is>
          <ns0:t>The selected option, “Visitor access ends protected status”, does not fit. The answer is “The whole protected area and open portion differ”. Dokdo’s protected area is not identical to the area open to ordinary visitors. Access to one part does not mean access everywhere.</ns0:t>
        </ns0:is>
      </ns0:c>
      <ns0:c r="L236" s="6" t="inlineStr">
        <ns0:is>
          <ns0:t>Dokdo’s protected area is not identical to the area open to ordinary visitors. Access to one part does not mean access everywhere.</ns0:t>
        </ns0:is>
      </ns0:c>
      <ns0:c r="M236" s="6" t="inlineStr">
        <ns0:is>
          <ns0:t>The selected option, “Only the landing area has natural heritage value”, does not fit. The answer is “The whole protected area and open portion differ”. Dokdo’s protected area is not identical to the area open to ordinary visitors. Access to one part does not mean access everywhere.</ns0:t>
        </ns0:is>
      </ns0:c>
      <ns0:c r="N236" s="6" t="inlineStr">
        <ns0:is>
          <ns0:t>MOFA describes Dokdo as a protected area and ordinary viewing at the Dongdo landing area. Special events or visits may require separate authorisation.</ns0:t>
        </ns0:is>
      </ns0:c>
      <ns0:c r="O236" s="6" t="inlineStr">
        <ns0:is>
          <ns0:t>https://dokdo.mofa.go.kr/kor/introduce/residence.jsp
https://www.heritage.go.kr/heri/cul/culSelectDetail.do?VdkVgwKey=16%2C03360000%2C37&amp;pageNo=1_1_2_0</ns0:t>
        </ns0:is>
      </ns0:c>
      <ns0:c r="P236" s="3">
        <ns0:f>LEN(E236)+MAX(LEN(F236),LEN(G236),LEN(H236))</ns0:f>
        <ns0:v>105</ns0:v>
      </ns0:c>
      <ns0:c r="Q236" s="7" t="inlineStr">
        <ns0:is>
          <ns0:t>출처 기반 자체 검토 / 독립 승인 전</ns0:t>
        </ns0:is>
      </ns0:c>
    </ns0:row>
    <ns0:row r="237" ht="98" customHeight="1">
      <ns0:c r="A237" s="4" t="n">
        <ns0:v>910236</ns0:v>
      </ns0:c>
      <ns0:c r="B237" s="4" t="n">
        <ns0:v>12</ns0:v>
      </ns0:c>
      <ns0:c r="C237" s="4" t="inlineStr">
        <ns0:is>
          <ns0:t>dk-visiting-scope</ns0:t>
        </ns0:is>
      </ns0:c>
      <ns0:c r="D237" s="4" t="n">
        <ns0:v>4</ns0:v>
      </ns0:c>
      <ns0:c r="E237" s="8" t="inlineStr">
        <ns0:is>
          <ns0:t>Does an open landing area mean Dokdo is not protected?</ns0:t>
        </ns0:is>
      </ns0:c>
      <ns0:c r="F237" s="8" t="inlineStr">
        <ns0:is>
          <ns0:t>Limited access and protection can coexist</ns0:t>
        </ns0:is>
      </ns0:c>
      <ns0:c r="G237" s="8" t="inlineStr">
        <ns0:is>
          <ns0:t>Any visitor makes protection impossible</ns0:t>
        </ns0:is>
      </ns0:c>
      <ns0:c r="H237" s="8" t="inlineStr">
        <ns0:is>
          <ns0:t>Protection has no relation to geographic information</ns0:t>
        </ns0:is>
      </ns0:c>
      <ns0:c r="I237" s="8" t="n">
        <ns0:v>1</ns0:v>
      </ns0:c>
      <ns0:c r="J237" s="8" t="inlineStr">
        <ns0:is>
          <ns0:t>Dokdo’s protected area is not identical to the area open to ordinary visitors. Access to one part does not mean access everywhere.</ns0:t>
        </ns0:is>
      </ns0:c>
      <ns0:c r="K237" s="8" t="inlineStr">
        <ns0:is>
          <ns0:t>Dokdo’s protected area is not identical to the area open to ordinary visitors. Access to one part does not mean access everywhere.</ns0:t>
        </ns0:is>
      </ns0:c>
      <ns0:c r="L237" s="8" t="inlineStr">
        <ns0:is>
          <ns0:t>The selected option, “Any visitor makes protection impossible”, does not fit. The answer is “Limited access and protection can coexist”. Dokdo’s protected area is not identical to the area open to ordinary visitors. Access to one part does not mean access everywhere.</ns0:t>
        </ns0:is>
      </ns0:c>
      <ns0:c r="M237" s="8" t="inlineStr">
        <ns0:is>
          <ns0:t>The selected option, “Protection has no relation to geographic information”, does not fit. The answer is “Limited access and protection can coexist”. Dokdo’s protected area is not identical to the area open to ordinary visitors. Access to one part does not mean access everywhere.</ns0:t>
        </ns0:is>
      </ns0:c>
      <ns0:c r="N237" s="8" t="inlineStr">
        <ns0:is>
          <ns0:t>MOFA describes Dokdo as a protected area and ordinary viewing at the Dongdo landing area. Special events or visits may require separate authorisation.</ns0:t>
        </ns0:is>
      </ns0:c>
      <ns0:c r="O237" s="8" t="inlineStr">
        <ns0:is>
          <ns0:t>https://dokdo.mofa.go.kr/kor/introduce/residence.jsp
https://www.heritage.go.kr/heri/cul/culSelectDetail.do?VdkVgwKey=16%2C03360000%2C37&amp;pageNo=1_1_2_0</ns0:t>
        </ns0:is>
      </ns0:c>
      <ns0:c r="P237" s="5">
        <ns0:f>LEN(E237)+MAX(LEN(F237),LEN(G237),LEN(H237))</ns0:f>
        <ns0:v>106</ns0:v>
      </ns0:c>
      <ns0:c r="Q237" s="9" t="inlineStr">
        <ns0:is>
          <ns0:t>출처 기반 자체 검토 / 독립 승인 전</ns0:t>
        </ns0:is>
      </ns0:c>
    </ns0:row>
    <ns0:row r="238" ht="98" customHeight="1">
      <ns0:c r="A238" s="2" t="n">
        <ns0:v>910237</ns0:v>
      </ns0:c>
      <ns0:c r="B238" s="2" t="n">
        <ns0:v>12</ns0:v>
      </ns0:c>
      <ns0:c r="C238" s="2" t="inlineStr">
        <ns0:is>
          <ns0:t>dk-whole-dokdo</ns0:t>
        </ns0:is>
      </ns0:c>
      <ns0:c r="D238" s="2" t="n">
        <ns0:v>1</ns0:v>
      </ns0:c>
      <ns0:c r="E238" s="6" t="inlineStr">
        <ns0:is>
          <ns0:t>What should a broad introduction to Dokdo include?</ns0:t>
        </ns0:is>
      </ns0:c>
      <ns0:c r="F238" s="6" t="inlineStr">
        <ns0:is>
          <ns0:t>Only one ferry fare</ns0:t>
        </ns0:is>
      </ns0:c>
      <ns0:c r="G238" s="6" t="inlineStr">
        <ns0:is>
          <ns0:t>Only the colour of a lighthouse drawing</ns0:t>
        </ns0:is>
      </ns0:c>
      <ns0:c r="H238" s="6" t="inlineStr">
        <ns0:is>
          <ns0:t>Islands, life, people and records</ns0:t>
        </ns0:is>
      </ns0:c>
      <ns0:c r="I238" s="6" t="n">
        <ns0:v>3</ns0:v>
      </ns0:c>
      <ns0:c r="J238" s="6" t="inlineStr">
        <ns0:is>
          <ns0:t>Dokdo is a volcanic island group, a place for life, and a subject of human activity and historical records. Combining different evidence gives a fuller explanation.</ns0:t>
        </ns0:is>
      </ns0:c>
      <ns0:c r="K238" s="6" t="inlineStr">
        <ns0:is>
          <ns0:t>The selected option, “Only one ferry fare”, does not fit. The answer is “Islands, life, people and records”. Dokdo is a volcanic island group, a place for life, and a subject of human activity and historical records. Combining different evidence gives a fuller explanation.</ns0:t>
        </ns0:is>
      </ns0:c>
      <ns0:c r="L238" s="6" t="inlineStr">
        <ns0:is>
          <ns0:t>The selected option, “Only the colour of a lighthouse drawing”, does not fit. The answer is “Islands, life, people and records”. Dokdo is a volcanic island group, a place for life, and a subject of human activity and historical records. Combining different evidence gives a fuller explanation.</ns0:t>
        </ns0:is>
      </ns0:c>
      <ns0:c r="M238" s="6" t="inlineStr">
        <ns0:is>
          <ns0:t>Dokdo is a volcanic island group, a place for life, and a subject of human activity and historical records. Combining different evidence gives a fuller explanation.</ns0:t>
        </ns0:is>
      </ns0:c>
      <ns0:c r="N238" s="6" t="inlineStr"/>
      <ns0:c r="O238" s="6" t="inlineStr">
        <ns0:is>
          <ns0:t>https://dokdo.mofa.go.kr/kor/introduce/location.jsp
https://www.dokdo.re.kr/home/cms/cmsCont.do?cntnts_sn=66
https://dokdo.mofa.go.kr/kor/introduce/nature.jsp
https://dokdo.mofa.go.kr/kor/pds/part02_view02.jsp</ns0:t>
        </ns0:is>
      </ns0:c>
      <ns0:c r="P238" s="3">
        <ns0:f>LEN(E238)+MAX(LEN(F238),LEN(G238),LEN(H238))</ns0:f>
        <ns0:v>89</ns0:v>
      </ns0:c>
      <ns0:c r="Q238" s="7" t="inlineStr">
        <ns0:is>
          <ns0:t>출처 기반 자체 검토 / 독립 승인 전</ns0:t>
        </ns0:is>
      </ns0:c>
    </ns0:row>
    <ns0:row r="239" ht="98" customHeight="1">
      <ns0:c r="A239" s="4" t="n">
        <ns0:v>910238</ns0:v>
      </ns0:c>
      <ns0:c r="B239" s="4" t="n">
        <ns0:v>12</ns0:v>
      </ns0:c>
      <ns0:c r="C239" s="4" t="inlineStr">
        <ns0:is>
          <ns0:t>dk-whole-dokdo</ns0:t>
        </ns0:is>
      </ns0:c>
      <ns0:c r="D239" s="4" t="n">
        <ns0:v>2</ns0:v>
      </ns0:c>
      <ns0:c r="E239" s="8" t="inlineStr">
        <ns0:is>
          <ns0:t>What does combining volcanic and bird information add?</ns0:t>
        </ns0:is>
      </ns0:c>
      <ns0:c r="F239" s="8" t="inlineStr">
        <ns0:is>
          <ns0:t>All historical records disappear</ns0:t>
        </ns0:is>
      </ns0:c>
      <ns0:c r="G239" s="8" t="inlineStr">
        <ns0:is>
          <ns0:t>Understanding of both landforms and ecology</ns0:t>
        </ns0:is>
      </ns0:c>
      <ns0:c r="H239" s="8" t="inlineStr">
        <ns0:is>
          <ns0:t>Both must contain the same numbers</ns0:t>
        </ns0:is>
      </ns0:c>
      <ns0:c r="I239" s="8" t="n">
        <ns0:v>2</ns0:v>
      </ns0:c>
      <ns0:c r="J239" s="8" t="inlineStr">
        <ns0:is>
          <ns0:t>Dokdo is a volcanic island group, a place for life, and a subject of human activity and historical records. Combining different evidence gives a fuller explanation.</ns0:t>
        </ns0:is>
      </ns0:c>
      <ns0:c r="K239" s="8" t="inlineStr">
        <ns0:is>
          <ns0:t>The selected option, “All historical records disappear”, does not fit. The answer is “Understanding of both landforms and ecology”. Dokdo is a volcanic island group, a place for life, and a subject of human activity and historical records. Combining different evidence gives a fuller explanation.</ns0:t>
        </ns0:is>
      </ns0:c>
      <ns0:c r="L239" s="8" t="inlineStr">
        <ns0:is>
          <ns0:t>Dokdo is a volcanic island group, a place for life, and a subject of human activity and historical records. Combining different evidence gives a fuller explanation.</ns0:t>
        </ns0:is>
      </ns0:c>
      <ns0:c r="M239" s="8" t="inlineStr">
        <ns0:is>
          <ns0:t>The selected option, “Both must contain the same numbers”, does not fit. The answer is “Understanding of both landforms and ecology”. Dokdo is a volcanic island group, a place for life, and a subject of human activity and historical records. Combining different evidence gives a fuller explanation.</ns0:t>
        </ns0:is>
      </ns0:c>
      <ns0:c r="N239" s="8" t="inlineStr"/>
      <ns0:c r="O239" s="8" t="inlineStr">
        <ns0:is>
          <ns0:t>https://dokdo.mofa.go.kr/kor/introduce/location.jsp
https://www.dokdo.re.kr/home/cms/cmsCont.do?cntnts_sn=66
https://dokdo.mofa.go.kr/kor/introduce/nature.jsp
https://dokdo.mofa.go.kr/kor/pds/part02_view02.jsp</ns0:t>
        </ns0:is>
      </ns0:c>
      <ns0:c r="P239" s="5">
        <ns0:f>LEN(E239)+MAX(LEN(F239),LEN(G239),LEN(H239))</ns0:f>
        <ns0:v>97</ns0:v>
      </ns0:c>
      <ns0:c r="Q239" s="9" t="inlineStr">
        <ns0:is>
          <ns0:t>출처 기반 자체 검토 / 독립 승인 전</ns0:t>
        </ns0:is>
      </ns0:c>
    </ns0:row>
    <ns0:row r="240" ht="98" customHeight="1">
      <ns0:c r="A240" s="2" t="n">
        <ns0:v>910239</ns0:v>
      </ns0:c>
      <ns0:c r="B240" s="2" t="n">
        <ns0:v>12</ns0:v>
      </ns0:c>
      <ns0:c r="C240" s="2" t="inlineStr">
        <ns0:is>
          <ns0:t>dk-whole-dokdo</ns0:t>
        </ns0:is>
      </ns0:c>
      <ns0:c r="D240" s="2" t="n">
        <ns0:v>3</ns0:v>
      </ns0:c>
      <ns0:c r="E240" s="6" t="inlineStr">
        <ns0:is>
          <ns0:t>Which field most directly relates to Decree No. 41?</ns0:t>
        </ns0:is>
      </ns0:c>
      <ns0:c r="F240" s="6" t="inlineStr">
        <ns0:is>
          <ns0:t>Administration and historical records</ns0:t>
        </ns0:is>
      </ns0:c>
      <ns0:c r="G240" s="6" t="inlineStr">
        <ns0:is>
          <ns0:t>Modern seawater nutrient measurements</ns0:t>
        </ns0:is>
      </ns0:c>
      <ns0:c r="H240" s="6" t="inlineStr">
        <ns0:is>
          <ns0:t>Current migratory bird counts</ns0:t>
        </ns0:is>
      </ns0:c>
      <ns0:c r="I240" s="6" t="n">
        <ns0:v>1</ns0:v>
      </ns0:c>
      <ns0:c r="J240" s="6" t="inlineStr">
        <ns0:is>
          <ns0:t>Dokdo is a volcanic island group, a place for life, and a subject of human activity and historical records. Combining different evidence gives a fuller explanation.</ns0:t>
        </ns0:is>
      </ns0:c>
      <ns0:c r="K240" s="6" t="inlineStr">
        <ns0:is>
          <ns0:t>Dokdo is a volcanic island group, a place for life, and a subject of human activity and historical records. Combining different evidence gives a fuller explanation.</ns0:t>
        </ns0:is>
      </ns0:c>
      <ns0:c r="L240" s="6" t="inlineStr">
        <ns0:is>
          <ns0:t>The selected option, “Modern seawater nutrient measurements”, does not fit. The answer is “Administration and historical records”. Dokdo is a volcanic island group, a place for life, and a subject of human activity and historical records. Combining different evidence gives a fuller explanation.</ns0:t>
        </ns0:is>
      </ns0:c>
      <ns0:c r="M240" s="6" t="inlineStr">
        <ns0:is>
          <ns0:t>The selected option, “Current migratory bird counts”, does not fit. The answer is “Administration and historical records”. Dokdo is a volcanic island group, a place for life, and a subject of human activity and historical records. Combining different evidence gives a fuller explanation.</ns0:t>
        </ns0:is>
      </ns0:c>
      <ns0:c r="N240" s="6" t="inlineStr">
        <ns0:is>
          <ns0:t>Source set: the main islands and associated islets; volcanic and erosional landforms; a migratory stopover; and the administrative record in Decree No. 41. Connect the evidence while distinguishing its fields.</ns0:t>
        </ns0:is>
      </ns0:c>
      <ns0:c r="O240" s="6" t="inlineStr">
        <ns0:is>
          <ns0:t>https://dokdo.mofa.go.kr/kor/introduce/location.jsp
https://www.dokdo.re.kr/home/cms/cmsCont.do?cntnts_sn=66
https://dokdo.mofa.go.kr/kor/introduce/nature.jsp
https://dokdo.mofa.go.kr/kor/pds/part02_view02.jsp</ns0:t>
        </ns0:is>
      </ns0:c>
      <ns0:c r="P240" s="3">
        <ns0:f>LEN(E240)+MAX(LEN(F240),LEN(G240),LEN(H240))</ns0:f>
        <ns0:v>88</ns0:v>
      </ns0:c>
      <ns0:c r="Q240" s="7" t="inlineStr">
        <ns0:is>
          <ns0:t>출처 기반 자체 검토 / 독립 승인 전</ns0:t>
        </ns0:is>
      </ns0:c>
    </ns0:row>
    <ns0:row r="241" ht="98" customHeight="1">
      <ns0:c r="A241" s="4" t="n">
        <ns0:v>910240</ns0:v>
      </ns0:c>
      <ns0:c r="B241" s="4" t="n">
        <ns0:v>12</ns0:v>
      </ns0:c>
      <ns0:c r="C241" s="4" t="inlineStr">
        <ns0:is>
          <ns0:t>dk-whole-dokdo</ns0:t>
        </ns0:is>
      </ns0:c>
      <ns0:c r="D241" s="4" t="n">
        <ns0:v>4</ns0:v>
      </ns0:c>
      <ns0:c r="E241" s="8" t="inlineStr">
        <ns0:is>
          <ns0:t>What principle should guide a multi-source explanation of Dokdo?</ns0:t>
        </ns0:is>
      </ns0:c>
      <ns0:c r="F241" s="8" t="inlineStr">
        <ns0:is>
          <ns0:t>Add all different measurements because there are many sources</ns0:t>
        </ns0:is>
      </ns0:c>
      <ns0:c r="G241" s="8" t="inlineStr">
        <ns0:is>
          <ns0:t>Let a landform photo alone settle the meaning of historical documents</ns0:t>
        </ns0:is>
      </ns0:c>
      <ns0:c r="H241" s="8" t="inlineStr">
        <ns0:is>
          <ns0:t>Connect them while identifying dates, scope and roles</ns0:t>
        </ns0:is>
      </ns0:c>
      <ns0:c r="I241" s="8" t="n">
        <ns0:v>3</ns0:v>
      </ns0:c>
      <ns0:c r="J241" s="8" t="inlineStr">
        <ns0:is>
          <ns0:t>Dokdo is a volcanic island group, a place for life, and a subject of human activity and historical records. Combining different evidence gives a fuller explanation.</ns0:t>
        </ns0:is>
      </ns0:c>
      <ns0:c r="K241" s="8" t="inlineStr">
        <ns0:is>
          <ns0:t>The selected option, “Add all different measurements because there are many sources”, does not fit. The answer is “Connect them while identifying dates, scope and roles”. Dokdo is a volcanic island group, a place for life, and a subject of human activity and historical records. Combining different evidence gives a fuller explanation.</ns0:t>
        </ns0:is>
      </ns0:c>
      <ns0:c r="L241" s="8" t="inlineStr">
        <ns0:is>
          <ns0:t>The selected option, “Let a landform photo alone settle the meaning of historical documents”, does not fit. The answer is “Connect them while identifying dates, scope and roles”. Dokdo is a volcanic island group, a place for life, and a subject of human activity and historical records. Combining different evidence gives a fuller explanation.</ns0:t>
        </ns0:is>
      </ns0:c>
      <ns0:c r="M241" s="8" t="inlineStr">
        <ns0:is>
          <ns0:t>Dokdo is a volcanic island group, a place for life, and a subject of human activity and historical records. Combining different evidence gives a fuller explanation.</ns0:t>
        </ns0:is>
      </ns0:c>
      <ns0:c r="N241" s="8" t="inlineStr">
        <ns0:is>
          <ns0:t>Source set: the main islands and associated islets; volcanic and erosional landforms; a migratory stopover; and the administrative record in Decree No. 41. Connect the evidence while distinguishing its fields.</ns0:t>
        </ns0:is>
      </ns0:c>
      <ns0:c r="O241" s="8" t="inlineStr">
        <ns0:is>
          <ns0:t>https://dokdo.mofa.go.kr/kor/introduce/location.jsp
https://www.dokdo.re.kr/home/cms/cmsCont.do?cntnts_sn=66
https://dokdo.mofa.go.kr/kor/introduce/nature.jsp
https://dokdo.mofa.go.kr/kor/pds/part02_view02.jsp</ns0:t>
        </ns0:is>
      </ns0:c>
      <ns0:c r="P241" s="5">
        <ns0:f>LEN(E241)+MAX(LEN(F241),LEN(G241),LEN(H241))</ns0:f>
        <ns0:v>133</ns0:v>
      </ns0:c>
      <ns0:c r="Q241" s="9" t="inlineStr">
        <ns0:is>
          <ns0:t>출처 기반 자체 검토 / 독립 승인 전</ns0:t>
        </ns0:is>
      </ns0:c>
    </ns0:row>
  </ns0:sheetData>
  <ns0:autoFilter ref="A1:Q241"/>
  <ns0:pageMargins left="0.75" right="0.75" top="1" bottom="1" header="0.5" footer="0.5"/>
</ns0:worksheet>
</file>

<file path=xl/worksheets/sheet4.xml><?xml version="1.0" encoding="utf-8"?>
<ns0:worksheet xmlns:ns0="http://schemas.openxmlformats.org/spreadsheetml/2006/main">
  <ns0:sheetPr>
    <ns0:outlinePr summaryBelow="1" summaryRight="1"/>
    <ns0:pageSetUpPr/>
  </ns0:sheetPr>
  <ns0:dimension ref="A1:I7"/>
  <ns0:sheetViews>
    <ns0:sheetView showGridLines="0" workbookViewId="0">
      <ns0:pane xSplit="1" ySplit="1" topLeftCell="B2" activePane="bottomRight" state="frozen"/>
      <ns0:selection pane="topRight"/>
      <ns0:selection pane="bottomLeft"/>
      <ns0:selection pane="bottomRight"/>
      <ns0:selection pane="bottomLeft"/>
      <ns0:selection pane="bottomRight" activeCell="A1" sqref="A1"/>
    </ns0:sheetView>
  </ns0:sheetViews>
  <ns0:sheetFormatPr baseColWidth="8" defaultRowHeight="15"/>
  <ns0:cols>
    <ns0:col width="26" customWidth="1" min="1" max="1"/>
    <ns0:col width="10" customWidth="1" min="2" max="2"/>
    <ns0:col width="10" customWidth="1" min="3" max="3"/>
    <ns0:col width="10" customWidth="1" min="4" max="4"/>
    <ns0:col width="10" customWidth="1" min="5" max="5"/>
    <ns0:col width="12" customWidth="1" min="6" max="6"/>
    <ns0:col width="14" customWidth="1" min="7" max="7"/>
    <ns0:col width="36" customWidth="1" min="8" max="8"/>
    <ns0:col width="100" customWidth="1" min="9" max="9"/>
  </ns0:cols>
  <ns0:sheetData>
    <ns0:row r="1" ht="31" customHeight="1">
      <ns0:c r="A1" s="1" t="inlineStr">
        <ns0:is>
          <ns0:t>경로</ns0:t>
        </ns0:is>
      </ns0:c>
      <ns0:c r="B1" s="1" t="inlineStr">
        <ns0:is>
          <ns0:t>L1</ns0:t>
        </ns0:is>
      </ns0:c>
      <ns0:c r="C1" s="1" t="inlineStr">
        <ns0:is>
          <ns0:t>L2</ns0:t>
        </ns0:is>
      </ns0:c>
      <ns0:c r="D1" s="1" t="inlineStr">
        <ns0:is>
          <ns0:t>L3</ns0:t>
        </ns0:is>
      </ns0:c>
      <ns0:c r="E1" s="1" t="inlineStr">
        <ns0:is>
          <ns0:t>L4</ns0:t>
        </ns0:is>
      </ns0:c>
      <ns0:c r="F1" s="1" t="inlineStr">
        <ns0:is>
          <ns0:t>문항 수</ns0:t>
        </ns0:is>
      </ns0:c>
      <ns0:c r="G1" s="1" t="inlineStr">
        <ns0:is>
          <ns0:t>읽기 상한</ns0:t>
        </ns0:is>
      </ns0:c>
      <ns0:c r="H1" s="1" t="inlineStr">
        <ns0:is>
          <ns0:t>추천 시작 단원</ns0:t>
        </ns0:is>
      </ns0:c>
      <ns0:c r="I1" s="1" t="inlineStr">
        <ns0:is>
          <ns0:t>배정 문항 ID</ns0:t>
        </ns0:is>
      </ns0:c>
    </ns0:row>
    <ns0:row r="2" ht="100" customHeight="1">
      <ns0:c r="A2" s="2" t="inlineStr">
        <ns0:is>
          <ns0:t>초등 저학년</ns0:t>
        </ns0:is>
      </ns0:c>
      <ns0:c r="B2" s="2" t="n">
        <ns0:v>42</ns0:v>
      </ns0:c>
      <ns0:c r="C2" s="2" t="n">
        <ns0:v>18</ns0:v>
      </ns0:c>
      <ns0:c r="D2" s="2" t="n">
        <ns0:v>0</ns0:v>
      </ns0:c>
      <ns0:c r="E2" s="6" t="n">
        <ns0:v>0</ns0:v>
      </ns0:c>
      <ns0:c r="F2" s="3">
        <ns0:f>SUM(B2:E2)</ns0:f>
        <ns0:v>60</ns0:v>
      </ns0:c>
      <ns0:c r="G2" s="6" t="n">
        <ns0:v>48</ns0:v>
      </ns0:c>
      <ns0:c r="H2" s="6" t="inlineStr">
        <ns0:is>
          <ns0:t>독도는 어디에 있을까</ns0:t>
        </ns0:is>
      </ns0:c>
      <ns0:c r="I2" s="6" t="inlineStr">
        <ns0:is>
          <ns0:t>910001, 910006, 910009, 910013, 910018, 910021, 910025, 910029, 910034, 910037, 910041, 910046, 910049, 910053, 910058, 910061, 910065, 910069, 910074, 910077, 910081, 910086, 910089, 910093, 910098, 910101, 910105, 910109, 910114, 910117, 910121, 910126, 910129, 910133, 910138, 910141, 910145, 910149, 910154, 910157, 910161, 910166, 910169, 910173, 910178, 910181, 910185, 910189, 910194, 910197, 910201, 910206, 910209, 910213, 910218, 910221, 910225, 910229, 910234, 910237</ns0:t>
        </ns0:is>
      </ns0:c>
    </ns0:row>
    <ns0:row r="3" ht="100" customHeight="1">
      <ns0:c r="A3" s="4" t="inlineStr">
        <ns0:is>
          <ns0:t>초등 중학년</ns0:t>
        </ns0:is>
      </ns0:c>
      <ns0:c r="B3" s="4" t="n">
        <ns0:v>42</ns0:v>
      </ns0:c>
      <ns0:c r="C3" s="4" t="n">
        <ns0:v>18</ns0:v>
      </ns0:c>
      <ns0:c r="D3" s="4" t="n">
        <ns0:v>0</ns0:v>
      </ns0:c>
      <ns0:c r="E3" s="8" t="n">
        <ns0:v>0</ns0:v>
      </ns0:c>
      <ns0:c r="F3" s="5">
        <ns0:f>SUM(B3:E3)</ns0:f>
        <ns0:v>60</ns0:v>
      </ns0:c>
      <ns0:c r="G3" s="8" t="n">
        <ns0:v>48</ns0:v>
      </ns0:c>
      <ns0:c r="H3" s="8" t="inlineStr">
        <ns0:is>
          <ns0:t>동도와 서도 비교</ns0:t>
        </ns0:is>
      </ns0:c>
      <ns0:c r="I3" s="8" t="inlineStr">
        <ns0:is>
          <ns0:t>910001, 910006, 910009, 910013, 910018, 910021, 910025, 910029, 910034, 910037, 910041, 910046, 910049, 910053, 910058, 910061, 910065, 910069, 910074, 910077, 910081, 910086, 910089, 910093, 910098, 910101, 910105, 910109, 910114, 910117, 910121, 910126, 910129, 910133, 910138, 910141, 910145, 910149, 910154, 910157, 910161, 910166, 910169, 910173, 910178, 910181, 910185, 910189, 910194, 910197, 910201, 910206, 910209, 910213, 910218, 910221, 910225, 910229, 910234, 910237</ns0:t>
        </ns0:is>
      </ns0:c>
    </ns0:row>
    <ns0:row r="4" ht="100" customHeight="1">
      <ns0:c r="A4" s="2" t="inlineStr">
        <ns0:is>
          <ns0:t>초등 고학년</ns0:t>
        </ns0:is>
      </ns0:c>
      <ns0:c r="B4" s="2" t="n">
        <ns0:v>30</ns0:v>
      </ns0:c>
      <ns0:c r="C4" s="2" t="n">
        <ns0:v>24</ns0:v>
      </ns0:c>
      <ns0:c r="D4" s="2" t="n">
        <ns0:v>6</ns0:v>
      </ns0:c>
      <ns0:c r="E4" s="6" t="n">
        <ns0:v>0</ns0:v>
      </ns0:c>
      <ns0:c r="F4" s="3">
        <ns0:f>SUM(B4:E4)</ns0:f>
        <ns0:v>60</ns0:v>
      </ns0:c>
      <ns0:c r="G4" s="6" t="n">
        <ns0:v>60</ns0:v>
      </ns0:c>
      <ns0:c r="H4" s="6" t="inlineStr">
        <ns0:is>
          <ns0:t>화산이 만든 독도</ns0:t>
        </ns0:is>
      </ns0:c>
      <ns0:c r="I4" s="6" t="inlineStr">
        <ns0:is>
          <ns0:t>910001, 910006, 910009, 910014, 910019, 910021, 910026, 910029, 910034, 910037, 910041, 910046, 910049, 910054, 910059, 910061, 910066, 910069, 910074, 910077, 910081, 910086, 910089, 910094, 910099, 910101, 910106, 910109, 910114, 910117, 910121, 910126, 910129, 910134, 910139, 910141, 910146, 910149, 910154, 910157, 910161, 910166, 910169, 910174, 910179, 910181, 910186, 910189, 910194, 910197, 910201, 910206, 910209, 910214, 910219, 910221, 910226, 910229, 910234, 910237</ns0:t>
        </ns0:is>
      </ns0:c>
    </ns0:row>
    <ns0:row r="5" ht="100" customHeight="1">
      <ns0:c r="A5" s="4" t="inlineStr">
        <ns0:is>
          <ns0:t>중학생</ns0:t>
        </ns0:is>
      </ns0:c>
      <ns0:c r="B5" s="4" t="n">
        <ns0:v>15</ns0:v>
      </ns0:c>
      <ns0:c r="C5" s="4" t="n">
        <ns0:v>21</ns0:v>
      </ns0:c>
      <ns0:c r="D5" s="4" t="n">
        <ns0:v>18</ns0:v>
      </ns0:c>
      <ns0:c r="E5" s="8" t="n">
        <ns0:v>6</ns0:v>
      </ns0:c>
      <ns0:c r="F5" s="5">
        <ns0:f>SUM(B5:E5)</ns0:f>
        <ns0:v>60</ns0:v>
      </ns0:c>
      <ns0:c r="G5" s="8" t="n">
        <ns0:v>80</ns0:v>
      </ns0:c>
      <ns0:c r="H5" s="8" t="inlineStr">
        <ns0:is>
          <ns0:t>칙령 제41호 읽기</ns0:t>
        </ns0:is>
      </ns0:c>
      <ns0:c r="I5" s="8" t="inlineStr">
        <ns0:is>
          <ns0:t>910002, 910007, 910009, 910016, 910018, 910023, 910025, 910030, 910035, 910038, 910041, 910047, 910050, 910053, 910060, 910063, 910066, 910069, 910075, 910078, 910082, 910087, 910089, 910094, 910100, 910103, 910105, 910110, 910115, 910118, 910121, 910127, 910130, 910133, 910140, 910143, 910146, 910149, 910155, 910158, 910162, 910167, 910169, 910176, 910178, 910183, 910185, 910190, 910195, 910198, 910201, 910207, 910210, 910213, 910220, 910223, 910226, 910229, 910235, 910238</ns0:t>
        </ns0:is>
      </ns0:c>
    </ns0:row>
    <ns0:row r="6" ht="100" customHeight="1">
      <ns0:c r="A6" s="2" t="inlineStr">
        <ns0:is>
          <ns0:t>고등학생</ns0:t>
        </ns0:is>
      </ns0:c>
      <ns0:c r="B6" s="2" t="n">
        <ns0:v>9</ns0:v>
      </ns0:c>
      <ns0:c r="C6" s="2" t="n">
        <ns0:v>15</ns0:v>
      </ns0:c>
      <ns0:c r="D6" s="2" t="n">
        <ns0:v>21</ns0:v>
      </ns0:c>
      <ns0:c r="E6" s="6" t="n">
        <ns0:v>15</ns0:v>
      </ns0:c>
      <ns0:c r="F6" s="3">
        <ns0:f>SUM(B6:E6)</ns0:f>
        <ns0:v>60</ns0:v>
      </ns0:c>
      <ns0:c r="G6" s="6" t="n">
        <ns0:v>110</ns0:v>
      </ns0:c>
      <ns0:c r="H6" s="6" t="inlineStr">
        <ns0:is>
          <ns0:t>1906년의 보고와 대응</ns0:t>
        </ns0:is>
      </ns0:c>
      <ns0:c r="I6" s="6" t="inlineStr">
        <ns0:is>
          <ns0:t>910003, 910008, 910010, 910013, 910019, 910024, 910026, 910031, 910033, 910040, 910043, 910046, 910051, 910056, 910058, 910063, 910065, 910072, 910074, 910079, 910083, 910088, 910090, 910093, 910099, 910104, 910106, 910111, 910113, 910120, 910123, 910126, 910131, 910136, 910138, 910143, 910145, 910152, 910154, 910159, 910163, 910168, 910170, 910173, 910179, 910184, 910186, 910191, 910193, 910200, 910203, 910206, 910211, 910216, 910218, 910223, 910225, 910232, 910234, 910239</ns0:t>
        </ns0:is>
      </ns0:c>
    </ns0:row>
    <ns0:row r="7" ht="100" customHeight="1">
      <ns0:c r="A7" s="4" t="inlineStr">
        <ns0:is>
          <ns0:t>성인</ns0:t>
        </ns0:is>
      </ns0:c>
      <ns0:c r="B7" s="4" t="n">
        <ns0:v>6</ns0:v>
      </ns0:c>
      <ns0:c r="C7" s="4" t="n">
        <ns0:v>12</ns0:v>
      </ns0:c>
      <ns0:c r="D7" s="4" t="n">
        <ns0:v>18</ns0:v>
      </ns0:c>
      <ns0:c r="E7" s="8" t="n">
        <ns0:v>24</ns0:v>
      </ns0:c>
      <ns0:c r="F7" s="5">
        <ns0:f>SUM(B7:E7)</ns0:f>
        <ns0:v>60</ns0:v>
      </ns0:c>
      <ns0:c r="G7" s="8" t="n">
        <ns0:v>160</ns0:v>
      </ns0:c>
      <ns0:c r="H7" s="8" t="inlineStr">
        <ns0:is>
          <ns0:t>기록을 함께 읽기</ns0:t>
        </ns0:is>
      </ns0:c>
      <ns0:c r="I7" s="8" t="inlineStr">
        <ns0:is>
          <ns0:t>910004, 910007, 910010, 910016, 910019, 910021, 910028, 910030, 910035, 910040, 910044, 910047, 910050, 910056, 910059, 910061, 910068, 910070, 910075, 910080, 910084, 910087, 910090, 910096, 910099, 910101, 910108, 910110, 910115, 910120, 910124, 910127, 910130, 910136, 910139, 910141, 910148, 910150, 910155, 910160, 910164, 910167, 910170, 910176, 910179, 910181, 910188, 910190, 910195, 910200, 910204, 910207, 910210, 910216, 910219, 910221, 910228, 910230, 910235, 910240</ns0:t>
        </ns0:is>
      </ns0:c>
    </ns0:row>
  </ns0:sheetData>
  <ns0:autoFilter ref="A1:I7"/>
  <ns0:pageMargins left="0.75" right="0.75" top="1" bottom="1" header="0.5" footer="0.5"/>
</ns0:worksheet>
</file>

<file path=xl/worksheets/sheet5.xml><?xml version="1.0" encoding="utf-8"?>
<worksheet xmlns="http://schemas.openxmlformats.org/spreadsheetml/2006/main">
  <sheetPr>
    <outlinePr summaryBelow="1" summaryRight="1"/>
    <pageSetUpPr/>
  </sheetPr>
  <dimension ref="A1:F13"/>
  <sheetViews>
    <sheetView showGridLines="0" workbookViewId="0">
      <pane xSplit="3" ySplit="1" topLeftCell="D2" activePane="bottomRight" state="frozen"/>
      <selection pane="topRight"/>
      <selection pane="bottomLeft"/>
      <selection pane="bottomRight"/>
      <selection pane="bottomLeft"/>
      <selection pane="bottomRight" activeCell="A1" sqref="A1"/>
    </sheetView>
  </sheetViews>
  <sheetFormatPr baseColWidth="8" defaultRowHeight="15"/>
  <cols>
    <col width="10" customWidth="1" min="1" max="1"/>
    <col width="33" customWidth="1" min="2" max="2"/>
    <col width="13" customWidth="1" min="3" max="3"/>
    <col width="108" customWidth="1" min="4" max="4"/>
    <col width="44" customWidth="1" min="5" max="5"/>
    <col width="100" customWidth="1" min="6" max="6"/>
  </cols>
  <sheetData>
    <row r="1" ht="31" customHeight="1">
      <c r="A1" s="1" t="inlineStr">
        <is>
          <t>단원</t>
        </is>
      </c>
      <c r="B1" s="1" t="inlineStr">
        <is>
          <t>제목</t>
        </is>
      </c>
      <c r="C1" s="1" t="inlineStr">
        <is>
          <t>분야</t>
        </is>
      </c>
      <c r="D1" s="1" t="inlineStr">
        <is>
          <t>배운 뒤 남는 한 문단</t>
        </is>
      </c>
      <c r="E1" s="1" t="inlineStr">
        <is>
          <t>개념 묶음</t>
        </is>
      </c>
      <c r="F1" s="1" t="inlineStr">
        <is>
          <t>출처</t>
        </is>
      </c>
    </row>
    <row r="2" ht="142" customHeight="1">
      <c r="A2" s="2" t="n">
        <v>1</v>
      </c>
      <c r="B2" s="2" t="inlineStr">
        <is>
          <t>독도는 어디에 있을까</t>
        </is>
      </c>
      <c r="C2" s="2" t="inlineStr">
        <is>
          <t>지리</t>
        </is>
      </c>
      <c r="D2" s="2" t="inlineStr">
        <is>
          <t>독도는 동도와 서도, 그리고 주변의 작은 바위섬들로 이루어져 있어요. 독도는 울릉도에서 동남쪽으로 약 87.4km 떨어져 있어요. 서도는 서쪽, 동도는 동쪽의 큰 섬이에요. 지도를 돌려도 실제 동쪽과 서쪽은 바뀌지 않아요. 울릉도에서는 맑은 날 독도를 볼 수 있어요. 안개나 비가 시야를 가리면 보이지 않을 수도 있어요. 독도 전체 면적에는 동도·서도뿐 아니라 부속 도서의 땅도 포함돼요.</t>
        </is>
      </c>
      <c r="E2" s="6" t="inlineStr">
        <is>
          <t>dk-composition
dk-relative-location
dk-orientation
dk-visibility
dk-islet-count</t>
        </is>
      </c>
      <c r="F2" s="6" t="inlineStr">
        <is>
          <t>https://dokdo.mofa.go.kr/kor/introduce/location.jsp
https://dokdo.mofa.go.kr/kor/pds/part06_view02.jsp</t>
        </is>
      </c>
    </row>
    <row r="3" ht="142" customHeight="1">
      <c r="A3" s="4" t="n">
        <v>2</v>
      </c>
      <c r="B3" s="4" t="inlineStr">
        <is>
          <t>동도와 서도 비교</t>
        </is>
      </c>
      <c r="C3" s="4" t="inlineStr">
        <is>
          <t>지리</t>
        </is>
      </c>
      <c r="D3" s="4" t="inlineStr">
        <is>
          <t>서도의 최고 높이는 168.5m, 동도는 98.6m예요. 서도가 더 높아요. 서도는 동도보다 땅의 넓이도 넓어요. 높이와 면적은 서로 다른 값이에요. 동도와 서도는 바다로 떨어져 있어요. 가장 가까운 해안 사이 거리는 약 151m예요. 서도는 가파르게 솟은 모습이고, 동도는 정상 부근에 비교적 완만한 공간이 있어요. 독도는 큰 해저 화산체의 일부가 물 위에 드러난 모습이에요. 바닷속에도 지형이 이어져요.</t>
        </is>
      </c>
      <c r="E3" s="8" t="inlineStr">
        <is>
          <t>dk-heights
dk-area
dk-shore-gap
dk-terrain-contrast
dk-above-below</t>
        </is>
      </c>
      <c r="F3" s="8" t="inlineStr">
        <is>
          <t>https://www.dokdo.re.kr/home/cms/cmsCont.do?cntnts_sn=66
https://dokdo.mofa.go.kr/kor/introduce/location.jsp
https://www.jbe.go.kr/dokdo/assets/sub/picture.html
https://www.heritage.go.kr/heri/cul/culSelectDetail.do?VdkVgwKey=16%2C03360000%2C37&amp;pageNo=1_1_2_0</t>
        </is>
      </c>
    </row>
    <row r="4" ht="142" customHeight="1">
      <c r="A4" s="2" t="n">
        <v>3</v>
      </c>
      <c r="B4" s="2" t="inlineStr">
        <is>
          <t>화산이 만든 독도</t>
        </is>
      </c>
      <c r="C4" s="2" t="inlineStr">
        <is>
          <t>지형</t>
        </is>
      </c>
      <c r="D4" s="2" t="inlineStr">
        <is>
          <t>독도는 바닷속 화산활동으로 만들어졌어요. 화산에서 나온 물질이 쌓이고 굳어 바위가 되었어요. 독도는 오랜 시간에 걸쳐 만들어지고 변했어요. 바닷속에서 자란 뒤 물 위로 드러났어요. 독도 해안의 파도는 바위를 깎아요. 해안 절벽·동굴·바위 아치 같은 지형이 생기는 데 영향을 주었어요. 독도 바위는 바람과 파도에 노출되어 조금씩 풍화되고 깎여요. 바위와 해안을 계속 살피는 연구가 필요해요. 서도의 물골에는 바위에서 떨어지는 물이 있어요. 담수화 시설이 생기기 전에는 식수원으로 쓰였어요.</t>
        </is>
      </c>
      <c r="E4" s="6" t="inlineStr">
        <is>
          <t>dk-volcano
dk-formation-time
dk-wave-erosion
dk-weathering
dk-mulgol</t>
        </is>
      </c>
      <c r="F4" s="6" t="inlineStr">
        <is>
          <t>https://korean.visitkorea.or.kr/detail/ms_detail.do?cotid=0fe4eeb6-3f6a-48b1-ab75-c8d4ab6b43be
https://www.dokdo.re.kr/home/cms/cmsCont.do?cntnts_sn=66</t>
        </is>
      </c>
    </row>
    <row r="5" ht="142" customHeight="1">
      <c r="A5" s="4" t="n">
        <v>4</v>
      </c>
      <c r="B5" s="4" t="inlineStr">
        <is>
          <t>생명이 머무는 독도</t>
        </is>
      </c>
      <c r="C5" s="4" t="inlineStr">
        <is>
          <t>생태</t>
        </is>
      </c>
      <c r="D5" s="4" t="inlineStr">
        <is>
          <t>독도는 먼 길을 이동하는 새들이 쉬어 가는 곳이기도 해요. 독도에서는 괭이갈매기·바다제비·슴새 같은 바닷새가 번식해요. 번식은 새끼를 낳고 기르는 일이에요. 독도에는 바닷새도, 미역 같은 바닷말도 있어요. 비슷하게 들리는 말이라도 가리키는 생물은 다를 수 있어요. 독도 땅에는 해국·섬기린초·땅채송화 같은 식물이 자라요. 바닷속 생물과 땅 위 식물을 함께 살펴보면 독도의 생명이 더 잘 보여요. 독도를 보호하는 이유에는 바닷새뿐 아니라 식물·바다 생물·화산 지형의 가치도 있어요.</t>
        </is>
      </c>
      <c r="E5" s="8" t="inlineStr">
        <is>
          <t>dk-migratory-stopover
dk-breeding-birds
dk-birds-and-seaweed
dk-coastal-plants
dk-reserve-scope</t>
        </is>
      </c>
      <c r="F5" s="8" t="inlineStr">
        <is>
          <t>https://dokdo.mofa.go.kr/kor/introduce/nature.jsp
https://www.heritage.go.kr/heri/cul/culSelectDetail.do?VdkVgwKey=16%2C03360000%2C37&amp;pageNo=1_1_2_0</t>
        </is>
      </c>
    </row>
    <row r="6" ht="142" customHeight="1">
      <c r="A6" s="2" t="n">
        <v>5</v>
      </c>
      <c r="B6" s="2" t="inlineStr">
        <is>
          <t>독도 바다의 연결</t>
        </is>
      </c>
      <c r="C6" s="2" t="inlineStr">
        <is>
          <t>생태</t>
        </is>
      </c>
      <c r="D6" s="2" t="inlineStr">
        <is>
          <t>독도 바닷속에는 감태와 대황 같은 해조류가 자라 바다숲을 이루어요. 바위틈에도 여러 생물이 살아요. 독도 주변에서는 따뜻한 흐름과 찬 흐름이 만나고 물이 섞여요. 물의 움직임은 생물이 쓰는 영양분의 이동에도 영향을 줘요. 작은 식물플랑크톤은 독도 바다 먹이 관계의 바탕이 되어요. 이를 먹는 동물플랑크톤과 어린 물고기로 연결될 수 있어요. 독도에는 강치가 살았어요. 연구는 지나치게 많이 잡은 일이 강치 감소와 멸종에 큰 영향을 주었음을 설명해요. 강치의 옛 개체 수는 남아 있는 기록으로 추정해요. 연구 모델의 수치와 당시 직접 센 수치는 구별해야 해요.</t>
        </is>
      </c>
      <c r="E6" s="6" t="inlineStr">
        <is>
          <t>dk-sea-forest
dk-water-mixing
dk-food-links
dk-gangchi-history
dk-model-evidence</t>
        </is>
      </c>
      <c r="F6" s="6" t="inlineStr">
        <is>
          <t>https://www.dokdo.re.kr/home/cms/cmsCont.do?cntnts_sn=82
https://www.dokdo.re.kr/home/cms/cmsCont.do?cntnts_sn=87
https://www.mof.go.kr/doc/ko/selectDoc.do?bbsSeq=10&amp;docSeq=45126&amp;menuSeq=971
https://www.mdpi.com/2077-1312/10/2/271</t>
        </is>
      </c>
    </row>
    <row r="7" ht="142" customHeight="1">
      <c r="A7" s="4" t="n">
        <v>6</v>
      </c>
      <c r="B7" s="4" t="inlineStr">
        <is>
          <t>사람과 시설</t>
        </is>
      </c>
      <c r="C7" s="4" t="inlineStr">
        <is>
          <t>생활</t>
        </is>
      </c>
      <c r="D7" s="4" t="inlineStr">
        <is>
          <t>독도등대는 동도에 있어요. 등대는 바다를 지나는 배가 위치를 알아보는 데 도움을 주어요. 독도의 접안시설은 동도에 있어요. 배가 닿는 곳과 정상의 시설은 같은 장소가 아니에요. 서도에는 주민숙소가 있어요. 독도는 자연환경뿐 아니라 사람들의 생활과 관리 활동도 함께 살펴볼 곳이에요. 독도 생활에는 마실 물이 필요해요. 시설 안내에는 바닷물을 생활에 쓸 물로 바꾸는 담수시설이 나와요. 동도에는 선착장에서 위쪽 시설로 이어지는 길이 있어요. 사진에서 보이는 직선 거리와 실제 걷는 길의 길이는 다를 수 있어요.</t>
        </is>
      </c>
      <c r="E7" s="8" t="inlineStr">
        <is>
          <t>dk-lighthouse
dk-dock
dk-residence
dk-freshwater
dk-routes</t>
        </is>
      </c>
      <c r="F7" s="8" t="inlineStr">
        <is>
          <t>https://dokdo.mofa.go.kr/kor/introduce/facility.jsp
https://www.dokdo.re.kr/home/cms/cmsCont.do?cntnts_sn=66
https://www.jbe.go.kr/dokdo/assets/sub/picture.html
https://dokdo.mofa.go.kr/kor/introduce/residence.jsp</t>
        </is>
      </c>
    </row>
    <row r="8" ht="142" customHeight="1">
      <c r="A8" s="2" t="n">
        <v>7</v>
      </c>
      <c r="B8" s="2" t="inlineStr">
        <is>
          <t>옛 기록의 두 섬</t>
        </is>
      </c>
      <c r="C8" s="2" t="inlineStr">
        <is>
          <t>역사</t>
        </is>
      </c>
      <c r="D8" s="2" t="inlineStr">
        <is>
          <t>『세종실록』 지리지는 조선의 여러 지역을 설명한 기록이에요. 외교부는 이 기록의 우산·무릉을 독도·울릉도와 연결해 소개해요. 조선의 지리지는 나라가 지역을 어떻게 알고 기록했는지 살펴보는 자료예요. 옛 기록의 설명과 오늘의 관찰은 구분해 읽어요. 안용복과 박어둔은 1693년 울릉도에서 어업을 하다가 일본으로 끌려갔어요. 이 사건은 울릉도 관련 교섭의 계기가 되었어요. 안용복의 1696년 활동은 조선의 기록과 일본 오키섬의 조사 기록을 함께 대조하며 살펴볼 수 있어요. 1696년에는 1월 울릉도 도해금지령, 5월 안용복의 일본 도해가 연표에 나와요. 같은 해에도 사건의 순서를 살펴봐야 해요.</t>
        </is>
      </c>
      <c r="E8" s="6" t="inlineStr">
        <is>
          <t>dk-sejong-record
dk-official-geography
dk-an-1693
dk-an-records
dk-an-chronology</t>
        </is>
      </c>
      <c r="F8" s="6" t="inlineStr">
        <is>
          <t>https://dokdo.mofa.go.kr/kor/include/print_faq.jsp?class_faq=q5
https://dokdo.mofa.go.kr/kor/pds/part06_view02.jsp
https://dokdo.mofa.go.kr/m/kor/dokdo/reason_list.jsp</t>
        </is>
      </c>
    </row>
    <row r="9" ht="142" customHeight="1">
      <c r="A9" s="4" t="n">
        <v>8</v>
      </c>
      <c r="B9" s="4" t="inlineStr">
        <is>
          <t>칙령 제41호 읽기</t>
        </is>
      </c>
      <c r="C9" s="4" t="inlineStr">
        <is>
          <t>역사</t>
        </is>
      </c>
      <c r="D9" s="4" t="inlineStr">
        <is>
          <t>대한제국 칙령 제41호는 1900년에 울릉도를 울도로 이름 바꾸고 행정 체계를 정한 문서예요. 칙령 제41호는 도감을 군수로 바꾸도록 했어요. 군수는 군의 행정을 맡는 관리예요. 칙령 제41호 제2조에는 울릉전도·죽도·석도를 관할한다는 내용이 있어요. 원문의 지명과 현대의 해석을 구분하며 읽어요. 칙령 제41호의 날짜는 1900년 10월 25일이고, 관보 게재 날짜는 10월 27일이에요. 문서의 날짜와 공표된 기록의 날짜를 구분해요. 행정 개편은 제안·칙령·관보 게재의 과정으로 살펴볼 수 있어요. 청의서는 안건을 올린 문서예요.</t>
        </is>
      </c>
      <c r="E9" s="8" t="inlineStr">
        <is>
          <t>dk-decree-name
dk-county-head
dk-territory
dk-gazette-date
dk-proposal-order</t>
        </is>
      </c>
      <c r="F9" s="8" t="inlineStr">
        <is>
          <t>https://dokdo.mofa.go.kr/kor/pds/part02_view02.jsp
https://dokdo.mofa.go.kr/kor/pds/part02_view03.jsp
https://dokdo.mofa.go.kr/kor/pds/part02_view01.jsp</t>
        </is>
      </c>
    </row>
    <row r="10" ht="142" customHeight="1">
      <c r="A10" s="2" t="n">
        <v>9</v>
      </c>
      <c r="B10" s="2" t="inlineStr">
        <is>
          <t>1906년의 보고와 대응</t>
        </is>
      </c>
      <c r="C10" s="2" t="inlineStr">
        <is>
          <t>역사</t>
        </is>
      </c>
      <c r="D10" s="2" t="inlineStr">
        <is>
          <t>심흥택은 울도군수였어요. 1906년 독도와 관련해 들은 상황을 상부에 보고했어요. 심흥택의 보고에는 독도를 자기 군에 속한 섬으로 표현한 내용이 있어요. 이 표현은 당시 관리의 인식을 보여줘요. 심흥택 보고에는 일본 관리에게 들은 주장도 들어 있어요. 남의 말을 보고한 것과 그 주장에 동의한 것은 달라요. 1906년 지령 제3호는 일본의 주장을 받아들이지 않고 상황을 더 조사해 보고하도록 했어요. 1900년의 칙령과 1906년의 보고·지령은 서로 다른 때의 행정 기록이에요. 연표에 놓으면 관리와 대응의 흐름을 살펴볼 수 있어요.</t>
        </is>
      </c>
      <c r="E10" s="6" t="inlineStr">
        <is>
          <t>dk-shim-role
dk-county-affiliation
dk-reported-speech
dk-order-response
dk-1900-1906</t>
        </is>
      </c>
      <c r="F10" s="6" t="inlineStr">
        <is>
          <t>https://dokdo.mofa.go.kr/kor/pds/part02_view02.jsp
https://dokdo.mofa.go.kr/kor/pds/part02_view05.jsp
https://dokdo.mofa.go.kr/kor/pds/part02_view04.jsp
https://dokdo.mofa.go.kr/m/kor/dokdo/reason_list.jsp</t>
        </is>
      </c>
    </row>
    <row r="11" ht="142" customHeight="1">
      <c r="A11" s="4" t="n">
        <v>10</v>
      </c>
      <c r="B11" s="4" t="inlineStr">
        <is>
          <t>바위와 물길 살펴보기</t>
        </is>
      </c>
      <c r="C11" s="4" t="inlineStr">
        <is>
          <t>지형</t>
        </is>
      </c>
      <c r="D11" s="4" t="inlineStr">
        <is>
          <t>동도의 천장굴은 섬 안쪽으로 움푹 들어간 통 모양 지형이에요. 바다 쪽 벽에 있는 작은 구멍과는 다르게 보아야 해요. 독립문바위는 바위에 문처럼 열린 아치 모양이 있어서 붙은 이름이에요. 사람이 지은 문은 아니에요. 숫돌바위는 동도 선착장 가까이에서 볼 수 있어요. 칼을 가는 숫돌과 비슷한 바위 성질에서 이름이 왔어요. 큰가제바위와 작은가제바위의 ‘가제’는 강치를 부르던 현지 말과 연결돼요. 지명에는 생물과 사람의 기억이 남기도 해요. 탕건봉은 선비들이 쓰던 탕건을 닮은 모습에서 이름이 붙었어요. 독도 지명에는 바위의 모양을 담은 이름이 많아요.</t>
        </is>
      </c>
      <c r="E11" s="8" t="inlineStr">
        <is>
          <t>dk-cheonjang
dk-dongnim-arch
dk-sutdol
dk-gaje-name
dk-tanggeon</t>
        </is>
      </c>
      <c r="F11" s="8" t="inlineStr">
        <is>
          <t>https://www.dokdo.re.kr/home/cms/cmsCont.do?cntnts_sn=65
https://www.heritage.go.kr/heri/cul/culSelectDetail.do?VdkVgwKey=16%2C03360000%2C37&amp;pageNo=1_1_2_0
https://korean.visitkorea.or.kr/detail/ms_detail.do?cotid=603167d6-1056-43c1-8a3d-c8640dd25938</t>
        </is>
      </c>
    </row>
    <row r="12" ht="142" customHeight="1">
      <c r="A12" s="2" t="n">
        <v>11</v>
      </c>
      <c r="B12" s="2" t="inlineStr">
        <is>
          <t>기록을 함께 읽기</t>
        </is>
      </c>
      <c r="C12" s="2" t="inlineStr">
        <is>
          <t>역사</t>
        </is>
      </c>
      <c r="D12" s="2" t="inlineStr">
        <is>
          <t>태정관지령은 1877년 일본의 행정 문서예요. 어떤 기관이 무엇을 검토하고 답했는지 확인하며 읽어야 해요. 옛 일본 기록에서 다케시마가 울릉도를 가리킨 경우가 있어요. 같은 이름도 시기와 자료에 따라 가리키는 섬을 확인해야 해요. 태정관 관련 자료는 문서와 함께 첨부 지도를 대조해 섬 이름을 살펴봐요. 지도에 적힌 이름과 위치 관계를 함께 읽는 것이 중요해요. 칙령은 제도를 정하고, 보고서는 상황을 알리며, 지령은 처리 방향을 지시해요. 독도 관련 기록도 역할이 다르므로 함께 구분해 읽어요. 독도 관련 사료를 읽을 때는 옛 문서 자체와 오늘의 설명을 구분해요. 해설을 이용하되 누가 어떻게 해석했는지 밝혀야 해요.</t>
        </is>
      </c>
      <c r="E12" s="6" t="inlineStr">
        <is>
          <t>dk-dajokan-type
dk-historic-name-context
dk-map-and-document
dk-record-types
dk-authority-and-interpretation</t>
        </is>
      </c>
      <c r="F12" s="6" t="inlineStr">
        <is>
          <t>https://dokdo.mofa.go.kr/kor/pds/part05_view03.jsp
https://dokdo.mofa.go.kr/kor/include/print_faq.jsp?class_faq=q7
https://dokdo.mofa.go.kr/kor/pds/part02_view02.jsp
https://dokdo.mofa.go.kr/kor/pds/part02_view05.jsp
https://dokdo.mofa.go.kr/kor/pds/part06_view02.jsp
https://dokdo.mofa.go.kr/kor/pds/part02_view04.jsp
https://dokdo.mofa.go.kr/m/kor/dokdo/reason_list.jsp</t>
        </is>
      </c>
    </row>
    <row r="13" ht="142" customHeight="1">
      <c r="A13" s="4" t="n">
        <v>12</v>
      </c>
      <c r="B13" s="4" t="inlineStr">
        <is>
          <t>나의 독도 해설</t>
        </is>
      </c>
      <c r="C13" s="4" t="inlineStr">
        <is>
          <t>종합</t>
        </is>
      </c>
      <c r="D13" s="4" t="inlineStr">
        <is>
          <t>독도로 가는 배가 있어도 날씨나 선박 사정에 따라 섬에 내리지 못할 수 있어요. 방문 전에는 최신 안내를 확인해야 해요. 독도는 바다의 영향을 받는 해양성 기후예요. 안개와 구름도 자주 나타나 실제 보이는 모습은 날마다 다를 수 있어요. 독도의 주소는 경상북도 울릉군 울릉읍에 속해요. 동도와 서도에는 서로 다른 도로명 주소가 있어요. 독도 천연보호구역과 방문객에게 열린 관람 구역은 같지 않아요. 일부를 관람할 수 있다고 섬 전체에 들어갈 수 있는 것은 아니에요. 독도는 화산이 만든 섬이자 생명이 머무는 곳이고, 사람들의 생활과 역사 기록이 남은 곳이에요. 서로 다른 자료를 연결하면 더 잘 설명할 수 있어요.</t>
        </is>
      </c>
      <c r="E13" s="8" t="inlineStr">
        <is>
          <t>dk-weather-access
dk-maritime-climate
dk-admin-address
dk-visiting-scope
dk-whole-dokdo</t>
        </is>
      </c>
      <c r="F13" s="8" t="inlineStr">
        <is>
          <t>https://www.mof.go.kr/doc/ko/selectDoc.do?bbsSeq=27&amp;docSeq=20937&amp;menuSeq=929
https://dokdo.mofa.go.kr/kor/pds/part02_view02.jsp
https://www.dokdo.re.kr/home/cms/cmsCont.do?cntnts_sn=66
https://dokdo.mofa.go.kr/kor/introduce/location.jsp
https://dokdo.mofa.go.kr/kor/introduce/nature.jsp
https://www.heritage.go.kr/heri/cul/culSelectDetail.do?VdkVgwKey=16%2C03360000%2C37&amp;pageNo=1_1_2_0
https://dokdo.mofa.go.kr/kor/introduce/residence.jsp</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showGridLines="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2" customWidth="1" min="1" max="1"/>
    <col width="48" customWidth="1" min="2" max="2"/>
    <col width="76" customWidth="1" min="3" max="3"/>
    <col width="100" customWidth="1" min="4" max="4"/>
    <col width="16" customWidth="1" min="5" max="5"/>
  </cols>
  <sheetData>
    <row r="1" ht="31" customHeight="1">
      <c r="A1" s="1" t="inlineStr">
        <is>
          <t>키</t>
        </is>
      </c>
      <c r="B1" s="1" t="inlineStr">
        <is>
          <t>기관·자료</t>
        </is>
      </c>
      <c r="C1" s="1" t="inlineStr">
        <is>
          <t>확인 위치</t>
        </is>
      </c>
      <c r="D1" s="1" t="inlineStr">
        <is>
          <t>URL</t>
        </is>
      </c>
      <c r="E1" s="1" t="inlineStr">
        <is>
          <t>확인일</t>
        </is>
      </c>
    </row>
    <row r="2" ht="62" customHeight="1">
      <c r="A2" s="2" t="inlineStr">
        <is>
          <t>location</t>
        </is>
      </c>
      <c r="B2" s="2" t="inlineStr">
        <is>
          <t>외교부 · 독도의 구성 및 위치</t>
        </is>
      </c>
      <c r="C2" s="2" t="inlineStr">
        <is>
          <t>두 큰 섬·부속 도서 / 높이·면적 / 울릉도·오키섬 거리</t>
        </is>
      </c>
      <c r="D2" s="2" t="inlineStr">
        <is>
          <t>https://dokdo.mofa.go.kr/kor/introduce/location.jsp</t>
        </is>
      </c>
      <c r="E2" s="6" t="inlineStr">
        <is>
          <t>2026-09-11</t>
        </is>
      </c>
    </row>
    <row r="3" ht="62" customHeight="1">
      <c r="A3" s="4" t="inlineStr">
        <is>
          <t>geology</t>
        </is>
      </c>
      <c r="B3" s="4" t="inlineStr">
        <is>
          <t>한국해양과학기술원 · 독도 지형 및 지질</t>
        </is>
      </c>
      <c r="C3" s="4" t="inlineStr">
        <is>
          <t>해저 화산의 형성 / 해안 침식 지형 / 물골 / 지형 변화</t>
        </is>
      </c>
      <c r="D3" s="4" t="inlineStr">
        <is>
          <t>https://www.dokdo.re.kr/home/cms/cmsCont.do?cntnts_sn=66</t>
        </is>
      </c>
      <c r="E3" s="8" t="inlineStr">
        <is>
          <t>2026-09-11</t>
        </is>
      </c>
    </row>
    <row r="4" ht="62" customHeight="1">
      <c r="A4" s="2" t="inlineStr">
        <is>
          <t>nature</t>
        </is>
      </c>
      <c r="B4" s="2" t="inlineStr">
        <is>
          <t>외교부 · 독도의 자연환경</t>
        </is>
      </c>
      <c r="C4" s="2" t="inlineStr">
        <is>
          <t>독도 식물·조류·해양생물 / 철새 이동경로의 휴식처</t>
        </is>
      </c>
      <c r="D4" s="2" t="inlineStr">
        <is>
          <t>https://dokdo.mofa.go.kr/kor/introduce/nature.jsp</t>
        </is>
      </c>
      <c r="E4" s="6" t="inlineStr">
        <is>
          <t>2026-09-11</t>
        </is>
      </c>
    </row>
    <row r="5" ht="62" customHeight="1">
      <c r="A5" s="4" t="inlineStr">
        <is>
          <t>forest</t>
        </is>
      </c>
      <c r="B5" s="4" t="inlineStr">
        <is>
          <t>한국해양과학기술원 · 독도 암반생태계</t>
        </is>
      </c>
      <c r="C5" s="4" t="inlineStr">
        <is>
          <t>감태·대황 해조숲 / 바위틈 생물 / 장기 관찰</t>
        </is>
      </c>
      <c r="D5" s="4" t="inlineStr">
        <is>
          <t>https://www.dokdo.re.kr/home/cms/cmsCont.do?cntnts_sn=87</t>
        </is>
      </c>
      <c r="E5" s="8" t="inlineStr">
        <is>
          <t>2026-09-11</t>
        </is>
      </c>
    </row>
    <row r="6" ht="62" customHeight="1">
      <c r="A6" s="2" t="inlineStr">
        <is>
          <t>mix</t>
        </is>
      </c>
      <c r="B6" s="2" t="inlineStr">
        <is>
          <t>한국해양과학기술원 · 독도의 해양환경</t>
        </is>
      </c>
      <c r="C6" s="2" t="inlineStr">
        <is>
          <t>수괴 혼합·영양염·식물플랑크톤과 조사 자료</t>
        </is>
      </c>
      <c r="D6" s="2" t="inlineStr">
        <is>
          <t>https://www.dokdo.re.kr/home/cms/cmsCont.do?cntnts_sn=78</t>
        </is>
      </c>
      <c r="E6" s="6" t="inlineStr">
        <is>
          <t>2026-09-11</t>
        </is>
      </c>
    </row>
    <row r="7" ht="62" customHeight="1">
      <c r="A7" s="4" t="inlineStr">
        <is>
          <t>facility</t>
        </is>
      </c>
      <c r="B7" s="4" t="inlineStr">
        <is>
          <t>외교부 · 독도 주요시설물</t>
        </is>
      </c>
      <c r="C7" s="4" t="inlineStr">
        <is>
          <t>서도 주민숙소 / 동도 접안시설·등대·경비대 / 담수시설</t>
        </is>
      </c>
      <c r="D7" s="4" t="inlineStr">
        <is>
          <t>https://dokdo.mofa.go.kr/kor/introduce/facility.jsp</t>
        </is>
      </c>
      <c r="E7" s="8" t="inlineStr">
        <is>
          <t>2026-09-11</t>
        </is>
      </c>
    </row>
    <row r="8" ht="62" customHeight="1">
      <c r="A8" s="2" t="inlineStr">
        <is>
          <t>visit</t>
        </is>
      </c>
      <c r="B8" s="2" t="inlineStr">
        <is>
          <t>외교부 · 주민 및 입도 안내</t>
        </is>
      </c>
      <c r="C8" s="2" t="inlineStr">
        <is>
          <t>입도 유의사항·동도 선착장 관람 / 2026년 7월 기준 표기. 실제 방문 전 최신 안내 확인</t>
        </is>
      </c>
      <c r="D8" s="2" t="inlineStr">
        <is>
          <t>https://dokdo.mofa.go.kr/kor/introduce/residence.jsp</t>
        </is>
      </c>
      <c r="E8" s="6" t="inlineStr">
        <is>
          <t>2026-09-11</t>
        </is>
      </c>
    </row>
    <row r="9" ht="62" customHeight="1">
      <c r="A9" s="4" t="inlineStr">
        <is>
          <t>sejong</t>
        </is>
      </c>
      <c r="B9" s="4" t="inlineStr">
        <is>
          <t>외교부 자료실 · 세종실록 지리지(1454)</t>
        </is>
      </c>
      <c r="C9" s="4" t="inlineStr">
        <is>
          <t>우산·무릉과 맑은 날의 가시성; 괄호 안 현대 지명은 외교부 해석</t>
        </is>
      </c>
      <c r="D9" s="4" t="inlineStr">
        <is>
          <t>https://dokdo.mofa.go.kr/kor/pds/part06_view02.jsp</t>
        </is>
      </c>
      <c r="E9" s="8" t="inlineStr">
        <is>
          <t>2026-09-11</t>
        </is>
      </c>
    </row>
    <row r="10" ht="62" customHeight="1">
      <c r="A10" s="2" t="inlineStr">
        <is>
          <t>an</t>
        </is>
      </c>
      <c r="B10" s="2" t="inlineStr">
        <is>
          <t>외교부 · 안용복의 활동과 기록</t>
        </is>
      </c>
      <c r="C10" s="2" t="inlineStr">
        <is>
          <t>1693년과 1696년 / 숙종실록과 오키섬 조사 기록</t>
        </is>
      </c>
      <c r="D10" s="2" t="inlineStr">
        <is>
          <t>https://dokdo.mofa.go.kr/kor/include/print_faq.jsp?class_faq=q5</t>
        </is>
      </c>
      <c r="E10" s="6" t="inlineStr">
        <is>
          <t>2026-09-11</t>
        </is>
      </c>
    </row>
    <row r="11" ht="62" customHeight="1">
      <c r="A11" s="4" t="inlineStr">
        <is>
          <t>timeline</t>
        </is>
      </c>
      <c r="B11" s="4" t="inlineStr">
        <is>
          <t>외교부 · 독도 연표</t>
        </is>
      </c>
      <c r="C11" s="4" t="inlineStr">
        <is>
          <t>1694 수토 / 1696년 1월 금지령·5월 도일 / 1900·1905·1906 순서</t>
        </is>
      </c>
      <c r="D11" s="4" t="inlineStr">
        <is>
          <t>https://dokdo.mofa.go.kr/m/kor/dokdo/reason_list.jsp</t>
        </is>
      </c>
      <c r="E11" s="8" t="inlineStr">
        <is>
          <t>2026-09-11</t>
        </is>
      </c>
    </row>
    <row r="12" ht="62" customHeight="1">
      <c r="A12" s="2" t="inlineStr">
        <is>
          <t>decree</t>
        </is>
      </c>
      <c r="B12" s="2" t="inlineStr">
        <is>
          <t>외교부 자료실 · 대한제국 칙령 제41호</t>
        </is>
      </c>
      <c r="C12" s="2" t="inlineStr">
        <is>
          <t>1900.10.25 / 제1조 울도·군수 / 제2조 울릉전도·죽도·석도</t>
        </is>
      </c>
      <c r="D12" s="2" t="inlineStr">
        <is>
          <t>https://dokdo.mofa.go.kr/kor/pds/part02_view02.jsp</t>
        </is>
      </c>
      <c r="E12" s="6" t="inlineStr">
        <is>
          <t>2026-09-11</t>
        </is>
      </c>
    </row>
    <row r="13" ht="62" customHeight="1">
      <c r="A13" s="4" t="inlineStr">
        <is>
          <t>gazette</t>
        </is>
      </c>
      <c r="B13" s="4" t="inlineStr">
        <is>
          <t>외교부 자료실 · 관보(1900.10.27)</t>
        </is>
      </c>
      <c r="C13" s="4" t="inlineStr">
        <is>
          <t>관보 게재 날짜와 칙령 날짜의 구분</t>
        </is>
      </c>
      <c r="D13" s="4" t="inlineStr">
        <is>
          <t>https://dokdo.mofa.go.kr/kor/pds/part02_view03.jsp</t>
        </is>
      </c>
      <c r="E13" s="8" t="inlineStr">
        <is>
          <t>2026-09-11</t>
        </is>
      </c>
    </row>
    <row r="14" ht="62" customHeight="1">
      <c r="A14" s="2" t="inlineStr">
        <is>
          <t>petition</t>
        </is>
      </c>
      <c r="B14" s="2" t="inlineStr">
        <is>
          <t>외교부 자료실 · 의정부 청의서(1900.10.22)</t>
        </is>
      </c>
      <c r="C14" s="2" t="inlineStr">
        <is>
          <t>행정 개편 제안과 칙령안</t>
        </is>
      </c>
      <c r="D14" s="2" t="inlineStr">
        <is>
          <t>https://dokdo.mofa.go.kr/kor/pds/part02_view01.jsp</t>
        </is>
      </c>
      <c r="E14" s="6" t="inlineStr">
        <is>
          <t>2026-09-11</t>
        </is>
      </c>
    </row>
    <row r="15" ht="62" customHeight="1">
      <c r="A15" s="4" t="inlineStr">
        <is>
          <t>shim</t>
        </is>
      </c>
      <c r="B15" s="4" t="inlineStr">
        <is>
          <t>외교부 자료실 · 심흥택 보고서(1906)</t>
        </is>
      </c>
      <c r="C15" s="4" t="inlineStr">
        <is>
          <t>본군 소속 독도 / 일본 관리 발언의 인용 / 보고 전달</t>
        </is>
      </c>
      <c r="D15" s="4" t="inlineStr">
        <is>
          <t>https://dokdo.mofa.go.kr/kor/pds/part02_view04.jsp</t>
        </is>
      </c>
      <c r="E15" s="8" t="inlineStr">
        <is>
          <t>2026-09-11</t>
        </is>
      </c>
    </row>
    <row r="16" ht="62" customHeight="1">
      <c r="A16" s="2" t="inlineStr">
        <is>
          <t>order</t>
        </is>
      </c>
      <c r="B16" s="2" t="inlineStr">
        <is>
          <t>외교부 자료실 · 지령 제3호(1906.5.10)</t>
        </is>
      </c>
      <c r="C16" s="2" t="inlineStr">
        <is>
          <t>일본 주장 부인과 형편·행동 재조사 지시</t>
        </is>
      </c>
      <c r="D16" s="2" t="inlineStr">
        <is>
          <t>https://dokdo.mofa.go.kr/kor/pds/part02_view05.jsp</t>
        </is>
      </c>
      <c r="E16" s="6" t="inlineStr">
        <is>
          <t>2026-09-11</t>
        </is>
      </c>
    </row>
    <row r="17" ht="62" customHeight="1">
      <c r="A17" s="4" t="inlineStr">
        <is>
          <t>dajokan</t>
        </is>
      </c>
      <c r="B17" s="4" t="inlineStr">
        <is>
          <t>외교부 자료실 · 태정관지령(1877)</t>
        </is>
      </c>
      <c r="C17" s="4" t="inlineStr">
        <is>
          <t>행정 질의·지령, 다케시마 외 일도; 현대 지명 식별은 외교부 해설</t>
        </is>
      </c>
      <c r="D17" s="4" t="inlineStr">
        <is>
          <t>https://dokdo.mofa.go.kr/kor/pds/part05_view03.jsp</t>
        </is>
      </c>
      <c r="E17" s="8" t="inlineStr">
        <is>
          <t>2026-09-11</t>
        </is>
      </c>
    </row>
    <row r="18" ht="62" customHeight="1">
      <c r="A18" s="2" t="inlineStr">
        <is>
          <t>dajokanmap</t>
        </is>
      </c>
      <c r="B18" s="2" t="inlineStr">
        <is>
          <t>외교부 · 태정관지령과 기죽도약도</t>
        </is>
      </c>
      <c r="C18" s="2" t="inlineStr">
        <is>
          <t>첨부 지도와 문서의 지명 대응</t>
        </is>
      </c>
      <c r="D18" s="2" t="inlineStr">
        <is>
          <t>https://dokdo.mofa.go.kr/kor/include/print_faq.jsp?class_faq=q7</t>
        </is>
      </c>
      <c r="E18" s="6" t="inlineStr">
        <is>
          <t>2026-09-11</t>
        </is>
      </c>
    </row>
    <row r="19" ht="62" customHeight="1">
      <c r="A19" s="4" t="inlineStr">
        <is>
          <t>arch</t>
        </is>
      </c>
      <c r="B19" s="4" t="inlineStr">
        <is>
          <t>한국관광공사 · 독립문바위</t>
        </is>
      </c>
      <c r="C19" s="4" t="inlineStr">
        <is>
          <t>동도 해식아치의 형태와 형성</t>
        </is>
      </c>
      <c r="D19" s="4" t="inlineStr">
        <is>
          <t>https://korean.visitkorea.or.kr/detail/ms_detail.do?cotid=0fe4eeb6-3f6a-48b1-ab75-c8d4ab6b43be</t>
        </is>
      </c>
      <c r="E19" s="8" t="inlineStr">
        <is>
          <t>2026-09-11</t>
        </is>
      </c>
    </row>
    <row r="20" ht="62" customHeight="1">
      <c r="A20" s="2" t="inlineStr">
        <is>
          <t>cave</t>
        </is>
      </c>
      <c r="B20" s="2" t="inlineStr">
        <is>
          <t>한국관광공사 · 천장굴</t>
        </is>
      </c>
      <c r="C20" s="2" t="inlineStr">
        <is>
          <t>동도 중앙의 우물 모양 함몰 지형</t>
        </is>
      </c>
      <c r="D20" s="2" t="inlineStr">
        <is>
          <t>https://korean.visitkorea.or.kr/detail/ms_detail.do?cotid=21978541-1e2d-4dd8-83fd-92ce4f55dec6</t>
        </is>
      </c>
      <c r="E20" s="6" t="inlineStr">
        <is>
          <t>2026-09-11</t>
        </is>
      </c>
    </row>
    <row r="21" ht="62" customHeight="1">
      <c r="A21" s="4" t="inlineStr">
        <is>
          <t>photos</t>
        </is>
      </c>
      <c r="B21" s="4" t="inlineStr">
        <is>
          <t>전북교육청 · 독도 사진 자료</t>
        </is>
      </c>
      <c r="C21" s="4" t="inlineStr">
        <is>
          <t>두 섬·선착장·등대로 가는 길·바위의 사진 설명; 사진 파일은 재배포하지 않음</t>
        </is>
      </c>
      <c r="D21" s="4" t="inlineStr">
        <is>
          <t>https://www.jbe.go.kr/dokdo/assets/sub/picture.html</t>
        </is>
      </c>
      <c r="E21" s="8" t="inlineStr">
        <is>
          <t>2026-09-11</t>
        </is>
      </c>
    </row>
    <row r="22" ht="62" customHeight="1">
      <c r="A22" s="2" t="inlineStr">
        <is>
          <t>reserve</t>
        </is>
      </c>
      <c r="B22" s="2" t="inlineStr">
        <is>
          <t>국가유산청 · 독도 천연보호구역</t>
        </is>
      </c>
      <c r="C22" s="2" t="inlineStr">
        <is>
          <t>해안지형·조류 번식지·식생 보호; 지정 날짜를 묻는 문항은 제외</t>
        </is>
      </c>
      <c r="D22" s="2" t="inlineStr">
        <is>
          <t>https://www.heritage.go.kr/heri/cul/culSelectDetail.do?VdkVgwKey=16%2C03360000%2C37&amp;pageNo=1_1_2_0</t>
        </is>
      </c>
      <c r="E22" s="6" t="inlineStr">
        <is>
          <t>2026-09-11</t>
        </is>
      </c>
    </row>
    <row r="23" ht="62" customHeight="1">
      <c r="A23" s="4" t="inlineStr">
        <is>
          <t>gangchi</t>
        </is>
      </c>
      <c r="B23" s="4" t="inlineStr">
        <is>
          <t>해양수산부 · 독도 강치 연구 발표(2022)</t>
        </is>
      </c>
      <c r="C23" s="4" t="inlineStr">
        <is>
          <t>포획 자료 기반 개체군 추정과 남획의 영향; 모델과 직접 관측 구분</t>
        </is>
      </c>
      <c r="D23" s="4" t="inlineStr">
        <is>
          <t>https://www.mof.go.kr/doc/ko/selectDoc.do?bbsSeq=10&amp;docSeq=45126&amp;menuSeq=971</t>
        </is>
      </c>
      <c r="E23" s="8" t="inlineStr">
        <is>
          <t>2026-09-11</t>
        </is>
      </c>
    </row>
    <row r="24" ht="62" customHeight="1">
      <c r="A24" s="2" t="inlineStr">
        <is>
          <t>effect</t>
        </is>
      </c>
      <c r="B24" s="2" t="inlineStr">
        <is>
          <t>한국해양과학기술원 · 독도 섬효과</t>
        </is>
      </c>
      <c r="C24" s="2" t="inlineStr">
        <is>
          <t>난류·한류 혼합 / 영양염의 상층 공급 / 식물플랑크톤과 성육장 기능</t>
        </is>
      </c>
      <c r="D24" s="2" t="inlineStr">
        <is>
          <t>https://www.dokdo.re.kr/home/cms/cmsCont.do?cntnts_sn=82</t>
        </is>
      </c>
      <c r="E24" s="6" t="inlineStr">
        <is>
          <t>2026-09-11</t>
        </is>
      </c>
    </row>
    <row r="25" ht="62" customHeight="1">
      <c r="A25" s="4" t="inlineStr">
        <is>
          <t>gangchi-paper</t>
        </is>
      </c>
      <c r="B25" s="4" t="inlineStr">
        <is>
          <t>Lee 외(2022) · 독도 강치 개체군 모의 연구</t>
        </is>
      </c>
      <c r="C25" s="4" t="inlineStr">
        <is>
          <t>Abstract 및 Discussion / 포획 압력·모델 가정과 환경 변화 미포함의 한계; CC BY 4.0</t>
        </is>
      </c>
      <c r="D25" s="4" t="inlineStr">
        <is>
          <t>https://www.mdpi.com/2077-1312/10/2/271</t>
        </is>
      </c>
      <c r="E25" s="8" t="inlineStr">
        <is>
          <t>2026-09-11</t>
        </is>
      </c>
    </row>
    <row r="26" ht="62" customHeight="1">
      <c r="A26" s="2" t="inlineStr">
        <is>
          <t>names</t>
        </is>
      </c>
      <c r="B26" s="2" t="inlineStr">
        <is>
          <t>한국해양과학기술원 · 독도의 지명</t>
        </is>
      </c>
      <c r="C26" s="2" t="inlineStr">
        <is>
          <t>천장굴·독립문바위·숫돌바위·가제바위·탕건봉의 지명 유래; 지도용 정확한 좌표로 사용하지 않음</t>
        </is>
      </c>
      <c r="D26" s="2" t="inlineStr">
        <is>
          <t>https://www.dokdo.re.kr/home/cms/cmsCont.do?cntnts_sn=65</t>
        </is>
      </c>
      <c r="E26" s="6" t="inlineStr">
        <is>
          <t>2026-09-11</t>
        </is>
      </c>
    </row>
    <row r="27" ht="62" customHeight="1">
      <c r="A27" s="4" t="inlineStr">
        <is>
          <t>sutdol</t>
        </is>
      </c>
      <c r="B27" s="4" t="inlineStr">
        <is>
          <t>한국관광공사 · 숫돌바위</t>
        </is>
      </c>
      <c r="C27" s="4" t="inlineStr">
        <is>
          <t>동도 선착장 근처 / 숫돌과 비슷한 암질 / 수평 주상절리</t>
        </is>
      </c>
      <c r="D27" s="4" t="inlineStr">
        <is>
          <t>https://korean.visitkorea.or.kr/detail/ms_detail.do?cotid=603167d6-1056-43c1-8a3d-c8640dd25938</t>
        </is>
      </c>
      <c r="E27" s="8" t="inlineStr">
        <is>
          <t>2026-09-11</t>
        </is>
      </c>
    </row>
    <row r="28" ht="62" customHeight="1">
      <c r="A28" s="2" t="inlineStr">
        <is>
          <t>address</t>
        </is>
      </c>
      <c r="B28" s="2" t="inlineStr">
        <is>
          <t>해양수산부 · 독도의 주소와 위치</t>
        </is>
      </c>
      <c r="C28" s="2" t="inlineStr">
        <is>
          <t>동도·서도의 도로명 주소와 위치; 2018년 등록 자료, 2026-09-11 대조</t>
        </is>
      </c>
      <c r="D28" s="2" t="inlineStr">
        <is>
          <t>https://www.mof.go.kr/doc/ko/selectDoc.do?bbsSeq=27&amp;docSeq=20937&amp;menuSeq=929</t>
        </is>
      </c>
      <c r="E28" s="6" t="inlineStr">
        <is>
          <t>2026-09-11</t>
        </is>
      </c>
    </row>
  </sheetData>
  <autoFilter ref="A1:E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2026-09-11T12:25:28Z</dcterms:created>
  <dcterms:modified xmlns:dcterms="http://purl.org/dc/terms/" xmlns:xsi="http://www.w3.org/2001/XMLSchema-instance" xsi:type="dcterms:W3CDTF">2026-09-11T12:25:28Z</dcterms:modified>
</cp:coreProperties>
</file>