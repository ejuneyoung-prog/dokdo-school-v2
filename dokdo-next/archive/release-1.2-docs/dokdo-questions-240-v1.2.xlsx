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문항240" sheetId="2" state="visible" r:id="rId2"/>
    <sheet xmlns:r="http://schemas.openxmlformats.org/officeDocument/2006/relationships" name="보기해설711" sheetId="3" state="visible" r:id="rId3"/>
    <sheet xmlns:r="http://schemas.openxmlformats.org/officeDocument/2006/relationships" name="자료와출처" sheetId="4" state="visible" r:id="rId4"/>
    <sheet xmlns:r="http://schemas.openxmlformats.org/officeDocument/2006/relationships" name="영어240" sheetId="5" state="visible" r:id="rId5"/>
    <sheet xmlns:r="http://schemas.openxmlformats.org/officeDocument/2006/relationships" name="이전대조" sheetId="6" state="visible" r:id="rId6"/>
    <sheet xmlns:r="http://schemas.openxmlformats.org/officeDocument/2006/relationships" name="출처30" sheetId="7" state="visible" r:id="rId7"/>
    <sheet xmlns:r="http://schemas.openxmlformats.org/officeDocument/2006/relationships" name="읽기점검" sheetId="8" state="visible" r:id="rId8"/>
    <sheet xmlns:r="http://schemas.openxmlformats.org/officeDocument/2006/relationships" name="문항정의" sheetId="9" state="visible" r:id="rId9"/>
  </sheets>
  <definedNames>
    <definedName name="_xlnm.Print_Area" localSheetId="0">'요약'!$A$1:$F$31</definedName>
    <definedName name="_xlnm._FilterDatabase" localSheetId="1" hidden="1">'문항240'!$A$1:$P$241</definedName>
    <definedName name="_xlnm.Print_Titles" localSheetId="1">'문항240'!$1:$1</definedName>
    <definedName name="_xlnm._FilterDatabase" localSheetId="2" hidden="1">'보기해설711'!$A$1:$G$712</definedName>
    <definedName name="_xlnm.Print_Titles" localSheetId="2">'보기해설711'!$1:$1</definedName>
    <definedName name="_xlnm._FilterDatabase" localSheetId="3" hidden="1">'자료와출처'!$A$1:$H$241</definedName>
    <definedName name="_xlnm.Print_Titles" localSheetId="3">'자료와출처'!$1:$1</definedName>
    <definedName name="_xlnm._FilterDatabase" localSheetId="4" hidden="1">'영어240'!$A$1:$K$241</definedName>
    <definedName name="_xlnm.Print_Titles" localSheetId="4">'영어240'!$1:$1</definedName>
    <definedName name="_xlnm._FilterDatabase" localSheetId="5" hidden="1">'이전대조'!$A$1:$E$241</definedName>
    <definedName name="_xlnm.Print_Titles" localSheetId="5">'이전대조'!$1:$1</definedName>
    <definedName name="_xlnm._FilterDatabase" localSheetId="6" hidden="1">'출처30'!$A$1:$I$31</definedName>
    <definedName name="_xlnm.Print_Titles" localSheetId="6">'출처30'!$1:$1</definedName>
    <definedName name="_xlnm._FilterDatabase" localSheetId="7" hidden="1">'읽기점검'!$A$1:$F$6</definedName>
    <definedName name="_xlnm.Print_Titles" localSheetId="7">'읽기점검'!$1:$1</definedName>
    <definedName name="_xlnm._FilterDatabase" localSheetId="8" hidden="1">'문항정의'!$A$1:$C$11</definedName>
    <definedName name="_xlnm.Print_Titles" localSheetId="8">'문항정의'!$1:$1</definedName>
  </definedNames>
  <calcPr calcId="19102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Arial"/>
      <b val="1"/>
      <color rgb="00FFFFFF"/>
      <sz val="11"/>
    </font>
    <font>
      <name val="Arial"/>
      <color rgb="00177044"/>
      <sz val="11"/>
    </font>
    <font>
      <name val="Arial"/>
      <color rgb="00172B36"/>
      <sz val="11"/>
    </font>
    <font>
      <name val="Arial"/>
      <color rgb="00AE6517"/>
      <sz val="11"/>
    </font>
    <font>
      <name val="Arial"/>
      <b val="1"/>
      <color rgb="00FFFFFF"/>
      <sz val="22"/>
    </font>
    <font>
      <name val="Arial"/>
      <color rgb="00AE6517"/>
      <sz val="12"/>
    </font>
    <font>
      <name val="Arial"/>
      <color rgb="00637783"/>
      <sz val="12"/>
    </font>
    <font>
      <name val="Arial"/>
      <color rgb="00705298"/>
      <sz val="12"/>
    </font>
    <font>
      <name val="Arial"/>
      <color rgb="00172B36"/>
      <sz val="12"/>
    </font>
    <font>
      <name val="Arial"/>
      <b val="1"/>
      <color rgb="00FFFFFF"/>
      <sz val="12"/>
    </font>
  </fonts>
  <fills count="6">
    <fill>
      <patternFill/>
    </fill>
    <fill>
      <patternFill patternType="gray125"/>
    </fill>
    <fill>
      <patternFill patternType="solid">
        <fgColor rgb="00102B3C"/>
      </patternFill>
    </fill>
    <fill>
      <patternFill patternType="solid">
        <fgColor rgb="00F1F6F7"/>
      </patternFill>
    </fill>
    <fill>
      <patternFill patternType="solid">
        <fgColor rgb="00FFF0D9"/>
      </patternFill>
    </fill>
    <fill>
      <patternFill patternType="solid">
        <fgColor rgb="00236A73"/>
      </patternFill>
    </fill>
  </fills>
  <borders count="1">
    <border>
      <left/>
      <right/>
      <top/>
      <bottom/>
      <diagonal/>
    </border>
  </borders>
  <cellStyleXfs count="1">
    <xf numFmtId="0" fontId="0" fillId="0" borderId="0"/>
  </cellStyleXfs>
  <cellXfs count="15">
    <xf numFmtId="0" fontId="0" fillId="0" borderId="0" pivotButton="0" quotePrefix="0" xfId="0"/>
    <xf numFmtId="0" fontId="5" fillId="2" borderId="0" pivotButton="0" quotePrefix="0" xfId="0"/>
    <xf numFmtId="0" fontId="6" fillId="0" borderId="0" applyAlignment="1" pivotButton="0" quotePrefix="0" xfId="0">
      <alignment vertical="center" wrapText="1"/>
    </xf>
    <xf numFmtId="0" fontId="8" fillId="0" borderId="0" applyAlignment="1" pivotButton="0" quotePrefix="0" xfId="0">
      <alignment vertical="center" wrapText="1"/>
    </xf>
    <xf numFmtId="3" fontId="9" fillId="0" borderId="0" applyAlignment="1" pivotButton="0" quotePrefix="0" xfId="0">
      <alignment vertical="center" wrapText="1"/>
    </xf>
    <xf numFmtId="0" fontId="10" fillId="5" borderId="0" applyAlignment="1" pivotButton="0" quotePrefix="0" xfId="0">
      <alignment vertical="center" wrapText="1"/>
    </xf>
    <xf numFmtId="0" fontId="9" fillId="0" borderId="0" applyAlignment="1" pivotButton="0" quotePrefix="0" xfId="0">
      <alignment vertical="center" wrapText="1"/>
    </xf>
    <xf numFmtId="164" fontId="9" fillId="0" borderId="0" applyAlignment="1" pivotButton="0" quotePrefix="0" xfId="0">
      <alignment vertical="center" wrapText="1"/>
    </xf>
    <xf numFmtId="0" fontId="7" fillId="0" borderId="0" applyAlignment="1" pivotButton="0" quotePrefix="0" xfId="0">
      <alignment vertical="center" wrapText="1"/>
    </xf>
    <xf numFmtId="0" fontId="1" fillId="2" borderId="0" applyAlignment="1" pivotButton="0" quotePrefix="0" xfId="0">
      <alignment vertical="center" wrapText="1"/>
    </xf>
    <xf numFmtId="0" fontId="2" fillId="3" borderId="0" applyAlignment="1" pivotButton="0" quotePrefix="0" xfId="0">
      <alignment vertical="top" wrapText="1"/>
    </xf>
    <xf numFmtId="0" fontId="3"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ns0:worksheet xmlns:ns0="http://schemas.openxmlformats.org/spreadsheetml/2006/main">
  <ns0:sheetPr>
    <ns0:outlinePr summaryBelow="1" summaryRight="1"/>
    <ns0:pageSetUpPr fitToPage="1"/>
  </ns0:sheetPr>
  <ns0:dimension ref="A1:F31"/>
  <ns0:sheetViews>
    <ns0:sheetView showGridLines="0" workbookViewId="0">
      <ns0:pane ySplit="4" topLeftCell="A5" activePane="bottomLeft" state="frozen"/>
      <ns0:selection pane="bottomLeft" activeCell="A1" sqref="A1"/>
    </ns0:sheetView>
  </ns0:sheetViews>
  <ns0:sheetFormatPr baseColWidth="8" defaultRowHeight="15"/>
  <ns0:cols>
    <ns0:col width="32" customWidth="1" min="1" max="1"/>
    <ns0:col width="22" customWidth="1" min="2" max="2"/>
    <ns0:col width="27" customWidth="1" min="3" max="3"/>
    <ns0:col width="27" customWidth="1" min="4" max="4"/>
    <ns0:col width="27" customWidth="1" min="5" max="5"/>
    <ns0:col width="27" customWidth="1" min="6" max="6"/>
  </ns0:cols>
  <ns0:sheetData>
    <ns0:row r="1" ht="42" customHeight="1">
      <ns0:c r="A1" s="1" t="inlineStr">
        <ns0:is>
          <ns0:t>독도 코리아 스쿨 · 질문 전수 수정 1.2</ns0:t>
        </ns0:is>
      </ns0:c>
    </ns0:row>
    <ns0:row r="2" ht="27" customHeight="1">
      <ns0:c r="A2" s="2" t="inlineStr">
        <ns0:is>
          <ns0:t>실제 출제 240문항의 한국어·영어 쌍 / 원래 1,513문항은 미재작성 보관 / 독립 교육 검수 전</ns0:t>
        </ns0:is>
      </ns0:c>
    </ns0:row>
    <ns0:row r="3" ht="27" customHeight="1"/>
    <ns0:row r="5" ht="26" customHeight="1">
      <ns0:c r="A5" s="3" t="inlineStr">
        <ns0:is>
          <ns0:t>수정 문항 쌍</ns0:t>
        </ns0:is>
      </ns0:c>
      <ns0:c r="B5" s="4">
        <ns0:f>COUNTA('문항240'!A2:A241)</ns0:f>
        <ns0:v>240</ns0:v>
      </ns0:c>
      <ns0:c r="C5" s="3" t="n"/>
      <ns0:c r="D5" s="3" t="n"/>
      <ns0:c r="E5" s="3" t="n"/>
      <ns0:c r="F5" s="3" t="n"/>
    </ns0:row>
    <ns0:row r="6" ht="26" customHeight="1">
      <ns0:c r="A6" s="3" t="inlineStr">
        <ns0:is>
          <ns0:t>보기별 해설 쌍</ns0:t>
        </ns0:is>
      </ns0:c>
      <ns0:c r="B6" s="4">
        <ns0:f>COUNTA('보기해설711'!A2:A712)</ns0:f>
        <ns0:v>711</ns0:v>
      </ns0:c>
      <ns0:c r="C6" s="3" t="n"/>
      <ns0:c r="D6" s="3" t="n"/>
      <ns0:c r="E6" s="3" t="n"/>
      <ns0:c r="F6" s="3" t="n"/>
    </ns0:row>
    <ns0:row r="7" ht="26" customHeight="1">
      <ns0:c r="A7" s="3" t="inlineStr">
        <ns0:is>
          <ns0:t>자료가 필요한 문항</ns0:t>
        </ns0:is>
      </ns0:c>
      <ns0:c r="B7" s="4">
        <ns0:f>COUNTIF('자료와출처'!C2:C241,1)</ns0:f>
        <ns0:v>121</ns0:v>
      </ns0:c>
      <ns0:c r="C7" s="3" t="n"/>
      <ns0:c r="D7" s="3" t="n"/>
      <ns0:c r="E7" s="3" t="n"/>
      <ns0:c r="F7" s="3" t="n"/>
    </ns0:row>
    <ns0:row r="8" ht="26" customHeight="1">
      <ns0:c r="A8" s="3" t="inlineStr">
        <ns0:is>
          <ns0:t>출처 항목</ns0:t>
        </ns0:is>
      </ns0:c>
      <ns0:c r="B8" s="4">
        <ns0:f>COUNTA('출처30'!A2:A31)</ns0:f>
        <ns0:v>30</ns0:v>
      </ns0:c>
      <ns0:c r="C8" s="3" t="n"/>
      <ns0:c r="D8" s="3" t="n"/>
      <ns0:c r="E8" s="3" t="n"/>
      <ns0:c r="F8" s="3" t="n"/>
    </ns0:row>
    <ns0:row r="9" ht="26" customHeight="1">
      <ns0:c r="A9" s="3" t="inlineStr">
        <ns0:is>
          <ns0:t>읽기 길이 검토 항목</ns0:t>
        </ns0:is>
      </ns0:c>
      <ns0:c r="B9" s="4">
        <ns0:f>COUNTA('읽기점검'!A2:A6)</ns0:f>
        <ns0:v>5</ns0:v>
      </ns0:c>
      <ns0:c r="C9" s="3" t="n"/>
      <ns0:c r="D9" s="3" t="n"/>
      <ns0:c r="E9" s="3" t="n"/>
      <ns0:c r="F9" s="3" t="n"/>
    </ns0:row>
    <ns0:row r="10" ht="26" customHeight="1">
      <ns0:c r="A10" s="3" t="n"/>
      <ns0:c r="B10" s="3" t="n"/>
      <ns0:c r="C10" s="3" t="n"/>
      <ns0:c r="D10" s="3" t="n"/>
      <ns0:c r="E10" s="3" t="n"/>
      <ns0:c r="F10" s="3" t="n"/>
    </ns0:row>
    <ns0:row r="11" ht="26" customHeight="1">
      <ns0:c r="A11" s="3" t="n"/>
      <ns0:c r="B11" s="3" t="n"/>
      <ns0:c r="C11" s="3" t="n"/>
      <ns0:c r="D11" s="3" t="n"/>
      <ns0:c r="E11" s="3" t="n"/>
      <ns0:c r="F11" s="3" t="n"/>
    </ns0:row>
    <ns0:row r="12" ht="26" customHeight="1">
      <ns0:c r="A12" s="5" t="inlineStr">
        <ns0:is>
          <ns0:t>실제 인지단계</ns0:t>
        </ns0:is>
      </ns0:c>
      <ns0:c r="B12" s="5" t="inlineStr">
        <ns0:is>
          <ns0:t>문항 수</ns0:t>
        </ns0:is>
      </ns0:c>
      <ns0:c r="C12" s="5" t="inlineStr">
        <ns0:is>
          <ns0:t>비율</ns0:t>
        </ns0:is>
      </ns0:c>
      <ns0:c r="D12" s="5" t="n"/>
      <ns0:c r="E12" s="5" t="n"/>
      <ns0:c r="F12" s="5" t="n"/>
    </ns0:row>
    <ns0:row r="13" ht="26" customHeight="1">
      <ns0:c r="A13" s="3" t="inlineStr">
        <ns0:is>
          <ns0:t>L1 알아보기</ns0:t>
        </ns0:is>
      </ns0:c>
      <ns0:c r="B13" s="6">
        <ns0:f>COUNTIF('문항240'!E2:E241,1)</ns0:f>
        <ns0:v>69</ns0:v>
      </ns0:c>
      <ns0:c r="C13" s="7">
        <ns0:f>B13/$B$5</ns0:f>
        <ns0:v>0.2875</ns0:v>
      </ns0:c>
      <ns0:c r="D13" s="3" t="n"/>
      <ns0:c r="E13" s="3" t="n"/>
      <ns0:c r="F13" s="3" t="n"/>
    </ns0:row>
    <ns0:row r="14" ht="26" customHeight="1">
      <ns0:c r="A14" s="3" t="inlineStr">
        <ns0:is>
          <ns0:t>L2 이어보기</ns0:t>
        </ns0:is>
      </ns0:c>
      <ns0:c r="B14" s="6">
        <ns0:f>COUNTIF('문항240'!E2:E241,2)</ns0:f>
        <ns0:v>52</ns0:v>
      </ns0:c>
      <ns0:c r="C14" s="7">
        <ns0:f>B14/$B$5</ns0:f>
        <ns0:v>0.21666666666666667</ns0:v>
      </ns0:c>
      <ns0:c r="D14" s="3" t="n"/>
      <ns0:c r="E14" s="3" t="n"/>
      <ns0:c r="F14" s="3" t="n"/>
    </ns0:row>
    <ns0:row r="15" ht="26" customHeight="1">
      <ns0:c r="A15" s="3" t="inlineStr">
        <ns0:is>
          <ns0:t>L3 자료읽기</ns0:t>
        </ns0:is>
      </ns0:c>
      <ns0:c r="B15" s="6">
        <ns0:f>COUNTIF('문항240'!E2:E241,3)</ns0:f>
        <ns0:v>104</ns0:v>
      </ns0:c>
      <ns0:c r="C15" s="7">
        <ns0:f>B15/$B$5</ns0:f>
        <ns0:v>0.43333333333333335</ns0:v>
      </ns0:c>
      <ns0:c r="D15" s="3" t="n"/>
      <ns0:c r="E15" s="3" t="n"/>
      <ns0:c r="F15" s="3" t="n"/>
    </ns0:row>
    <ns0:row r="16" ht="26" customHeight="1">
      <ns0:c r="A16" s="3" t="inlineStr">
        <ns0:is>
          <ns0:t>L4 따져보기</ns0:t>
        </ns0:is>
      </ns0:c>
      <ns0:c r="B16" s="6">
        <ns0:f>COUNTIF('문항240'!E2:E241,4)</ns0:f>
        <ns0:v>15</ns0:v>
      </ns0:c>
      <ns0:c r="C16" s="7">
        <ns0:f>B16/$B$5</ns0:f>
        <ns0:v>0.0625</ns0:v>
      </ns0:c>
      <ns0:c r="D16" s="3" t="n"/>
      <ns0:c r="E16" s="3" t="n"/>
      <ns0:c r="F16" s="3" t="n"/>
    </ns0:row>
    <ns0:row r="17" ht="26" customHeight="1">
      <ns0:c r="A17" s="3" t="n"/>
      <ns0:c r="B17" s="3" t="n"/>
      <ns0:c r="C17" s="3" t="n"/>
      <ns0:c r="D17" s="3" t="n"/>
      <ns0:c r="E17" s="3" t="n"/>
      <ns0:c r="F17" s="3" t="n"/>
    </ns0:row>
    <ns0:row r="18" ht="26" customHeight="1">
      <ns0:c r="A18" s="5" t="inlineStr">
        <ns0:is>
          <ns0:t>학습 경로</ns0:t>
        </ns0:is>
      </ns0:c>
      <ns0:c r="B18" s="5" t="inlineStr">
        <ns0:is>
          <ns0:t>L1</ns0:t>
        </ns0:is>
      </ns0:c>
      <ns0:c r="C18" s="5" t="inlineStr">
        <ns0:is>
          <ns0:t>L2</ns0:t>
        </ns0:is>
      </ns0:c>
      <ns0:c r="D18" s="5" t="inlineStr">
        <ns0:is>
          <ns0:t>L3</ns0:t>
        </ns0:is>
      </ns0:c>
      <ns0:c r="E18" s="5" t="inlineStr">
        <ns0:is>
          <ns0:t>L4</ns0:t>
        </ns0:is>
      </ns0:c>
      <ns0:c r="F18" s="5" t="inlineStr">
        <ns0:is>
          <ns0:t>문항 수</ns0:t>
        </ns0:is>
      </ns0:c>
    </ns0:row>
    <ns0:row r="19" ht="26" customHeight="1">
      <ns0:c r="A19" s="3" t="inlineStr">
        <ns0:is>
          <ns0:t>early</ns0:t>
        </ns0:is>
      </ns0:c>
      <ns0:c r="B19" s="3" t="n">
        <ns0:v>45</ns0:v>
      </ns0:c>
      <ns0:c r="C19" s="3" t="n">
        <ns0:v>15</ns0:v>
      </ns0:c>
      <ns0:c r="D19" s="3" t="n">
        <ns0:v>0</ns0:v>
      </ns0:c>
      <ns0:c r="E19" s="3" t="n">
        <ns0:v>0</ns0:v>
      </ns0:c>
      <ns0:c r="F19" s="6">
        <ns0:f>SUM(B19:E19)</ns0:f>
        <ns0:v>60</ns0:v>
      </ns0:c>
    </ns0:row>
    <ns0:row r="20" ht="26" customHeight="1">
      <ns0:c r="A20" s="3" t="inlineStr">
        <ns0:is>
          <ns0:t>primary</ns0:t>
        </ns0:is>
      </ns0:c>
      <ns0:c r="B20" s="3" t="n">
        <ns0:v>26</ns0:v>
      </ns0:c>
      <ns0:c r="C20" s="3" t="n">
        <ns0:v>34</ns0:v>
      </ns0:c>
      <ns0:c r="D20" s="3" t="n">
        <ns0:v>0</ns0:v>
      </ns0:c>
      <ns0:c r="E20" s="3" t="n">
        <ns0:v>0</ns0:v>
      </ns0:c>
      <ns0:c r="F20" s="6">
        <ns0:f>SUM(B20:E20)</ns0:f>
        <ns0:v>60</ns0:v>
      </ns0:c>
    </ns0:row>
    <ns0:row r="21" ht="26" customHeight="1">
      <ns0:c r="A21" s="3" t="inlineStr">
        <ns0:is>
          <ns0:t>upper</ns0:t>
        </ns0:is>
      </ns0:c>
      <ns0:c r="B21" s="3" t="n">
        <ns0:v>33</ns0:v>
      </ns0:c>
      <ns0:c r="C21" s="3" t="n">
        <ns0:v>21</ns0:v>
      </ns0:c>
      <ns0:c r="D21" s="3" t="n">
        <ns0:v>6</ns0:v>
      </ns0:c>
      <ns0:c r="E21" s="3" t="n">
        <ns0:v>0</ns0:v>
      </ns0:c>
      <ns0:c r="F21" s="6">
        <ns0:f>SUM(B21:E21)</ns0:f>
        <ns0:v>60</ns0:v>
      </ns0:c>
    </ns0:row>
    <ns0:row r="22" ht="26" customHeight="1">
      <ns0:c r="A22" s="3" t="inlineStr">
        <ns0:is>
          <ns0:t>middle</ns0:t>
        </ns0:is>
      </ns0:c>
      <ns0:c r="B22" s="3" t="n">
        <ns0:v>17</ns0:v>
      </ns0:c>
      <ns0:c r="C22" s="3" t="n">
        <ns0:v>19</ns0:v>
      </ns0:c>
      <ns0:c r="D22" s="3" t="n">
        <ns0:v>22</ns0:v>
      </ns0:c>
      <ns0:c r="E22" s="3" t="n">
        <ns0:v>2</ns0:v>
      </ns0:c>
      <ns0:c r="F22" s="6">
        <ns0:f>SUM(B22:E22)</ns0:f>
        <ns0:v>60</ns0:v>
      </ns0:c>
    </ns0:row>
    <ns0:row r="23" ht="26" customHeight="1">
      <ns0:c r="A23" s="3" t="inlineStr">
        <ns0:is>
          <ns0:t>high</ns0:t>
        </ns0:is>
      </ns0:c>
      <ns0:c r="B23" s="3" t="n">
        <ns0:v>11</ns0:v>
      </ns0:c>
      <ns0:c r="C23" s="3" t="n">
        <ns0:v>13</ns0:v>
      </ns0:c>
      <ns0:c r="D23" s="3" t="n">
        <ns0:v>34</ns0:v>
      </ns0:c>
      <ns0:c r="E23" s="3" t="n">
        <ns0:v>2</ns0:v>
      </ns0:c>
      <ns0:c r="F23" s="6">
        <ns0:f>SUM(B23:E23)</ns0:f>
        <ns0:v>60</ns0:v>
      </ns0:c>
    </ns0:row>
    <ns0:row r="24" ht="26" customHeight="1">
      <ns0:c r="A24" s="3" t="inlineStr">
        <ns0:is>
          <ns0:t>adult</ns0:t>
        </ns0:is>
      </ns0:c>
      <ns0:c r="B24" s="3" t="n">
        <ns0:v>7</ns0:v>
      </ns0:c>
      <ns0:c r="C24" s="3" t="n">
        <ns0:v>12</ns0:v>
      </ns0:c>
      <ns0:c r="D24" s="3" t="n">
        <ns0:v>36</ns0:v>
      </ns0:c>
      <ns0:c r="E24" s="3" t="n">
        <ns0:v>5</ns0:v>
      </ns0:c>
      <ns0:c r="F24" s="6">
        <ns0:f>SUM(B24:E24)</ns0:f>
        <ns0:v>60</ns0:v>
      </ns0:c>
    </ns0:row>
    <ns0:row r="26" ht="25" customHeight="1">
      <ns0:c r="A26" s="8" t="inlineStr">
        <ns0:is>
          <ns0:t>난이도 1~4와 인지단계 L1~L4는 다릅니다. 네 번째 변형이라고 자동으로 L4를 부여하지 않았습니다.</ns0:t>
        </ns0:is>
      </ns0:c>
    </ns0:row>
    <ns0:row r="27" ht="25" customHeight="1"/>
    <ns0:row r="28" ht="25" customHeight="1">
      <ns0:c r="A28" s="8" t="inlineStr">
        <ns0:is>
          <ns0:t>질문·보기·해설·자료·원문 URL을 모두 수록했습니다. 원문 작성기관과 현대 공개기관이 다를 때 출처 시트에서 구분합니다.</ns0:t>
        </ns0:is>
      </ns0:c>
    </ns0:row>
    <ns0:row r="29" ht="25" customHeight="1"/>
    <ns0:row r="30" ht="25" customHeight="1">
      <ns0:c r="A30" s="8" t="inlineStr">
        <ns0:is>
          <ns0:t>이 파일은 검토용입니다. 사용자 기록·지도·서버를 수정하지 않습니다. 5건의 길이 참고 기준 초과는 읽기점검 시트에 그대로 남겼습니다.</ns0:t>
        </ns0:is>
      </ns0:c>
    </ns0:row>
    <ns0:row r="31" ht="25" customHeight="1"/>
  </ns0:sheetData>
  <ns0:mergeCells count="5">
    <ns0:mergeCell ref="A2:F3"/>
    <ns0:mergeCell ref="A1:F1"/>
    <ns0:mergeCell ref="A30:F31"/>
    <ns0:mergeCell ref="A28:F29"/>
    <ns0:mergeCell ref="A26:F27"/>
  </ns0:mergeCells>
  <ns0:pageMargins left="0.75" right="0.75" top="1" bottom="1" header="0.5" footer="0.5"/>
  <ns0:pageSetup fitToHeight="1" fitToWidth="1"/>
</ns0:worksheet>
</file>

<file path=xl/worksheets/sheet2.xml><?xml version="1.0" encoding="utf-8"?>
<ns0:worksheet xmlns:ns0="http://schemas.openxmlformats.org/spreadsheetml/2006/main">
  <ns0:sheetPr>
    <ns0:outlinePr summaryBelow="1" summaryRight="1"/>
    <ns0:pageSetUpPr fitToPage="1"/>
  </ns0:sheetPr>
  <ns0:dimension ref="A1:P241"/>
  <ns0:sheetViews>
    <ns0:sheetView showGridLines="0" workbookViewId="0">
      <ns0:pane xSplit="2" ySplit="1" topLeftCell="C2" activePane="bottomRight" state="frozen"/>
      <ns0:selection pane="topRight"/>
      <ns0:selection pane="bottomLeft"/>
      <ns0:selection pane="bottomRight" activeCell="A1" sqref="A1"/>
    </ns0:sheetView>
  </ns0:sheetViews>
  <ns0:sheetFormatPr baseColWidth="8" defaultRowHeight="15"/>
  <ns0:cols>
    <ns0:col width="12" customWidth="1" min="1" max="1"/>
    <ns0:col width="12" customWidth="1" min="2" max="2"/>
    <ns0:col width="26" customWidth="1" min="3" max="3"/>
    <ns0:col width="11" customWidth="1" min="4" max="4"/>
    <ns0:col width="12" customWidth="1" min="5" max="5"/>
    <ns0:col width="66" customWidth="1" min="6" max="6"/>
    <ns0:col width="34" customWidth="1" min="7" max="7"/>
    <ns0:col width="34" customWidth="1" min="8" max="8"/>
    <ns0:col width="34" customWidth="1" min="9" max="9"/>
    <ns0:col width="34" customWidth="1" min="10" max="10"/>
    <ns0:col width="8" customWidth="1" min="11" max="11"/>
    <ns0:col width="74" customWidth="1" min="12" max="12"/>
    <ns0:col width="65" customWidth="1" min="13" max="13"/>
    <ns0:col width="29" customWidth="1" min="14" max="14"/>
    <ns0:col width="70" customWidth="1" min="15" max="15"/>
    <ns0:col width="10" customWidth="1" min="16" max="16"/>
  </ns0:cols>
  <ns0:sheetData>
    <ns0:row r="1" ht="34" customHeight="1">
      <ns0:c r="A1" s="9" t="inlineStr">
        <ns0:is>
          <ns0:t>ID</ns0:t>
        </ns0:is>
      </ns0:c>
      <ns0:c r="B1" s="9" t="inlineStr">
        <ns0:is>
          <ns0:t>old ID</ns0:t>
        </ns0:is>
      </ns0:c>
      <ns0:c r="C1" s="9" t="inlineStr">
        <ns0:is>
          <ns0:t>단원</ns0:t>
        </ns0:is>
      </ns0:c>
      <ns0:c r="D1" s="9" t="inlineStr">
        <ns0:is>
          <ns0:t>난이도</ns0:t>
        </ns0:is>
      </ns0:c>
      <ns0:c r="E1" s="9" t="inlineStr">
        <ns0:is>
          <ns0:t>실제 인지단계</ns0:t>
        </ns0:is>
      </ns0:c>
      <ns0:c r="F1" s="9" t="inlineStr">
        <ns0:is>
          <ns0:t>질문</ns0:t>
        </ns0:is>
      </ns0:c>
      <ns0:c r="G1" s="9" t="inlineStr">
        <ns0:is>
          <ns0:t>A</ns0:t>
        </ns0:is>
      </ns0:c>
      <ns0:c r="H1" s="9" t="inlineStr">
        <ns0:is>
          <ns0:t>B</ns0:t>
        </ns0:is>
      </ns0:c>
      <ns0:c r="I1" s="9" t="inlineStr">
        <ns0:is>
          <ns0:t>C</ns0:t>
        </ns0:is>
      </ns0:c>
      <ns0:c r="J1" s="9" t="inlineStr">
        <ns0:is>
          <ns0:t>D</ns0:t>
        </ns0:is>
      </ns0:c>
      <ns0:c r="K1" s="9" t="inlineStr">
        <ns0:is>
          <ns0:t>정답 번호</ns0:t>
        </ns0:is>
      </ns0:c>
      <ns0:c r="L1" s="9" t="inlineStr">
        <ns0:is>
          <ns0:t>정답 이유</ns0:t>
        </ns0:is>
      </ns0:c>
      <ns0:c r="M1" s="9" t="inlineStr">
        <ns0:is>
          <ns0:t>남길 한 문장</ns0:t>
        </ns0:is>
      </ns0:c>
      <ns0:c r="N1" s="9" t="inlineStr">
        <ns0:is>
          <ns0:t>familyId</ns0:t>
        </ns0:is>
      </ns0:c>
      <ns0:c r="O1" s="9" t="inlineStr">
        <ns0:is>
          <ns0:t>출처</ns0:t>
        </ns0:is>
      </ns0:c>
      <ns0:c r="P1" s="9" t="inlineStr">
        <ns0:is>
          <ns0:t>질문+최장보기 글자수</ns0:t>
        </ns0:is>
      </ns0:c>
    </ns0:row>
    <ns0:row r="2" ht="98" customHeight="1">
      <ns0:c r="A2" s="10" t="n">
        <ns0:v>920001</ns0:v>
      </ns0:c>
      <ns0:c r="B2" s="10" t="n">
        <ns0:v>910001</ns0:v>
      </ns0:c>
      <ns0:c r="C2" s="10" t="inlineStr">
        <ns0:is>
          <ns0:t>독도는 어디에 있을까</ns0:t>
        </ns0:is>
      </ns0:c>
      <ns0:c r="D2" s="10" t="n">
        <ns0:v>1</ns0:v>
      </ns0:c>
      <ns0:c r="E2" s="10" t="n">
        <ns0:v>1</ns0:v>
      </ns0:c>
      <ns0:c r="F2" s="10" t="inlineStr">
        <ns0:is>
          <ns0:t>독도를 이루는 두 큰 섬의 이름은 무엇인가요?</ns0:t>
        </ns0:is>
      </ns0:c>
      <ns0:c r="G2" s="10" t="inlineStr">
        <ns0:is>
          <ns0:t>동도와 서도</ns0:t>
        </ns0:is>
      </ns0:c>
      <ns0:c r="H2" s="10" t="inlineStr">
        <ns0:is>
          <ns0:t>울릉도와 동도</ns0:t>
        </ns0:is>
      </ns0:c>
      <ns0:c r="I2" s="10" t="inlineStr">
        <ns0:is>
          <ns0:t>제주도와 서도</ns0:t>
        </ns0:is>
      </ns0:c>
      <ns0:c r="J2" s="10" t="inlineStr">
        <ns0:is>
          <ns0:t>울릉도와 제주도</ns0:t>
        </ns0:is>
      </ns0:c>
      <ns0:c r="K2" s="10" t="n">
        <ns0:v>1</ns0:v>
      </ns0:c>
      <ns0:c r="L2" s="10" t="inlineStr">
        <ns0:is>
          <ns0:t>동도와 서도가 독도의 두 큰 섬이에요. 둘레에는 작은 바위섬들도 있어요.</ns0:t>
        </ns0:is>
      </ns0:c>
      <ns0:c r="M2" s="10" t="inlineStr">
        <ns0:is>
          <ns0:t>독도는 동도·서도라는 두 큰 섬과 주변 바위섬들로 이루어져요.</ns0:t>
        </ns0:is>
      </ns0:c>
      <ns0:c r="N2" s="10" t="inlineStr">
        <ns0:is>
          <ns0:t>dk-composition</ns0:t>
        </ns0:is>
      </ns0:c>
      <ns0:c r="O2" s="10" t="inlineStr">
        <ns0:is>
          <ns0:t>대한민국 외교부 · 독도의 구성 및 위치
https://dokdo.mofa.go.kr/kor/introduce/location.jsp</ns0:t>
        </ns0:is>
      </ns0:c>
      <ns0:c r="P2" s="11">
        <ns0:f>LEN(F2)+MAX(LEN(G2),LEN(H2),LEN(I2),LEN(J2))</ns0:f>
        <ns0:v>33</ns0:v>
      </ns0:c>
    </ns0:row>
    <ns0:row r="3" ht="98" customHeight="1">
      <ns0:c r="A3" s="12" t="n">
        <ns0:v>920002</ns0:v>
      </ns0:c>
      <ns0:c r="B3" s="12" t="n">
        <ns0:v>910002</ns0:v>
      </ns0:c>
      <ns0:c r="C3" s="12" t="inlineStr">
        <ns0:is>
          <ns0:t>독도는 어디에 있을까</ns0:t>
        </ns0:is>
      </ns0:c>
      <ns0:c r="D3" s="12" t="n">
        <ns0:v>2</ns0:v>
      </ns0:c>
      <ns0:c r="E3" s="12" t="n">
        <ns0:v>2</ns0:v>
      </ns0:c>
      <ns0:c r="F3" s="12" t="inlineStr">
        <ns0:is>
          <ns0:t>독도의 두 큰 섬 주위에는 어떤 땅이 더 있나요?</ns0:t>
        </ns0:is>
      </ns0:c>
      <ns0:c r="G3" s="12" t="inlineStr">
        <ns0:is>
          <ns0:t>작은 바위섬들</ns0:t>
        </ns0:is>
      </ns0:c>
      <ns0:c r="H3" s="12" t="inlineStr">
        <ns0:is>
          <ns0:t>울릉도 본섬</ns0:t>
        </ns0:is>
      </ns0:c>
      <ns0:c r="I3" s="12" t="inlineStr">
        <ns0:is>
          <ns0:t>일본의 오키섬</ns0:t>
        </ns0:is>
      </ns0:c>
      <ns0:c r="J3" s="12" t="inlineStr"/>
      <ns0:c r="K3" s="12" t="n">
        <ns0:v>1</ns0:v>
      </ns0:c>
      <ns0:c r="L3" s="12" t="inlineStr">
        <ns0:is>
          <ns0:t>독도에는 동도·서도뿐 아니라 둘레의 작은 바위섬들도 포함돼요.</ns0:t>
        </ns0:is>
      </ns0:c>
      <ns0:c r="M3" s="12" t="inlineStr">
        <ns0:is>
          <ns0:t>독도는 동도·서도라는 두 큰 섬과 주변 바위섬들로 이루어져요.</ns0:t>
        </ns0:is>
      </ns0:c>
      <ns0:c r="N3" s="12" t="inlineStr">
        <ns0:is>
          <ns0:t>dk-composition</ns0:t>
        </ns0:is>
      </ns0:c>
      <ns0:c r="O3" s="12" t="inlineStr">
        <ns0:is>
          <ns0:t>대한민국 외교부 · 독도의 구성 및 위치
https://dokdo.mofa.go.kr/kor/introduce/location.jsp</ns0:t>
        </ns0:is>
      </ns0:c>
      <ns0:c r="P3" s="13">
        <ns0:f>LEN(F3)+MAX(LEN(G3),LEN(H3),LEN(I3),LEN(J3))</ns0:f>
        <ns0:v>34</ns0:v>
      </ns0:c>
    </ns0:row>
    <ns0:row r="4" ht="98" customHeight="1">
      <ns0:c r="A4" s="10" t="n">
        <ns0:v>920003</ns0:v>
      </ns0:c>
      <ns0:c r="B4" s="10" t="n">
        <ns0:v>910003</ns0:v>
      </ns0:c>
      <ns0:c r="C4" s="10" t="inlineStr">
        <ns0:is>
          <ns0:t>독도는 어디에 있을까</ns0:t>
        </ns0:is>
      </ns0:c>
      <ns0:c r="D4" s="10" t="n">
        <ns0:v>3</ns0:v>
      </ns0:c>
      <ns0:c r="E4" s="10" t="n">
        <ns0:v>3</ns0:v>
      </ns0:c>
      <ns0:c r="F4" s="10" t="inlineStr">
        <ns0:is>
          <ns0:t>독도 안내판에 두 큰 섬만 그렸다면 어떤 땅을 추가해야 하나요?</ns0:t>
        </ns0:is>
      </ns0:c>
      <ns0:c r="G4" s="10" t="inlineStr">
        <ns0:is>
          <ns0:t>울릉도 전체</ns0:t>
        </ns0:is>
      </ns0:c>
      <ns0:c r="H4" s="10" t="inlineStr">
        <ns0:is>
          <ns0:t>주변의 부속 바위섬</ns0:t>
        </ns0:is>
      </ns0:c>
      <ns0:c r="I4" s="10" t="inlineStr">
        <ns0:is>
          <ns0:t>일본 오키섬 전체</ns0:t>
        </ns0:is>
      </ns0:c>
      <ns0:c r="J4" s="10" t="inlineStr"/>
      <ns0:c r="K4" s="10" t="n">
        <ns0:v>2</ns0:v>
      </ns0:c>
      <ns0:c r="L4" s="10" t="inlineStr">
        <ns0:is>
          <ns0:t>자료는 두 큰 섬과 주변 부속 도서를 함께 독도의 구성으로 설명해요.</ns0:t>
        </ns0:is>
      </ns0:c>
      <ns0:c r="M4" s="10" t="inlineStr">
        <ns0:is>
          <ns0:t>독도는 동도·서도라는 두 큰 섬과 주변 바위섬들로 이루어져요.</ns0:t>
        </ns0:is>
      </ns0:c>
      <ns0:c r="N4" s="10" t="inlineStr">
        <ns0:is>
          <ns0:t>dk-composition</ns0:t>
        </ns0:is>
      </ns0:c>
      <ns0:c r="O4" s="10" t="inlineStr">
        <ns0:is>
          <ns0:t>대한민국 외교부 · 독도의 구성 및 위치
https://dokdo.mofa.go.kr/kor/introduce/location.jsp</ns0:t>
        </ns0:is>
      </ns0:c>
      <ns0:c r="P4" s="11">
        <ns0:f>LEN(F4)+MAX(LEN(G4),LEN(H4),LEN(I4),LEN(J4))</ns0:f>
        <ns0:v>45</ns0:v>
      </ns0:c>
    </ns0:row>
    <ns0:row r="5" ht="98" customHeight="1">
      <ns0:c r="A5" s="12" t="n">
        <ns0:v>920004</ns0:v>
      </ns0:c>
      <ns0:c r="B5" s="12" t="n">
        <ns0:v>910004</ns0:v>
      </ns0:c>
      <ns0:c r="C5" s="12" t="inlineStr">
        <ns0:is>
          <ns0:t>독도는 어디에 있을까</ns0:t>
        </ns0:is>
      </ns0:c>
      <ns0:c r="D5" s="12" t="n">
        <ns0:v>4</ns0:v>
      </ns0:c>
      <ns0:c r="E5" s="12" t="n">
        <ns0:v>4</ns0:v>
      </ns0:c>
      <ns0:c r="F5" s="12" t="inlineStr">
        <ns0:is>
          <ns0:t>독도를 ‘동도 한 섬의 이름’이라고 쓴 문장을 어떻게 고쳐야 하나요?</ns0:t>
        </ns0:is>
      </ns0:c>
      <ns0:c r="G5" s="12" t="inlineStr">
        <ns0:is>
          <ns0:t>동도와 울릉도를 아우르는 이름이다</ns0:t>
        </ns0:is>
      </ns0:c>
      <ns0:c r="H5" s="12" t="inlineStr">
        <ns0:is>
          <ns0:t>서도 한 섬만 가리키는 이름이다</ns0:t>
        </ns0:is>
      </ns0:c>
      <ns0:c r="I5" s="12" t="inlineStr">
        <ns0:is>
          <ns0:t>동도·서도와 주변 바위섬을 아우르는 이름이다</ns0:t>
        </ns0:is>
      </ns0:c>
      <ns0:c r="J5" s="12" t="inlineStr"/>
      <ns0:c r="K5" s="12" t="n">
        <ns0:v>3</ns0:v>
      </ns0:c>
      <ns0:c r="L5" s="12" t="inlineStr">
        <ns0:is>
          <ns0:t>동도는 독도의 일부예요. 독도라는 이름은 서도와 부속 도서도 아울러요.</ns0:t>
        </ns0:is>
      </ns0:c>
      <ns0:c r="M5" s="12" t="inlineStr">
        <ns0:is>
          <ns0:t>독도는 동도·서도라는 두 큰 섬과 주변 바위섬들로 이루어져요.</ns0:t>
        </ns0:is>
      </ns0:c>
      <ns0:c r="N5" s="12" t="inlineStr">
        <ns0:is>
          <ns0:t>dk-composition</ns0:t>
        </ns0:is>
      </ns0:c>
      <ns0:c r="O5" s="12" t="inlineStr">
        <ns0:is>
          <ns0:t>대한민국 외교부 · 독도의 구성 및 위치
https://dokdo.mofa.go.kr/kor/introduce/location.jsp</ns0:t>
        </ns0:is>
      </ns0:c>
      <ns0:c r="P5" s="13">
        <ns0:f>LEN(F5)+MAX(LEN(G5),LEN(H5),LEN(I5),LEN(J5))</ns0:f>
        <ns0:v>62</ns0:v>
      </ns0:c>
    </ns0:row>
    <ns0:row r="6" ht="113" customHeight="1">
      <ns0:c r="A6" s="10" t="n">
        <ns0:v>920005</ns0:v>
      </ns0:c>
      <ns0:c r="B6" s="10" t="n">
        <ns0:v>910005</ns0:v>
      </ns0:c>
      <ns0:c r="C6" s="10" t="inlineStr">
        <ns0:is>
          <ns0:t>독도는 어디에 있을까</ns0:t>
        </ns0:is>
      </ns0:c>
      <ns0:c r="D6" s="10" t="n">
        <ns0:v>1</ns0:v>
      </ns0:c>
      <ns0:c r="E6" s="10" t="n">
        <ns0:v>1</ns0:v>
      </ns0:c>
      <ns0:c r="F6" s="10" t="inlineStr">
        <ns0:is>
          <ns0:t>독도는 울릉도에서 어느 방향에 있나요?</ns0:t>
        </ns0:is>
      </ns0:c>
      <ns0:c r="G6" s="10" t="inlineStr">
        <ns0:is>
          <ns0:t>동북쪽</ns0:t>
        </ns0:is>
      </ns0:c>
      <ns0:c r="H6" s="10" t="inlineStr">
        <ns0:is>
          <ns0:t>동남쪽</ns0:t>
        </ns0:is>
      </ns0:c>
      <ns0:c r="I6" s="10" t="inlineStr">
        <ns0:is>
          <ns0:t>서남쪽</ns0:t>
        </ns0:is>
      </ns0:c>
      <ns0:c r="J6" s="10" t="inlineStr">
        <ns0:is>
          <ns0:t>서북쪽</ns0:t>
        </ns0:is>
      </ns0:c>
      <ns0:c r="K6" s="10" t="n">
        <ns0:v>2</ns0:v>
      </ns0:c>
      <ns0:c r="L6" s="10" t="inlineStr">
        <ns0:is>
          <ns0:t>울릉도에서 동쪽이면서 남쪽인 방향으로 가면 독도가 있어요.</ns0:t>
        </ns0:is>
      </ns0:c>
      <ns0:c r="M6" s="10" t="inlineStr">
        <ns0:is>
          <ns0:t>독도는 울릉도에서 동남쪽으로 약 87.4km 떨어져 있어요.</ns0:t>
        </ns0:is>
      </ns0:c>
      <ns0:c r="N6" s="10" t="inlineStr">
        <ns0:is>
          <ns0:t>dk-relative-location</ns0:t>
        </ns0:is>
      </ns0:c>
      <ns0:c r="O6" s="10" t="inlineStr">
        <ns0:is>
          <ns0:t>대한민국 해양수산부 · 독도의 주소와 위치
https://www.mof.go.kr/doc/ko/selectDoc.do?bbsSeq=27&amp;docSeq=20937&amp;menuSeq=929
대한민국 외교부 · 독도의 구성 및 위치
https://dokdo.mofa.go.kr/kor/introduce/location.jsp</ns0:t>
        </ns0:is>
      </ns0:c>
      <ns0:c r="P6" s="11">
        <ns0:f>LEN(F6)+MAX(LEN(G6),LEN(H6),LEN(I6),LEN(J6))</ns0:f>
        <ns0:v>24</ns0:v>
      </ns0:c>
    </ns0:row>
    <ns0:row r="7" ht="113" customHeight="1">
      <ns0:c r="A7" s="12" t="n">
        <ns0:v>920006</ns0:v>
      </ns0:c>
      <ns0:c r="B7" s="12" t="n">
        <ns0:v>910006</ns0:v>
      </ns0:c>
      <ns0:c r="C7" s="12" t="inlineStr">
        <ns0:is>
          <ns0:t>독도는 어디에 있을까</ns0:t>
        </ns0:is>
      </ns0:c>
      <ns0:c r="D7" s="12" t="n">
        <ns0:v>2</ns0:v>
      </ns0:c>
      <ns0:c r="E7" s="12" t="n">
        <ns0:v>1</ns0:v>
      </ns0:c>
      <ns0:c r="F7" s="12" t="inlineStr">
        <ns0:is>
          <ns0:t>울릉도와 독도 사이의 거리는 약 얼마인가요?</ns0:t>
        </ns0:is>
      </ns0:c>
      <ns0:c r="G7" s="12" t="inlineStr">
        <ns0:is>
          <ns0:t>157.5km</ns0:t>
        </ns0:is>
      </ns0:c>
      <ns0:c r="H7" s="12" t="inlineStr">
        <ns0:is>
          <ns0:t>8.74km</ns0:t>
        </ns0:is>
      </ns0:c>
      <ns0:c r="I7" s="12" t="inlineStr">
        <ns0:is>
          <ns0:t>87.4km</ns0:t>
        </ns0:is>
      </ns0:c>
      <ns0:c r="J7" s="12" t="inlineStr">
        <ns0:is>
          <ns0:t>874km</ns0:t>
        </ns0:is>
      </ns0:c>
      <ns0:c r="K7" s="12" t="n">
        <ns0:v>3</ns0:v>
      </ns0:c>
      <ns0:c r="L7" s="12" t="inlineStr">
        <ns0:is>
          <ns0:t>87.4km가 울릉도와 독도 사이 거리예요.</ns0:t>
        </ns0:is>
      </ns0:c>
      <ns0:c r="M7" s="12" t="inlineStr">
        <ns0:is>
          <ns0:t>독도는 울릉도에서 동남쪽으로 약 87.4km 떨어져 있어요.</ns0:t>
        </ns0:is>
      </ns0:c>
      <ns0:c r="N7" s="12" t="inlineStr">
        <ns0:is>
          <ns0:t>dk-relative-location</ns0:t>
        </ns0:is>
      </ns0:c>
      <ns0:c r="O7" s="12" t="inlineStr">
        <ns0:is>
          <ns0:t>대한민국 해양수산부 · 독도의 주소와 위치
https://www.mof.go.kr/doc/ko/selectDoc.do?bbsSeq=27&amp;docSeq=20937&amp;menuSeq=929
대한민국 외교부 · 독도의 구성 및 위치
https://dokdo.mofa.go.kr/kor/introduce/location.jsp</ns0:t>
        </ns0:is>
      </ns0:c>
      <ns0:c r="P7" s="13">
        <ns0:f>LEN(F7)+MAX(LEN(G7),LEN(H7),LEN(I7),LEN(J7))</ns0:f>
        <ns0:v>31</ns0:v>
      </ns0:c>
    </ns0:row>
    <ns0:row r="8" ht="113" customHeight="1">
      <ns0:c r="A8" s="10" t="n">
        <ns0:v>920007</ns0:v>
      </ns0:c>
      <ns0:c r="B8" s="10" t="n">
        <ns0:v>910007</ns0:v>
      </ns0:c>
      <ns0:c r="C8" s="10" t="inlineStr">
        <ns0:is>
          <ns0:t>독도는 어디에 있을까</ns0:t>
        </ns0:is>
      </ns0:c>
      <ns0:c r="D8" s="10" t="n">
        <ns0:v>3</ns0:v>
      </ns0:c>
      <ns0:c r="E8" s="10" t="n">
        <ns0:v>3</ns0:v>
      </ns0:c>
      <ns0:c r="F8" s="10" t="inlineStr">
        <ns0:is>
          <ns0:t>거리표에서 독도에 더 가까운 곳은 어디인가요?</ns0:t>
        </ns0:is>
      </ns0:c>
      <ns0:c r="G8" s="10" t="inlineStr">
        <ns0:is>
          <ns0:t>울릉도</ns0:t>
        </ns0:is>
      </ns0:c>
      <ns0:c r="H8" s="10" t="inlineStr">
        <ns0:is>
          <ns0:t>일본 오키섬</ns0:t>
        </ns0:is>
      </ns0:c>
      <ns0:c r="I8" s="10" t="inlineStr"/>
      <ns0:c r="J8" s="10" t="inlineStr"/>
      <ns0:c r="K8" s="10" t="n">
        <ns0:v>1</ns0:v>
      </ns0:c>
      <ns0:c r="L8" s="10" t="inlineStr">
        <ns0:is>
          <ns0:t>87.4km가 157.5km보다 짧으므로 울릉도가 더 가까워요.</ns0:t>
        </ns0:is>
      </ns0:c>
      <ns0:c r="M8" s="10" t="inlineStr">
        <ns0:is>
          <ns0:t>독도는 울릉도에서 동남쪽으로 약 87.4km 떨어져 있어요.</ns0:t>
        </ns0:is>
      </ns0:c>
      <ns0:c r="N8" s="10" t="inlineStr">
        <ns0:is>
          <ns0:t>dk-relative-location</ns0:t>
        </ns0:is>
      </ns0:c>
      <ns0:c r="O8" s="10" t="inlineStr">
        <ns0:is>
          <ns0:t>대한민국 해양수산부 · 독도의 주소와 위치
https://www.mof.go.kr/doc/ko/selectDoc.do?bbsSeq=27&amp;docSeq=20937&amp;menuSeq=929
대한민국 외교부 · 독도의 구성 및 위치
https://dokdo.mofa.go.kr/kor/introduce/location.jsp</ns0:t>
        </ns0:is>
      </ns0:c>
      <ns0:c r="P8" s="11">
        <ns0:f>LEN(F8)+MAX(LEN(G8),LEN(H8),LEN(I8),LEN(J8))</ns0:f>
        <ns0:v>31</ns0:v>
      </ns0:c>
    </ns0:row>
    <ns0:row r="9" ht="113" customHeight="1">
      <ns0:c r="A9" s="12" t="n">
        <ns0:v>920008</ns0:v>
      </ns0:c>
      <ns0:c r="B9" s="12" t="n">
        <ns0:v>910008</ns0:v>
      </ns0:c>
      <ns0:c r="C9" s="12" t="inlineStr">
        <ns0:is>
          <ns0:t>독도는 어디에 있을까</ns0:t>
        </ns0:is>
      </ns0:c>
      <ns0:c r="D9" s="12" t="n">
        <ns0:v>4</ns0:v>
      </ns0:c>
      <ns0:c r="E9" s="12" t="n">
        <ns0:v>3</ns0:v>
      </ns0:c>
      <ns0:c r="F9" s="12" t="inlineStr">
        <ns0:is>
          <ns0:t>독도에서 울릉도까지는 오키섬까지보다 몇 km 더 가까운가요?</ns0:t>
        </ns0:is>
      </ns0:c>
      <ns0:c r="G9" s="12" t="inlineStr">
        <ns0:is>
          <ns0:t>244.9km</ns0:t>
        </ns0:is>
      </ns0:c>
      <ns0:c r="H9" s="12" t="inlineStr">
        <ns0:is>
          <ns0:t>87.4km</ns0:t>
        </ns0:is>
      </ns0:c>
      <ns0:c r="I9" s="12" t="inlineStr">
        <ns0:is>
          <ns0:t>157.5km</ns0:t>
        </ns0:is>
      </ns0:c>
      <ns0:c r="J9" s="12" t="inlineStr">
        <ns0:is>
          <ns0:t>70.1km</ns0:t>
        </ns0:is>
      </ns0:c>
      <ns0:c r="K9" s="12" t="n">
        <ns0:v>4</ns0:v>
      </ns0:c>
      <ns0:c r="L9" s="12" t="inlineStr">
        <ns0:is>
          <ns0:t>두 거리를 빼면 157.5−87.4=70.1km예요. 울릉도가 그만큼 더 가까워요.</ns0:t>
        </ns0:is>
      </ns0:c>
      <ns0:c r="M9" s="12" t="inlineStr">
        <ns0:is>
          <ns0:t>독도는 울릉도에서 동남쪽으로 약 87.4km 떨어져 있어요.</ns0:t>
        </ns0:is>
      </ns0:c>
      <ns0:c r="N9" s="12" t="inlineStr">
        <ns0:is>
          <ns0:t>dk-relative-location</ns0:t>
        </ns0:is>
      </ns0:c>
      <ns0:c r="O9" s="12" t="inlineStr">
        <ns0:is>
          <ns0:t>대한민국 해양수산부 · 독도의 주소와 위치
https://www.mof.go.kr/doc/ko/selectDoc.do?bbsSeq=27&amp;docSeq=20937&amp;menuSeq=929
대한민국 외교부 · 독도의 구성 및 위치
https://dokdo.mofa.go.kr/kor/introduce/location.jsp</ns0:t>
        </ns0:is>
      </ns0:c>
      <ns0:c r="P9" s="13">
        <ns0:f>LEN(F9)+MAX(LEN(G9),LEN(H9),LEN(I9),LEN(J9))</ns0:f>
        <ns0:v>40</ns0:v>
      </ns0:c>
    </ns0:row>
    <ns0:row r="10" ht="113" customHeight="1">
      <ns0:c r="A10" s="10" t="n">
        <ns0:v>920009</ns0:v>
      </ns0:c>
      <ns0:c r="B10" s="10" t="n">
        <ns0:v>910009</ns0:v>
      </ns0:c>
      <ns0:c r="C10" s="10" t="inlineStr">
        <ns0:is>
          <ns0:t>독도는 어디에 있을까</ns0:t>
        </ns0:is>
      </ns0:c>
      <ns0:c r="D10" s="10" t="n">
        <ns0:v>1</ns0:v>
      </ns0:c>
      <ns0:c r="E10" s="10" t="n">
        <ns0:v>1</ns0:v>
      </ns0:c>
      <ns0:c r="F10" s="10" t="inlineStr">
        <ns0:is>
          <ns0:t>독도의 동쪽에 있는 큰 섬은 무엇인가요?</ns0:t>
        </ns0:is>
      </ns0:c>
      <ns0:c r="G10" s="10" t="inlineStr">
        <ns0:is>
          <ns0:t>서도</ns0:t>
        </ns0:is>
      </ns0:c>
      <ns0:c r="H10" s="10" t="inlineStr">
        <ns0:is>
          <ns0:t>동도</ns0:t>
        </ns0:is>
      </ns0:c>
      <ns0:c r="I10" s="10" t="inlineStr"/>
      <ns0:c r="J10" s="10" t="inlineStr"/>
      <ns0:c r="K10" s="10" t="n">
        <ns0:v>2</ns0:v>
      </ns0:c>
      <ns0:c r="L10" s="10" t="inlineStr">
        <ns0:is>
          <ns0:t>동도의 ‘동’은 동쪽을 뜻해요. 서도보다 동쪽에 있는 큰 섬이에요.</ns0:t>
        </ns0:is>
      </ns0:c>
      <ns0:c r="M10" s="10" t="inlineStr">
        <ns0:is>
          <ns0:t>동도는 동쪽의 큰 섬이고, 서도는 서쪽의 큰 섬이에요.</ns0:t>
        </ns0:is>
      </ns0:c>
      <ns0:c r="N10" s="10" t="inlineStr">
        <ns0:is>
          <ns0:t>dk-orientation</ns0:t>
        </ns0:is>
      </ns0:c>
      <ns0:c r="O10" s="10" t="inlineStr">
        <ns0:is>
          <ns0:t>대한민국 외교부 · 독도의 구성 및 위치
https://dokdo.mofa.go.kr/kor/introduce/location.jsp</ns0:t>
        </ns0:is>
      </ns0:c>
      <ns0:c r="P10" s="11">
        <ns0:f>LEN(F10)+MAX(LEN(G10),LEN(H10),LEN(I10),LEN(J10))</ns0:f>
        <ns0:v>24</ns0:v>
      </ns0:c>
    </ns0:row>
    <ns0:row r="11" ht="113" customHeight="1">
      <ns0:c r="A11" s="12" t="n">
        <ns0:v>920010</ns0:v>
      </ns0:c>
      <ns0:c r="B11" s="12" t="n">
        <ns0:v>910010</ns0:v>
      </ns0:c>
      <ns0:c r="C11" s="12" t="inlineStr">
        <ns0:is>
          <ns0:t>독도는 어디에 있을까</ns0:t>
        </ns0:is>
      </ns0:c>
      <ns0:c r="D11" s="12" t="n">
        <ns0:v>2</ns0:v>
      </ns0:c>
      <ns0:c r="E11" s="12" t="n">
        <ns0:v>2</ns0:v>
      </ns0:c>
      <ns0:c r="F11" s="12" t="inlineStr">
        <ns0:is>
          <ns0:t>독도의 서쪽 큰 섬을 지도에 표시하려면 어떤 이름을 쓰나요?</ns0:t>
        </ns0:is>
      </ns0:c>
      <ns0:c r="G11" s="12" t="inlineStr">
        <ns0:is>
          <ns0:t>서도</ns0:t>
        </ns0:is>
      </ns0:c>
      <ns0:c r="H11" s="12" t="inlineStr">
        <ns0:is>
          <ns0:t>동도</ns0:t>
        </ns0:is>
      </ns0:c>
      <ns0:c r="I11" s="12" t="inlineStr"/>
      <ns0:c r="J11" s="12" t="inlineStr"/>
      <ns0:c r="K11" s="12" t="n">
        <ns0:v>1</ns0:v>
      </ns0:c>
      <ns0:c r="L11" s="12" t="inlineStr">
        <ns0:is>
          <ns0:t>서쪽 큰 섬은 서도이고, 동쪽 큰 섬은 동도예요.</ns0:t>
        </ns0:is>
      </ns0:c>
      <ns0:c r="M11" s="12" t="inlineStr">
        <ns0:is>
          <ns0:t>동도는 동쪽의 큰 섬이고, 서도는 서쪽의 큰 섬이에요.</ns0:t>
        </ns0:is>
      </ns0:c>
      <ns0:c r="N11" s="12" t="inlineStr">
        <ns0:is>
          <ns0:t>dk-orientation</ns0:t>
        </ns0:is>
      </ns0:c>
      <ns0:c r="O11" s="12" t="inlineStr">
        <ns0:is>
          <ns0:t>대한민국 외교부 · 독도의 구성 및 위치
https://dokdo.mofa.go.kr/kor/introduce/location.jsp</ns0:t>
        </ns0:is>
      </ns0:c>
      <ns0:c r="P11" s="13">
        <ns0:f>LEN(F11)+MAX(LEN(G11),LEN(H11),LEN(I11),LEN(J11))</ns0:f>
        <ns0:v>35</ns0:v>
      </ns0:c>
    </ns0:row>
    <ns0:row r="12" ht="113" customHeight="1">
      <ns0:c r="A12" s="10" t="n">
        <ns0:v>920011</ns0:v>
      </ns0:c>
      <ns0:c r="B12" s="10" t="n">
        <ns0:v>910011</ns0:v>
      </ns0:c>
      <ns0:c r="C12" s="10" t="inlineStr">
        <ns0:is>
          <ns0:t>독도는 어디에 있을까</ns0:t>
        </ns0:is>
      </ns0:c>
      <ns0:c r="D12" s="10" t="n">
        <ns0:v>3</ns0:v>
      </ns0:c>
      <ns0:c r="E12" s="10" t="n">
        <ns0:v>3</ns0:v>
      </ns0:c>
      <ns0:c r="F12" s="10" t="inlineStr">
        <ns0:is>
          <ns0:t>위치표에서 A에 넣을 섬 이름은 무엇인가요?</ns0:t>
        </ns0:is>
      </ns0:c>
      <ns0:c r="G12" s="10" t="inlineStr">
        <ns0:is>
          <ns0:t>동도</ns0:t>
        </ns0:is>
      </ns0:c>
      <ns0:c r="H12" s="10" t="inlineStr">
        <ns0:is>
          <ns0:t>서도</ns0:t>
        </ns0:is>
      </ns0:c>
      <ns0:c r="I12" s="10" t="inlineStr"/>
      <ns0:c r="J12" s="10" t="inlineStr"/>
      <ns0:c r="K12" s="10" t="n">
        <ns0:v>2</ns0:v>
      </ns0:c>
      <ns0:c r="L12" s="10" t="inlineStr">
        <ns0:is>
          <ns0:t>A는 서쪽 자리에 있으므로 서도예요. 오른쪽 동도와 짝을 이루어요.</ns0:t>
        </ns0:is>
      </ns0:c>
      <ns0:c r="M12" s="10" t="inlineStr">
        <ns0:is>
          <ns0:t>동도는 동쪽의 큰 섬이고, 서도는 서쪽의 큰 섬이에요.</ns0:t>
        </ns0:is>
      </ns0:c>
      <ns0:c r="N12" s="10" t="inlineStr">
        <ns0:is>
          <ns0:t>dk-orientation</ns0:t>
        </ns0:is>
      </ns0:c>
      <ns0:c r="O12" s="10" t="inlineStr">
        <ns0:is>
          <ns0:t>대한민국 외교부 · 독도의 구성 및 위치
https://dokdo.mofa.go.kr/kor/introduce/location.jsp</ns0:t>
        </ns0:is>
      </ns0:c>
      <ns0:c r="P12" s="11">
        <ns0:f>LEN(F12)+MAX(LEN(G12),LEN(H12),LEN(I12),LEN(J12))</ns0:f>
        <ns0:v>26</ns0:v>
      </ns0:c>
    </ns0:row>
    <ns0:row r="13" ht="113" customHeight="1">
      <ns0:c r="A13" s="12" t="n">
        <ns0:v>920012</ns0:v>
      </ns0:c>
      <ns0:c r="B13" s="12" t="n">
        <ns0:v>910012</ns0:v>
      </ns0:c>
      <ns0:c r="C13" s="12" t="inlineStr">
        <ns0:is>
          <ns0:t>독도는 어디에 있을까</ns0:t>
        </ns0:is>
      </ns0:c>
      <ns0:c r="D13" s="12" t="n">
        <ns0:v>4</ns0:v>
      </ns0:c>
      <ns0:c r="E13" s="12" t="n">
        <ns0:v>3</ns0:v>
      </ns0:c>
      <ns0:c r="F13" s="12" t="inlineStr">
        <ns0:is>
          <ns0:t>동쪽 화살표가 왼쪽을 가리키는 위치표에서 동도는 어느 쪽에 놓이나요?</ns0:t>
        </ns0:is>
      </ns0:c>
      <ns0:c r="G13" s="12" t="inlineStr">
        <ns0:is>
          <ns0:t>왼쪽</ns0:t>
        </ns0:is>
      </ns0:c>
      <ns0:c r="H13" s="12" t="inlineStr">
        <ns0:is>
          <ns0:t>오른쪽</ns0:t>
        </ns0:is>
      </ns0:c>
      <ns0:c r="I13" s="12" t="inlineStr"/>
      <ns0:c r="J13" s="12" t="inlineStr"/>
      <ns0:c r="K13" s="12" t="n">
        <ns0:v>1</ns0:v>
      </ns0:c>
      <ns0:c r="L13" s="12" t="inlineStr">
        <ns0:is>
          <ns0:t>이 위치표에서는 동쪽이 왼쪽이에요. 동쪽 섬인 동도도 왼쪽에 놓여요.</ns0:t>
        </ns0:is>
      </ns0:c>
      <ns0:c r="M13" s="12" t="inlineStr">
        <ns0:is>
          <ns0:t>동도는 동쪽의 큰 섬이고, 서도는 서쪽의 큰 섬이에요.</ns0:t>
        </ns0:is>
      </ns0:c>
      <ns0:c r="N13" s="12" t="inlineStr">
        <ns0:is>
          <ns0:t>dk-orientation</ns0:t>
        </ns0:is>
      </ns0:c>
      <ns0:c r="O13" s="12" t="inlineStr">
        <ns0:is>
          <ns0:t>대한민국 외교부 · 독도의 구성 및 위치
https://dokdo.mofa.go.kr/kor/introduce/location.jsp</ns0:t>
        </ns0:is>
      </ns0:c>
      <ns0:c r="P13" s="13">
        <ns0:f>LEN(F13)+MAX(LEN(G13),LEN(H13),LEN(I13),LEN(J13))</ns0:f>
        <ns0:v>41</ns0:v>
      </ns0:c>
    </ns0:row>
    <ns0:row r="14" ht="113" customHeight="1">
      <ns0:c r="A14" s="10" t="n">
        <ns0:v>920013</ns0:v>
      </ns0:c>
      <ns0:c r="B14" s="10" t="n">
        <ns0:v>910013</ns0:v>
      </ns0:c>
      <ns0:c r="C14" s="10" t="inlineStr">
        <ns0:is>
          <ns0:t>독도는 어디에 있을까</ns0:t>
        </ns0:is>
      </ns0:c>
      <ns0:c r="D14" s="10" t="n">
        <ns0:v>1</ns0:v>
      </ns0:c>
      <ns0:c r="E14" s="10" t="n">
        <ns0:v>1</ns0:v>
      </ns0:c>
      <ns0:c r="F14" s="10" t="inlineStr">
        <ns0:is>
          <ns0:t>울릉도에서 독도를 보기 좋은 날씨는 무엇인가요?</ns0:t>
        </ns0:is>
      </ns0:c>
      <ns0:c r="G14" s="10" t="inlineStr">
        <ns0:is>
          <ns0:t>맑고 시야가 트인 날</ns0:t>
        </ns0:is>
      </ns0:c>
      <ns0:c r="H14" s="10" t="inlineStr">
        <ns0:is>
          <ns0:t>짙은 안개가 낀 날</ns0:t>
        </ns0:is>
      </ns0:c>
      <ns0:c r="I14" s="10" t="inlineStr">
        <ns0:is>
          <ns0:t>앞이 흐릴 만큼 비가 오는 날</ns0:t>
        </ns0:is>
      </ns0:c>
      <ns0:c r="J14" s="10" t="inlineStr"/>
      <ns0:c r="K14" s="10" t="n">
        <ns0:v>1</ns0:v>
      </ns0:c>
      <ns0:c r="L14" s="10" t="inlineStr">
        <ns0:is>
          <ns0:t>맑고 시야가 트여야 멀리 있는 독도를 볼 수 있어요.</ns0:t>
        </ns0:is>
      </ns0:c>
      <ns0:c r="M14" s="10" t="inlineStr">
        <ns0:is>
          <ns0:t>울릉도에서는 날씨가 맑고 시야가 좋을 때 독도를 볼 수 있어요.</ns0:t>
        </ns0:is>
      </ns0:c>
      <ns0:c r="N14" s="10" t="inlineStr">
        <ns0:is>
          <ns0:t>dk-visibility</ns0:t>
        </ns0:is>
      </ns0:c>
      <ns0:c r="O14" s="10" t="inlineStr">
        <ns0:is>
          <ns0:t>대한민국 외교부 자료실 · 세종실록 지리지(1454)
https://dokdo.mofa.go.kr/kor/pds/part06_view02.jsp
대한민국 외교부 · 독도의 구성 및 위치
https://dokdo.mofa.go.kr/kor/introduce/location.jsp</ns0:t>
        </ns0:is>
      </ns0:c>
      <ns0:c r="P14" s="11">
        <ns0:f>LEN(F14)+MAX(LEN(G14),LEN(H14),LEN(I14),LEN(J14))</ns0:f>
        <ns0:v>42</ns0:v>
      </ns0:c>
    </ns0:row>
    <ns0:row r="15" ht="113" customHeight="1">
      <ns0:c r="A15" s="12" t="n">
        <ns0:v>920014</ns0:v>
      </ns0:c>
      <ns0:c r="B15" s="12" t="n">
        <ns0:v>910014</ns0:v>
      </ns0:c>
      <ns0:c r="C15" s="12" t="inlineStr">
        <ns0:is>
          <ns0:t>독도는 어디에 있을까</ns0:t>
        </ns0:is>
      </ns0:c>
      <ns0:c r="D15" s="12" t="n">
        <ns0:v>2</ns0:v>
      </ns0:c>
      <ns0:c r="E15" s="12" t="n">
        <ns0:v>2</ns0:v>
      </ns0:c>
      <ns0:c r="F15" s="12" t="inlineStr">
        <ns0:is>
          <ns0:t>울릉도에서 먼 독도를 보려면 어떤 대기 조건이 필요한가요?</ns0:t>
        </ns0:is>
      </ns0:c>
      <ns0:c r="G15" s="12" t="inlineStr">
        <ns0:is>
          <ns0:t>짙은 안개가 바다를 덮음</ns0:t>
        </ns0:is>
      </ns0:c>
      <ns0:c r="H15" s="12" t="inlineStr">
        <ns0:is>
          <ns0:t>안개가 적고 시야가 맑음</ns0:t>
        </ns0:is>
      </ns0:c>
      <ns0:c r="I15" s="12" t="inlineStr">
        <ns0:is>
          <ns0:t>비가 강하게 내려 시야가 흐림</ns0:t>
        </ns0:is>
      </ns0:c>
      <ns0:c r="J15" s="12" t="inlineStr"/>
      <ns0:c r="K15" s="12" t="n">
        <ns0:v>2</ns0:v>
      </ns0:c>
      <ns0:c r="L15" s="12" t="inlineStr">
        <ns0:is>
          <ns0:t>멀리 있는 섬을 보려면 시야를 가리는 안개 등이 적어야 해요.</ns0:t>
        </ns0:is>
      </ns0:c>
      <ns0:c r="M15" s="12" t="inlineStr">
        <ns0:is>
          <ns0:t>울릉도에서는 날씨가 맑고 시야가 좋을 때 독도를 볼 수 있어요.</ns0:t>
        </ns0:is>
      </ns0:c>
      <ns0:c r="N15" s="12" t="inlineStr">
        <ns0:is>
          <ns0:t>dk-visibility</ns0:t>
        </ns0:is>
      </ns0:c>
      <ns0:c r="O15" s="12" t="inlineStr">
        <ns0:is>
          <ns0:t>대한민국 외교부 자료실 · 세종실록 지리지(1454)
https://dokdo.mofa.go.kr/kor/pds/part06_view02.jsp
대한민국 외교부 · 독도의 구성 및 위치
https://dokdo.mofa.go.kr/kor/introduce/location.jsp</ns0:t>
        </ns0:is>
      </ns0:c>
      <ns0:c r="P15" s="13">
        <ns0:f>LEN(F15)+MAX(LEN(G15),LEN(H15),LEN(I15),LEN(J15))</ns0:f>
        <ns0:v>48</ns0:v>
      </ns0:c>
    </ns0:row>
    <ns0:row r="16" ht="113" customHeight="1">
      <ns0:c r="A16" s="10" t="n">
        <ns0:v>920015</ns0:v>
      </ns0:c>
      <ns0:c r="B16" s="10" t="n">
        <ns0:v>910015</ns0:v>
      </ns0:c>
      <ns0:c r="C16" s="10" t="inlineStr">
        <ns0:is>
          <ns0:t>독도는 어디에 있을까</ns0:t>
        </ns0:is>
      </ns0:c>
      <ns0:c r="D16" s="10" t="n">
        <ns0:v>3</ns0:v>
      </ns0:c>
      <ns0:c r="E16" s="10" t="n">
        <ns0:v>3</ns0:v>
      </ns0:c>
      <ns0:c r="F16" s="10" t="inlineStr">
        <ns0:is>
          <ns0:t>세종실록 지리지는 두 섬이 보이는 날씨를 어떻게 설명하나요?</ns0:t>
        </ns0:is>
      </ns0:c>
      <ns0:c r="G16" s="10" t="inlineStr">
        <ns0:is>
          <ns0:t>짙은 안개가 낄 때</ns0:t>
        </ns0:is>
      </ns0:c>
      <ns0:c r="H16" s="10" t="inlineStr">
        <ns0:is>
          <ns0:t>계절에 상관없이 모든 날</ns0:t>
        </ns0:is>
      </ns0:c>
      <ns0:c r="I16" s="10" t="inlineStr">
        <ns0:is>
          <ns0:t>날씨가 맑을 때</ns0:t>
        </ns0:is>
      </ns0:c>
      <ns0:c r="J16" s="10" t="inlineStr"/>
      <ns0:c r="K16" s="10" t="n">
        <ns0:v>3</ns0:v>
      </ns0:c>
      <ns0:c r="L16" s="10" t="inlineStr">
        <ns0:is>
          <ns0:t>역문은 날씨가 맑으면 바라볼 수 있다고 설명해요.</ns0:t>
        </ns0:is>
      </ns0:c>
      <ns0:c r="M16" s="10" t="inlineStr">
        <ns0:is>
          <ns0:t>울릉도에서는 날씨가 맑고 시야가 좋을 때 독도를 볼 수 있어요.</ns0:t>
        </ns0:is>
      </ns0:c>
      <ns0:c r="N16" s="10" t="inlineStr">
        <ns0:is>
          <ns0:t>dk-visibility</ns0:t>
        </ns0:is>
      </ns0:c>
      <ns0:c r="O16" s="10" t="inlineStr">
        <ns0:is>
          <ns0:t>대한민국 외교부 자료실 · 세종실록 지리지(1454)
https://dokdo.mofa.go.kr/kor/pds/part06_view02.jsp
대한민국 외교부 · 독도의 구성 및 위치
https://dokdo.mofa.go.kr/kor/introduce/location.jsp</ns0:t>
        </ns0:is>
      </ns0:c>
      <ns0:c r="P16" s="11">
        <ns0:f>LEN(F16)+MAX(LEN(G16),LEN(H16),LEN(I16),LEN(J16))</ns0:f>
        <ns0:v>46</ns0:v>
      </ns0:c>
    </ns0:row>
    <ns0:row r="17" ht="113" customHeight="1">
      <ns0:c r="A17" s="12" t="n">
        <ns0:v>920016</ns0:v>
      </ns0:c>
      <ns0:c r="B17" s="12" t="n">
        <ns0:v>910016</ns0:v>
      </ns0:c>
      <ns0:c r="C17" s="12" t="inlineStr">
        <ns0:is>
          <ns0:t>독도는 어디에 있을까</ns0:t>
        </ns0:is>
      </ns0:c>
      <ns0:c r="D17" s="12" t="n">
        <ns0:v>4</ns0:v>
      </ns0:c>
      <ns0:c r="E17" s="12" t="n">
        <ns0:v>3</ns0:v>
      </ns0:c>
      <ns0:c r="F17" s="12" t="inlineStr">
        <ns0:is>
          <ns0:t>두 관찰일 중 울릉도에서 독도를 보기 더 좋은 날은 언제인가요?</ns0:t>
        </ns0:is>
      </ns0:c>
      <ns0:c r="G17" s="12" t="inlineStr">
        <ns0:is>
          <ns0:t>B일</ns0:t>
        </ns0:is>
      </ns0:c>
      <ns0:c r="H17" s="12" t="inlineStr">
        <ns0:is>
          <ns0:t>A일</ns0:t>
        </ns0:is>
      </ns0:c>
      <ns0:c r="I17" s="12" t="inlineStr"/>
      <ns0:c r="J17" s="12" t="inlineStr"/>
      <ns0:c r="K17" s="12" t="n">
        <ns0:v>2</ns0:v>
      </ns0:c>
      <ns0:c r="L17" s="12" t="inlineStr">
        <ns0:is>
          <ns0:t>A일은 시야가 맑아 멀리 있는 독도를 바라보기에 더 적합해요.</ns0:t>
        </ns0:is>
      </ns0:c>
      <ns0:c r="M17" s="12" t="inlineStr">
        <ns0:is>
          <ns0:t>울릉도에서는 날씨가 맑고 시야가 좋을 때 독도를 볼 수 있어요.</ns0:t>
        </ns0:is>
      </ns0:c>
      <ns0:c r="N17" s="12" t="inlineStr">
        <ns0:is>
          <ns0:t>dk-visibility</ns0:t>
        </ns0:is>
      </ns0:c>
      <ns0:c r="O17" s="12" t="inlineStr">
        <ns0:is>
          <ns0:t>대한민국 외교부 자료실 · 세종실록 지리지(1454)
https://dokdo.mofa.go.kr/kor/pds/part06_view02.jsp
대한민국 외교부 · 독도의 구성 및 위치
https://dokdo.mofa.go.kr/kor/introduce/location.jsp</ns0:t>
        </ns0:is>
      </ns0:c>
      <ns0:c r="P17" s="13">
        <ns0:f>LEN(F17)+MAX(LEN(G17),LEN(H17),LEN(I17),LEN(J17))</ns0:f>
        <ns0:v>37</ns0:v>
      </ns0:c>
    </ns0:row>
    <ns0:row r="18" ht="113" customHeight="1">
      <ns0:c r="A18" s="10" t="n">
        <ns0:v>920017</ns0:v>
      </ns0:c>
      <ns0:c r="B18" s="10" t="n">
        <ns0:v>910017</ns0:v>
      </ns0:c>
      <ns0:c r="C18" s="10" t="inlineStr">
        <ns0:is>
          <ns0:t>독도는 어디에 있을까</ns0:t>
        </ns0:is>
      </ns0:c>
      <ns0:c r="D18" s="10" t="n">
        <ns0:v>1</ns0:v>
      </ns0:c>
      <ns0:c r="E18" s="10" t="n">
        <ns0:v>1</ns0:v>
      </ns0:c>
      <ns0:c r="F18" s="10" t="inlineStr">
        <ns0:is>
          <ns0:t>독도의 부속 도서 89개를 셀 때 따로 구분하는 두 큰 섬은 무엇인가요?</ns0:t>
        </ns0:is>
      </ns0:c>
      <ns0:c r="G18" s="10" t="inlineStr">
        <ns0:is>
          <ns0:t>동도와 서도</ns0:t>
        </ns0:is>
      </ns0:c>
      <ns0:c r="H18" s="10" t="inlineStr">
        <ns0:is>
          <ns0:t>울릉도와 독도</ns0:t>
        </ns0:is>
      </ns0:c>
      <ns0:c r="I18" s="10" t="inlineStr">
        <ns0:is>
          <ns0:t>동도와 울릉도</ns0:t>
        </ns0:is>
      </ns0:c>
      <ns0:c r="J18" s="10" t="inlineStr"/>
      <ns0:c r="K18" s="10" t="n">
        <ns0:v>1</ns0:v>
      </ns0:c>
      <ns0:c r="L18" s="10" t="inlineStr">
        <ns0:is>
          <ns0:t>부속 도서 89개에 동도와 서도 두 큰 섬을 따로 더해 구성해요.</ns0:t>
        </ns0:is>
      </ns0:c>
      <ns0:c r="M18" s="10" t="inlineStr">
        <ns0:is>
          <ns0:t>독도의 부속 도서 89개는 동도와 서도를 뺀 작은 섬들의 수예요.</ns0:t>
        </ns0:is>
      </ns0:c>
      <ns0:c r="N18" s="10" t="inlineStr">
        <ns0:is>
          <ns0:t>dk-islet-count</ns0:t>
        </ns0:is>
      </ns0:c>
      <ns0:c r="O18" s="10" t="inlineStr">
        <ns0:is>
          <ns0:t>대한민국 외교부 · 독도의 구성 및 위치
https://dokdo.mofa.go.kr/kor/introduce/location.jsp
대한민국 한국해양과학기술원 · 독도 위치 및 규모
https://www.dokdo.re.kr/home/cms/cmsCont.do?cntnts_sn=64</ns0:t>
        </ns0:is>
      </ns0:c>
      <ns0:c r="P18" s="11">
        <ns0:f>LEN(F18)+MAX(LEN(G18),LEN(H18),LEN(I18),LEN(J18))</ns0:f>
        <ns0:v>47</ns0:v>
      </ns0:c>
    </ns0:row>
    <ns0:row r="19" ht="113" customHeight="1">
      <ns0:c r="A19" s="12" t="n">
        <ns0:v>920018</ns0:v>
      </ns0:c>
      <ns0:c r="B19" s="12" t="n">
        <ns0:v>910018</ns0:v>
      </ns0:c>
      <ns0:c r="C19" s="12" t="inlineStr">
        <ns0:is>
          <ns0:t>독도는 어디에 있을까</ns0:t>
        </ns0:is>
      </ns0:c>
      <ns0:c r="D19" s="12" t="n">
        <ns0:v>2</ns0:v>
      </ns0:c>
      <ns0:c r="E19" s="12" t="n">
        <ns0:v>2</ns0:v>
      </ns0:c>
      <ns0:c r="F19" s="12" t="inlineStr">
        <ns0:is>
          <ns0:t>동도·서도와 부속 도서 89개를 합하면 몇 개인가요?</ns0:t>
        </ns0:is>
      </ns0:c>
      <ns0:c r="G19" s="12" t="inlineStr">
        <ns0:is>
          <ns0:t>91개</ns0:t>
        </ns0:is>
      </ns0:c>
      <ns0:c r="H19" s="12" t="inlineStr">
        <ns0:is>
          <ns0:t>89개</ns0:t>
        </ns0:is>
      </ns0:c>
      <ns0:c r="I19" s="12" t="inlineStr">
        <ns0:is>
          <ns0:t>90개</ns0:t>
        </ns0:is>
      </ns0:c>
      <ns0:c r="J19" s="12" t="inlineStr">
        <ns0:is>
          <ns0:t>93개</ns0:t>
        </ns0:is>
      </ns0:c>
      <ns0:c r="K19" s="12" t="n">
        <ns0:v>1</ns0:v>
      </ns0:c>
      <ns0:c r="L19" s="12" t="inlineStr">
        <ns0:is>
          <ns0:t>두 큰 섬 2개와 부속 도서 89개를 더하면 91개예요.</ns0:t>
        </ns0:is>
      </ns0:c>
      <ns0:c r="M19" s="12" t="inlineStr">
        <ns0:is>
          <ns0:t>독도의 부속 도서 89개는 동도와 서도를 뺀 작은 섬들의 수예요.</ns0:t>
        </ns0:is>
      </ns0:c>
      <ns0:c r="N19" s="12" t="inlineStr">
        <ns0:is>
          <ns0:t>dk-islet-count</ns0:t>
        </ns0:is>
      </ns0:c>
      <ns0:c r="O19" s="12" t="inlineStr">
        <ns0:is>
          <ns0:t>대한민국 외교부 · 독도의 구성 및 위치
https://dokdo.mofa.go.kr/kor/introduce/location.jsp
대한민국 한국해양과학기술원 · 독도 위치 및 규모
https://www.dokdo.re.kr/home/cms/cmsCont.do?cntnts_sn=64</ns0:t>
        </ns0:is>
      </ns0:c>
      <ns0:c r="P19" s="13">
        <ns0:f>LEN(F19)+MAX(LEN(G19),LEN(H19),LEN(I19),LEN(J19))</ns0:f>
        <ns0:v>32</ns0:v>
      </ns0:c>
    </ns0:row>
    <ns0:row r="20" ht="113" customHeight="1">
      <ns0:c r="A20" s="10" t="n">
        <ns0:v>920019</ns0:v>
      </ns0:c>
      <ns0:c r="B20" s="10" t="n">
        <ns0:v>910019</ns0:v>
      </ns0:c>
      <ns0:c r="C20" s="10" t="inlineStr">
        <ns0:is>
          <ns0:t>독도는 어디에 있을까</ns0:t>
        </ns0:is>
      </ns0:c>
      <ns0:c r="D20" s="10" t="n">
        <ns0:v>3</ns0:v>
      </ns0:c>
      <ns0:c r="E20" s="10" t="n">
        <ns0:v>3</ns0:v>
      </ns0:c>
      <ns0:c r="F20" s="10" t="inlineStr">
        <ns0:is>
          <ns0:t>면적표에서 부속 도서 전체의 넓이는 얼마인가요?</ns0:t>
        </ns0:is>
      </ns0:c>
      <ns0:c r="G20" s="10" t="inlineStr">
        <ns0:is>
          <ns0:t>73,297㎡</ns0:t>
        </ns0:is>
      </ns0:c>
      <ns0:c r="H20" s="10" t="inlineStr">
        <ns0:is>
          <ns0:t>25,517㎡</ns0:t>
        </ns0:is>
      </ns0:c>
      <ns0:c r="I20" s="10" t="inlineStr">
        <ns0:is>
          <ns0:t>88,740㎡</ns0:t>
        </ns0:is>
      </ns0:c>
      <ns0:c r="J20" s="10" t="inlineStr">
        <ns0:is>
          <ns0:t>187,554㎡</ns0:t>
        </ns0:is>
      </ns0:c>
      <ns0:c r="K20" s="10" t="n">
        <ns0:v>2</ns0:v>
      </ns0:c>
      <ns0:c r="L20" s="10" t="inlineStr">
        <ns0:is>
          <ns0:t>부속 도서 행의 값이 25,517㎡예요. 전체 면적이나 큰 섬 하나의 면적과 구분해요.</ns0:t>
        </ns0:is>
      </ns0:c>
      <ns0:c r="M20" s="10" t="inlineStr">
        <ns0:is>
          <ns0:t>독도의 부속 도서 89개는 동도와 서도를 뺀 작은 섬들의 수예요.</ns0:t>
        </ns0:is>
      </ns0:c>
      <ns0:c r="N20" s="10" t="inlineStr">
        <ns0:is>
          <ns0:t>dk-islet-count</ns0:t>
        </ns0:is>
      </ns0:c>
      <ns0:c r="O20" s="10" t="inlineStr">
        <ns0:is>
          <ns0:t>대한민국 외교부 · 독도의 구성 및 위치
https://dokdo.mofa.go.kr/kor/introduce/location.jsp
대한민국 한국해양과학기술원 · 독도 위치 및 규모
https://www.dokdo.re.kr/home/cms/cmsCont.do?cntnts_sn=64</ns0:t>
        </ns0:is>
      </ns0:c>
      <ns0:c r="P20" s="11">
        <ns0:f>LEN(F20)+MAX(LEN(G20),LEN(H20),LEN(I20),LEN(J20))</ns0:f>
        <ns0:v>34</ns0:v>
      </ns0:c>
    </ns0:row>
    <ns0:row r="21" ht="113" customHeight="1">
      <ns0:c r="A21" s="12" t="n">
        <ns0:v>920020</ns0:v>
      </ns0:c>
      <ns0:c r="B21" s="12" t="n">
        <ns0:v>910020</ns0:v>
      </ns0:c>
      <ns0:c r="C21" s="12" t="inlineStr">
        <ns0:is>
          <ns0:t>독도는 어디에 있을까</ns0:t>
        </ns0:is>
      </ns0:c>
      <ns0:c r="D21" s="12" t="n">
        <ns0:v>4</ns0:v>
      </ns0:c>
      <ns0:c r="E21" s="12" t="n">
        <ns0:v>3</ns0:v>
      </ns0:c>
      <ns0:c r="F21" s="12" t="inlineStr">
        <ns0:is>
          <ns0:t>독도 전체 면적을 동도와 서도 면적만 더해 계산하면 무엇이 빠지나요?</ns0:t>
        </ns0:is>
      </ns0:c>
      <ns0:c r="G21" s="12" t="inlineStr">
        <ns0:is>
          <ns0:t>두 섬 사이 바다 25,517㎡</ns0:t>
        </ns0:is>
      </ns0:c>
      <ns0:c r="H21" s="12" t="inlineStr">
        <ns0:is>
          <ns0:t>부속 도서 25,517㎡</ns0:t>
        </ns0:is>
      </ns0:c>
      <ns0:c r="I21" s="12" t="inlineStr">
        <ns0:is>
          <ns0:t>울릉도 25,517㎡</ns0:t>
        </ns0:is>
      </ns0:c>
      <ns0:c r="J21" s="12" t="inlineStr"/>
      <ns0:c r="K21" s="12" t="n">
        <ns0:v>2</ns0:v>
      </ns0:c>
      <ns0:c r="L21" s="12" t="inlineStr">
        <ns0:is>
          <ns0:t>187,554−73,297−88,740=25,517㎡예요. 빠진 값은 부속 도서의 땅 면적이에요.</ns0:t>
        </ns0:is>
      </ns0:c>
      <ns0:c r="M21" s="12" t="inlineStr">
        <ns0:is>
          <ns0:t>독도의 부속 도서 89개는 동도와 서도를 뺀 작은 섬들의 수예요.</ns0:t>
        </ns0:is>
      </ns0:c>
      <ns0:c r="N21" s="12" t="inlineStr">
        <ns0:is>
          <ns0:t>dk-islet-count</ns0:t>
        </ns0:is>
      </ns0:c>
      <ns0:c r="O21" s="12" t="inlineStr">
        <ns0:is>
          <ns0:t>대한민국 외교부 · 독도의 구성 및 위치
https://dokdo.mofa.go.kr/kor/introduce/location.jsp
대한민국 한국해양과학기술원 · 독도 위치 및 규모
https://www.dokdo.re.kr/home/cms/cmsCont.do?cntnts_sn=64</ns0:t>
        </ns0:is>
      </ns0:c>
      <ns0:c r="P21" s="13">
        <ns0:f>LEN(F21)+MAX(LEN(G21),LEN(H21),LEN(I21),LEN(J21))</ns0:f>
        <ns0:v>55</ns0:v>
      </ns0:c>
    </ns0:row>
    <ns0:row r="22" ht="113" customHeight="1">
      <ns0:c r="A22" s="10" t="n">
        <ns0:v>920021</ns0:v>
      </ns0:c>
      <ns0:c r="B22" s="10" t="n">
        <ns0:v>910021</ns0:v>
      </ns0:c>
      <ns0:c r="C22" s="10" t="inlineStr">
        <ns0:is>
          <ns0:t>동도와 서도 비교</ns0:t>
        </ns0:is>
      </ns0:c>
      <ns0:c r="D22" s="10" t="n">
        <ns0:v>1</ns0:v>
      </ns0:c>
      <ns0:c r="E22" s="10" t="n">
        <ns0:v>1</ns0:v>
      </ns0:c>
      <ns0:c r="F22" s="10" t="inlineStr">
        <ns0:is>
          <ns0:t>독도의 두 큰 섬 중 더 높은 섬은 무엇인가요?</ns0:t>
        </ns0:is>
      </ns0:c>
      <ns0:c r="G22" s="10" t="inlineStr">
        <ns0:is>
          <ns0:t>서도</ns0:t>
        </ns0:is>
      </ns0:c>
      <ns0:c r="H22" s="10" t="inlineStr">
        <ns0:is>
          <ns0:t>동도</ns0:t>
        </ns0:is>
      </ns0:c>
      <ns0:c r="I22" s="10" t="inlineStr"/>
      <ns0:c r="J22" s="10" t="inlineStr"/>
      <ns0:c r="K22" s="10" t="n">
        <ns0:v>1</ns0:v>
      </ns0:c>
      <ns0:c r="L22" s="10" t="inlineStr">
        <ns0:is>
          <ns0:t>서도의 최고 높이는 168.5m로 동도의 98.6m보다 높아요.</ns0:t>
        </ns0:is>
      </ns0:c>
      <ns0:c r="M22" s="10" t="inlineStr">
        <ns0:is>
          <ns0:t>독도에서 더 높은 큰 섬은 서도예요. 서도는 168.5m, 동도는 98.6m예요.</ns0:t>
        </ns0:is>
      </ns0:c>
      <ns0:c r="N22" s="10" t="inlineStr">
        <ns0:is>
          <ns0:t>dk-heights</ns0:t>
        </ns0:is>
      </ns0:c>
      <ns0:c r="O22" s="10" t="inlineStr">
        <ns0:is>
          <ns0:t>대한민국 외교부 · 독도의 구성 및 위치
https://dokdo.mofa.go.kr/kor/introduce/location.jsp
대한민국 한국해양과학기술원 · 독도 위치 및 규모
https://www.dokdo.re.kr/home/cms/cmsCont.do?cntnts_sn=64</ns0:t>
        </ns0:is>
      </ns0:c>
      <ns0:c r="P22" s="11">
        <ns0:f>LEN(F22)+MAX(LEN(G22),LEN(H22),LEN(I22),LEN(J22))</ns0:f>
        <ns0:v>28</ns0:v>
      </ns0:c>
    </ns0:row>
    <ns0:row r="23" ht="113" customHeight="1">
      <ns0:c r="A23" s="12" t="n">
        <ns0:v>920022</ns0:v>
      </ns0:c>
      <ns0:c r="B23" s="12" t="n">
        <ns0:v>910022</ns0:v>
      </ns0:c>
      <ns0:c r="C23" s="12" t="inlineStr">
        <ns0:is>
          <ns0:t>동도와 서도 비교</ns0:t>
        </ns0:is>
      </ns0:c>
      <ns0:c r="D23" s="12" t="n">
        <ns0:v>2</ns0:v>
      </ns0:c>
      <ns0:c r="E23" s="12" t="n">
        <ns0:v>2</ns0:v>
      </ns0:c>
      <ns0:c r="F23" s="12" t="inlineStr">
        <ns0:is>
          <ns0:t>독도에서 최고 높이가 98.6m인 큰 섬은 무엇인가요?</ns0:t>
        </ns0:is>
      </ns0:c>
      <ns0:c r="G23" s="12" t="inlineStr">
        <ns0:is>
          <ns0:t>서도</ns0:t>
        </ns0:is>
      </ns0:c>
      <ns0:c r="H23" s="12" t="inlineStr">
        <ns0:is>
          <ns0:t>동도</ns0:t>
        </ns0:is>
      </ns0:c>
      <ns0:c r="I23" s="12" t="inlineStr"/>
      <ns0:c r="J23" s="12" t="inlineStr"/>
      <ns0:c r="K23" s="12" t="n">
        <ns0:v>2</ns0:v>
      </ns0:c>
      <ns0:c r="L23" s="12" t="inlineStr">
        <ns0:is>
          <ns0:t>98.6m는 동도의 최고 높이예요. 서도의 값과 구분해요.</ns0:t>
        </ns0:is>
      </ns0:c>
      <ns0:c r="M23" s="12" t="inlineStr">
        <ns0:is>
          <ns0:t>독도에서 더 높은 큰 섬은 서도예요. 서도는 168.5m, 동도는 98.6m예요.</ns0:t>
        </ns0:is>
      </ns0:c>
      <ns0:c r="N23" s="12" t="inlineStr">
        <ns0:is>
          <ns0:t>dk-heights</ns0:t>
        </ns0:is>
      </ns0:c>
      <ns0:c r="O23" s="12" t="inlineStr">
        <ns0:is>
          <ns0:t>대한민국 외교부 · 독도의 구성 및 위치
https://dokdo.mofa.go.kr/kor/introduce/location.jsp
대한민국 한국해양과학기술원 · 독도 위치 및 규모
https://www.dokdo.re.kr/home/cms/cmsCont.do?cntnts_sn=64</ns0:t>
        </ns0:is>
      </ns0:c>
      <ns0:c r="P23" s="13">
        <ns0:f>LEN(F23)+MAX(LEN(G23),LEN(H23),LEN(I23),LEN(J23))</ns0:f>
        <ns0:v>32</ns0:v>
      </ns0:c>
    </ns0:row>
    <ns0:row r="24" ht="113" customHeight="1">
      <ns0:c r="A24" s="10" t="n">
        <ns0:v>920023</ns0:v>
      </ns0:c>
      <ns0:c r="B24" s="10" t="n">
        <ns0:v>910023</ns0:v>
      </ns0:c>
      <ns0:c r="C24" s="10" t="inlineStr">
        <ns0:is>
          <ns0:t>동도와 서도 비교</ns0:t>
        </ns0:is>
      </ns0:c>
      <ns0:c r="D24" s="10" t="n">
        <ns0:v>3</ns0:v>
      </ns0:c>
      <ns0:c r="E24" s="10" t="n">
        <ns0:v>3</ns0:v>
      </ns0:c>
      <ns0:c r="F24" s="10" t="inlineStr">
        <ns0:is>
          <ns0:t>높이표에 따르면 서도는 동도보다 몇 m 더 높은가요?</ns0:t>
        </ns0:is>
      </ns0:c>
      <ns0:c r="G24" s="10" t="inlineStr">
        <ns0:is>
          <ns0:t>267.1m</ns0:t>
        </ns0:is>
      </ns0:c>
      <ns0:c r="H24" s="10" t="inlineStr">
        <ns0:is>
          <ns0:t>98.6m</ns0:t>
        </ns0:is>
      </ns0:c>
      <ns0:c r="I24" s="10" t="inlineStr">
        <ns0:is>
          <ns0:t>69.9m</ns0:t>
        </ns0:is>
      </ns0:c>
      <ns0:c r="J24" s="10" t="inlineStr">
        <ns0:is>
          <ns0:t>151m</ns0:t>
        </ns0:is>
      </ns0:c>
      <ns0:c r="K24" s="10" t="n">
        <ns0:v>3</ns0:v>
      </ns0:c>
      <ns0:c r="L24" s="10" t="inlineStr">
        <ns0:is>
          <ns0:t>168.5−98.6=69.9m예요. 두 최고 높이를 같은 단위로 빼요.</ns0:t>
        </ns0:is>
      </ns0:c>
      <ns0:c r="M24" s="10" t="inlineStr">
        <ns0:is>
          <ns0:t>독도에서 더 높은 큰 섬은 서도예요. 서도는 168.5m, 동도는 98.6m예요.</ns0:t>
        </ns0:is>
      </ns0:c>
      <ns0:c r="N24" s="10" t="inlineStr">
        <ns0:is>
          <ns0:t>dk-heights</ns0:t>
        </ns0:is>
      </ns0:c>
      <ns0:c r="O24" s="10" t="inlineStr">
        <ns0:is>
          <ns0:t>대한민국 외교부 · 독도의 구성 및 위치
https://dokdo.mofa.go.kr/kor/introduce/location.jsp
대한민국 한국해양과학기술원 · 독도 위치 및 규모
https://www.dokdo.re.kr/home/cms/cmsCont.do?cntnts_sn=64</ns0:t>
        </ns0:is>
      </ns0:c>
      <ns0:c r="P24" s="11">
        <ns0:f>LEN(F24)+MAX(LEN(G24),LEN(H24),LEN(I24),LEN(J24))</ns0:f>
        <ns0:v>35</ns0:v>
      </ns0:c>
    </ns0:row>
    <ns0:row r="25" ht="113" customHeight="1">
      <ns0:c r="A25" s="12" t="n">
        <ns0:v>920024</ns0:v>
      </ns0:c>
      <ns0:c r="B25" s="12" t="n">
        <ns0:v>910024</ns0:v>
      </ns0:c>
      <ns0:c r="C25" s="12" t="inlineStr">
        <ns0:is>
          <ns0:t>동도와 서도 비교</ns0:t>
        </ns0:is>
      </ns0:c>
      <ns0:c r="D25" s="12" t="n">
        <ns0:v>4</ns0:v>
      </ns0:c>
      <ns0:c r="E25" s="12" t="n">
        <ns0:v>3</ns0:v>
      </ns0:c>
      <ns0:c r="F25" s="12" t="inlineStr">
        <ns0:is>
          <ns0:t>표의 높이를 기준으로 100m보다 높은 곳이 있는 섬은 어디인가요?</ns0:t>
        </ns0:is>
      </ns0:c>
      <ns0:c r="G25" s="12" t="inlineStr">
        <ns0:is>
          <ns0:t>동도만</ns0:t>
        </ns0:is>
      </ns0:c>
      <ns0:c r="H25" s="12" t="inlineStr">
        <ns0:is>
          <ns0:t>두 섬 모두</ns0:t>
        </ns0:is>
      </ns0:c>
      <ns0:c r="I25" s="12" t="inlineStr">
        <ns0:is>
          <ns0:t>어느 섬도 없음</ns0:t>
        </ns0:is>
      </ns0:c>
      <ns0:c r="J25" s="12" t="inlineStr">
        <ns0:is>
          <ns0:t>서도만</ns0:t>
        </ns0:is>
      </ns0:c>
      <ns0:c r="K25" s="12" t="n">
        <ns0:v>4</ns0:v>
      </ns0:c>
      <ns0:c r="L25" s="12" t="inlineStr">
        <ns0:is>
          <ns0:t>서도는 168.5m까지 올라가지만 동도의 최고점은 98.6m예요. 동도에 100m 지점을 표시하면 최고 높이를 넘어요.</ns0:t>
        </ns0:is>
      </ns0:c>
      <ns0:c r="M25" s="12" t="inlineStr">
        <ns0:is>
          <ns0:t>독도에서 더 높은 큰 섬은 서도예요. 서도는 168.5m, 동도는 98.6m예요.</ns0:t>
        </ns0:is>
      </ns0:c>
      <ns0:c r="N25" s="12" t="inlineStr">
        <ns0:is>
          <ns0:t>dk-heights</ns0:t>
        </ns0:is>
      </ns0:c>
      <ns0:c r="O25" s="12" t="inlineStr">
        <ns0:is>
          <ns0:t>대한민국 외교부 · 독도의 구성 및 위치
https://dokdo.mofa.go.kr/kor/introduce/location.jsp
대한민국 한국해양과학기술원 · 독도 위치 및 규모
https://www.dokdo.re.kr/home/cms/cmsCont.do?cntnts_sn=64</ns0:t>
        </ns0:is>
      </ns0:c>
      <ns0:c r="P25" s="13">
        <ns0:f>LEN(F25)+MAX(LEN(G25),LEN(H25),LEN(I25),LEN(J25))</ns0:f>
        <ns0:v>45</ns0:v>
      </ns0:c>
    </ns0:row>
    <ns0:row r="26" ht="113" customHeight="1">
      <ns0:c r="A26" s="10" t="n">
        <ns0:v>920025</ns0:v>
      </ns0:c>
      <ns0:c r="B26" s="10" t="n">
        <ns0:v>910025</ns0:v>
      </ns0:c>
      <ns0:c r="C26" s="10" t="inlineStr">
        <ns0:is>
          <ns0:t>동도와 서도 비교</ns0:t>
        </ns0:is>
      </ns0:c>
      <ns0:c r="D26" s="10" t="n">
        <ns0:v>1</ns0:v>
      </ns0:c>
      <ns0:c r="E26" s="10" t="n">
        <ns0:v>1</ns0:v>
      </ns0:c>
      <ns0:c r="F26" s="10" t="inlineStr">
        <ns0:is>
          <ns0:t>독도의 두 큰 섬 중 땅의 넓이가 더 넓은 섬은 무엇인가요?</ns0:t>
        </ns0:is>
      </ns0:c>
      <ns0:c r="G26" s="10" t="inlineStr">
        <ns0:is>
          <ns0:t>서도</ns0:t>
        </ns0:is>
      </ns0:c>
      <ns0:c r="H26" s="10" t="inlineStr">
        <ns0:is>
          <ns0:t>동도</ns0:t>
        </ns0:is>
      </ns0:c>
      <ns0:c r="I26" s="10" t="inlineStr"/>
      <ns0:c r="J26" s="10" t="inlineStr"/>
      <ns0:c r="K26" s="10" t="n">
        <ns0:v>1</ns0:v>
      </ns0:c>
      <ns0:c r="L26" s="10" t="inlineStr">
        <ns0:is>
          <ns0:t>서도는 88,740㎡, 동도는 73,297㎡이므로 서도가 더 넓어요.</ns0:t>
        </ns0:is>
      </ns0:c>
      <ns0:c r="M26" s="10" t="inlineStr">
        <ns0:is>
          <ns0:t>서도는 동도보다 면적이 넓지만, 해안선의 둘레는 동도가 더 길어요.</ns0:t>
        </ns0:is>
      </ns0:c>
      <ns0:c r="N26" s="10" t="inlineStr">
        <ns0:is>
          <ns0:t>dk-area</ns0:t>
        </ns0:is>
      </ns0:c>
      <ns0:c r="O26" s="10" t="inlineStr">
        <ns0:is>
          <ns0:t>대한민국 외교부 · 독도의 구성 및 위치
https://dokdo.mofa.go.kr/kor/introduce/location.jsp
대한민국 한국해양과학기술원 · 독도 위치 및 규모
https://www.dokdo.re.kr/home/cms/cmsCont.do?cntnts_sn=64</ns0:t>
        </ns0:is>
      </ns0:c>
      <ns0:c r="P26" s="11">
        <ns0:f>LEN(F26)+MAX(LEN(G26),LEN(H26),LEN(I26),LEN(J26))</ns0:f>
        <ns0:v>35</ns0:v>
      </ns0:c>
    </ns0:row>
    <ns0:row r="27" ht="113" customHeight="1">
      <ns0:c r="A27" s="12" t="n">
        <ns0:v>920026</ns0:v>
      </ns0:c>
      <ns0:c r="B27" s="12" t="n">
        <ns0:v>910026</ns0:v>
      </ns0:c>
      <ns0:c r="C27" s="12" t="inlineStr">
        <ns0:is>
          <ns0:t>동도와 서도 비교</ns0:t>
        </ns0:is>
      </ns0:c>
      <ns0:c r="D27" s="12" t="n">
        <ns0:v>2</ns0:v>
      </ns0:c>
      <ns0:c r="E27" s="12" t="n">
        <ns0:v>2</ns0:v>
      </ns0:c>
      <ns0:c r="F27" s="12" t="inlineStr">
        <ns0:is>
          <ns0:t>독도 면적표의 ㎡는 무엇을 나타내는 단위인가요?</ns0:t>
        </ns0:is>
      </ns0:c>
      <ns0:c r="G27" s="12" t="inlineStr">
        <ns0:is>
          <ns0:t>봉우리의 높이</ns0:t>
        </ns0:is>
      </ns0:c>
      <ns0:c r="H27" s="12" t="inlineStr">
        <ns0:is>
          <ns0:t>해안선을 따라 잰 길이</ns0:t>
        </ns0:is>
      </ns0:c>
      <ns0:c r="I27" s="12" t="inlineStr">
        <ns0:is>
          <ns0:t>땅의 넓이</ns0:t>
        </ns0:is>
      </ns0:c>
      <ns0:c r="J27" s="12" t="inlineStr"/>
      <ns0:c r="K27" s="12" t="n">
        <ns0:v>3</ns0:v>
      </ns0:c>
      <ns0:c r="L27" s="12" t="inlineStr">
        <ns0:is>
          <ns0:t>제곱미터는 넓이를 나타내요. 섬의 높이를 나타내는 미터와 달라요.</ns0:t>
        </ns0:is>
      </ns0:c>
      <ns0:c r="M27" s="12" t="inlineStr">
        <ns0:is>
          <ns0:t>서도는 동도보다 면적이 넓지만, 해안선의 둘레는 동도가 더 길어요.</ns0:t>
        </ns0:is>
      </ns0:c>
      <ns0:c r="N27" s="12" t="inlineStr">
        <ns0:is>
          <ns0:t>dk-area</ns0:t>
        </ns0:is>
      </ns0:c>
      <ns0:c r="O27" s="12" t="inlineStr">
        <ns0:is>
          <ns0:t>대한민국 외교부 · 독도의 구성 및 위치
https://dokdo.mofa.go.kr/kor/introduce/location.jsp
대한민국 한국해양과학기술원 · 독도 위치 및 규모
https://www.dokdo.re.kr/home/cms/cmsCont.do?cntnts_sn=64</ns0:t>
        </ns0:is>
      </ns0:c>
      <ns0:c r="P27" s="13">
        <ns0:f>LEN(F27)+MAX(LEN(G27),LEN(H27),LEN(I27),LEN(J27))</ns0:f>
        <ns0:v>38</ns0:v>
      </ns0:c>
    </ns0:row>
    <ns0:row r="28" ht="113" customHeight="1">
      <ns0:c r="A28" s="10" t="n">
        <ns0:v>920027</ns0:v>
      </ns0:c>
      <ns0:c r="B28" s="10" t="n">
        <ns0:v>910027</ns0:v>
      </ns0:c>
      <ns0:c r="C28" s="10" t="inlineStr">
        <ns0:is>
          <ns0:t>동도와 서도 비교</ns0:t>
        </ns0:is>
      </ns0:c>
      <ns0:c r="D28" s="10" t="n">
        <ns0:v>3</ns0:v>
      </ns0:c>
      <ns0:c r="E28" s="10" t="n">
        <ns0:v>3</ns0:v>
      </ns0:c>
      <ns0:c r="F28" s="10" t="inlineStr">
        <ns0:is>
          <ns0:t>표에서 해안선의 둘레가 더 긴 큰 섬은 어디인가요?</ns0:t>
        </ns0:is>
      </ns0:c>
      <ns0:c r="G28" s="10" t="inlineStr">
        <ns0:is>
          <ns0:t>서도</ns0:t>
        </ns0:is>
      </ns0:c>
      <ns0:c r="H28" s="10" t="inlineStr">
        <ns0:is>
          <ns0:t>동도</ns0:t>
        </ns0:is>
      </ns0:c>
      <ns0:c r="I28" s="10" t="inlineStr"/>
      <ns0:c r="J28" s="10" t="inlineStr"/>
      <ns0:c r="K28" s="10" t="n">
        <ns0:v>2</ns0:v>
      </ns0:c>
      <ns0:c r="L28" s="10" t="inlineStr">
        <ns0:is>
          <ns0:t>동도 둘레는 2.8km, 서도는 2.6km예요. 둘레를 비교하면 동도가 더 길어요.</ns0:t>
        </ns0:is>
      </ns0:c>
      <ns0:c r="M28" s="10" t="inlineStr">
        <ns0:is>
          <ns0:t>서도는 동도보다 면적이 넓지만, 해안선의 둘레는 동도가 더 길어요.</ns0:t>
        </ns0:is>
      </ns0:c>
      <ns0:c r="N28" s="10" t="inlineStr">
        <ns0:is>
          <ns0:t>dk-area</ns0:t>
        </ns0:is>
      </ns0:c>
      <ns0:c r="O28" s="10" t="inlineStr">
        <ns0:is>
          <ns0:t>대한민국 외교부 · 독도의 구성 및 위치
https://dokdo.mofa.go.kr/kor/introduce/location.jsp
대한민국 한국해양과학기술원 · 독도 위치 및 규모
https://www.dokdo.re.kr/home/cms/cmsCont.do?cntnts_sn=64</ns0:t>
        </ns0:is>
      </ns0:c>
      <ns0:c r="P28" s="11">
        <ns0:f>LEN(F28)+MAX(LEN(G28),LEN(H28),LEN(I28),LEN(J28))</ns0:f>
        <ns0:v>30</ns0:v>
      </ns0:c>
    </ns0:row>
    <ns0:row r="29" ht="113" customHeight="1">
      <ns0:c r="A29" s="12" t="n">
        <ns0:v>920028</ns0:v>
      </ns0:c>
      <ns0:c r="B29" s="12" t="n">
        <ns0:v>910028</ns0:v>
      </ns0:c>
      <ns0:c r="C29" s="12" t="inlineStr">
        <ns0:is>
          <ns0:t>동도와 서도 비교</ns0:t>
        </ns0:is>
      </ns0:c>
      <ns0:c r="D29" s="12" t="n">
        <ns0:v>4</ns0:v>
      </ns0:c>
      <ns0:c r="E29" s="12" t="n">
        <ns0:v>3</ns0:v>
      </ns0:c>
      <ns0:c r="F29" s="12" t="inlineStr">
        <ns0:is>
          <ns0:t>표에 맞게 서도와 동도의 면적·둘레를 함께 비교한 것은 무엇인가요?</ns0:t>
        </ns0:is>
      </ns0:c>
      <ns0:c r="G29" s="12" t="inlineStr">
        <ns0:is>
          <ns0:t>서도는 더 넓고, 동도는 둘레가 더 길다</ns0:t>
        </ns0:is>
      </ns0:c>
      <ns0:c r="H29" s="12" t="inlineStr">
        <ns0:is>
          <ns0:t>서도가 더 넓으므로 둘레도 더 길다</ns0:t>
        </ns0:is>
      </ns0:c>
      <ns0:c r="I29" s="12" t="inlineStr">
        <ns0:is>
          <ns0:t>동도가 더 넓고 둘레도 더 길다</ns0:t>
        </ns0:is>
      </ns0:c>
      <ns0:c r="J29" s="12" t="inlineStr"/>
      <ns0:c r="K29" s="12" t="n">
        <ns0:v>1</ns0:v>
      </ns0:c>
      <ns0:c r="L29" s="12" t="inlineStr">
        <ns0:is>
          <ns0:t>넓이와 둘레는 서로 다른 값이에요. 표에서는 두 항목에서 더 큰 섬이 서로 달라요.</ns0:t>
        </ns0:is>
      </ns0:c>
      <ns0:c r="M29" s="12" t="inlineStr">
        <ns0:is>
          <ns0:t>서도는 동도보다 면적이 넓지만, 해안선의 둘레는 동도가 더 길어요.</ns0:t>
        </ns0:is>
      </ns0:c>
      <ns0:c r="N29" s="12" t="inlineStr">
        <ns0:is>
          <ns0:t>dk-area</ns0:t>
        </ns0:is>
      </ns0:c>
      <ns0:c r="O29" s="12" t="inlineStr">
        <ns0:is>
          <ns0:t>대한민국 외교부 · 독도의 구성 및 위치
https://dokdo.mofa.go.kr/kor/introduce/location.jsp
대한민국 한국해양과학기술원 · 독도 위치 및 규모
https://www.dokdo.re.kr/home/cms/cmsCont.do?cntnts_sn=64</ns0:t>
        </ns0:is>
      </ns0:c>
      <ns0:c r="P29" s="13">
        <ns0:f>LEN(F29)+MAX(LEN(G29),LEN(H29),LEN(I29),LEN(J29))</ns0:f>
        <ns0:v>59</ns0:v>
      </ns0:c>
    </ns0:row>
    <ns0:row r="30" ht="113" customHeight="1">
      <ns0:c r="A30" s="10" t="n">
        <ns0:v>920029</ns0:v>
      </ns0:c>
      <ns0:c r="B30" s="10" t="n">
        <ns0:v>910029</ns0:v>
      </ns0:c>
      <ns0:c r="C30" s="10" t="inlineStr">
        <ns0:is>
          <ns0:t>동도와 서도 비교</ns0:t>
        </ns0:is>
      </ns0:c>
      <ns0:c r="D30" s="10" t="n">
        <ns0:v>1</ns0:v>
      </ns0:c>
      <ns0:c r="E30" s="10" t="n">
        <ns0:v>1</ns0:v>
      </ns0:c>
      <ns0:c r="F30" s="10" t="inlineStr">
        <ns0:is>
          <ns0:t>동도와 서도는 무엇을 사이에 두고 떨어져 있나요?</ns0:t>
        </ns0:is>
      </ns0:c>
      <ns0:c r="G30" s="10" t="inlineStr">
        <ns0:is>
          <ns0:t>육지 도로</ns0:t>
        </ns0:is>
      </ns0:c>
      <ns0:c r="H30" s="10" t="inlineStr">
        <ns0:is>
          <ns0:t>바다</ns0:t>
        </ns0:is>
      </ns0:c>
      <ns0:c r="I30" s="10" t="inlineStr">
        <ns0:is>
          <ns0:t>강</ns0:t>
        </ns0:is>
      </ns0:c>
      <ns0:c r="J30" s="10" t="inlineStr"/>
      <ns0:c r="K30" s="10" t="n">
        <ns0:v>2</ns0:v>
      </ns0:c>
      <ns0:c r="L30" s="10" t="inlineStr">
        <ns0:is>
          <ns0:t>두 섬의 물 위 육지는 바다를 사이에 두고 떨어져 있어요.</ns0:t>
        </ns0:is>
      </ns0:c>
      <ns0:c r="M30" s="10" t="inlineStr">
        <ns0:is>
          <ns0:t>동도와 서도의 가장 가까운 해안 사이 거리는 약 151m예요.</ns0:t>
        </ns0:is>
      </ns0:c>
      <ns0:c r="N30" s="10" t="inlineStr">
        <ns0:is>
          <ns0:t>dk-shore-gap</ns0:t>
        </ns0:is>
      </ns0:c>
      <ns0:c r="O30" s="10" t="inlineStr">
        <ns0:is>
          <ns0:t>대한민국 한국해양과학기술원 · 독도 지형 및 지질
https://www.dokdo.re.kr/home/cms/cmsCont.do?cntnts_sn=66
대한민국 국가유산청 · 독도 천연보호구역
https://www.heritage.go.kr/heri/cul/culSelectDetail.do?VdkVgwKey=16%2C03360000%2C37&amp;pageNo=1_1_2_0</ns0:t>
        </ns0:is>
      </ns0:c>
      <ns0:c r="P30" s="11">
        <ns0:f>LEN(F30)+MAX(LEN(G30),LEN(H30),LEN(I30),LEN(J30))</ns0:f>
        <ns0:v>32</ns0:v>
      </ns0:c>
    </ns0:row>
    <ns0:row r="31" ht="113" customHeight="1">
      <ns0:c r="A31" s="12" t="n">
        <ns0:v>920030</ns0:v>
      </ns0:c>
      <ns0:c r="B31" s="12" t="n">
        <ns0:v>910030</ns0:v>
      </ns0:c>
      <ns0:c r="C31" s="12" t="inlineStr">
        <ns0:is>
          <ns0:t>동도와 서도 비교</ns0:t>
        </ns0:is>
      </ns0:c>
      <ns0:c r="D31" s="12" t="n">
        <ns0:v>2</ns0:v>
      </ns0:c>
      <ns0:c r="E31" s="12" t="n">
        <ns0:v>2</ns0:v>
      </ns0:c>
      <ns0:c r="F31" s="12" t="inlineStr">
        <ns0:is>
          <ns0:t>동도와 서도의 가장 가까운 해안 사이 거리는 약 얼마인가요?</ns0:t>
        </ns0:is>
      </ns0:c>
      <ns0:c r="G31" s="12" t="inlineStr">
        <ns0:is>
          <ns0:t>151m</ns0:t>
        </ns0:is>
      </ns0:c>
      <ns0:c r="H31" s="12" t="inlineStr">
        <ns0:is>
          <ns0:t>87.4km</ns0:t>
        </ns0:is>
      </ns0:c>
      <ns0:c r="I31" s="12" t="inlineStr">
        <ns0:is>
          <ns0:t>98.6m</ns0:t>
        </ns0:is>
      </ns0:c>
      <ns0:c r="J31" s="12" t="inlineStr">
        <ns0:is>
          <ns0:t>168.5m</ns0:t>
        </ns0:is>
      </ns0:c>
      <ns0:c r="K31" s="12" t="n">
        <ns0:v>1</ns0:v>
      </ns0:c>
      <ns0:c r="L31" s="12" t="inlineStr">
        <ns0:is>
          <ns0:t>약 151m는 두 큰 섬의 가장 가까운 해안 사이 간격이에요.</ns0:t>
        </ns0:is>
      </ns0:c>
      <ns0:c r="M31" s="12" t="inlineStr">
        <ns0:is>
          <ns0:t>동도와 서도의 가장 가까운 해안 사이 거리는 약 151m예요.</ns0:t>
        </ns0:is>
      </ns0:c>
      <ns0:c r="N31" s="12" t="inlineStr">
        <ns0:is>
          <ns0:t>dk-shore-gap</ns0:t>
        </ns0:is>
      </ns0:c>
      <ns0:c r="O31" s="12" t="inlineStr">
        <ns0:is>
          <ns0:t>대한민국 한국해양과학기술원 · 독도 지형 및 지질
https://www.dokdo.re.kr/home/cms/cmsCont.do?cntnts_sn=66
대한민국 국가유산청 · 독도 천연보호구역
https://www.heritage.go.kr/heri/cul/culSelectDetail.do?VdkVgwKey=16%2C03360000%2C37&amp;pageNo=1_1_2_0</ns0:t>
        </ns0:is>
      </ns0:c>
      <ns0:c r="P31" s="13">
        <ns0:f>LEN(F31)+MAX(LEN(G31),LEN(H31),LEN(I31),LEN(J31))</ns0:f>
        <ns0:v>39</ns0:v>
      </ns0:c>
    </ns0:row>
    <ns0:row r="32" ht="113" customHeight="1">
      <ns0:c r="A32" s="10" t="n">
        <ns0:v>920031</ns0:v>
      </ns0:c>
      <ns0:c r="B32" s="10" t="n">
        <ns0:v>910031</ns0:v>
      </ns0:c>
      <ns0:c r="C32" s="10" t="inlineStr">
        <ns0:is>
          <ns0:t>동도와 서도 비교</ns0:t>
        </ns0:is>
      </ns0:c>
      <ns0:c r="D32" s="10" t="n">
        <ns0:v>3</ns0:v>
      </ns0:c>
      <ns0:c r="E32" s="10" t="n">
        <ns0:v>3</ns0:v>
      </ns0:c>
      <ns0:c r="F32" s="10" t="inlineStr">
        <ns0:is>
          <ns0:t>151m라는 간격을 지도에 표시할 때 양 끝은 어디에 두어야 하나요?</ns0:t>
        </ns0:is>
      </ns0:c>
      <ns0:c r="G32" s="10" t="inlineStr">
        <ns0:is>
          <ns0:t>두 섬의 정상</ns0:t>
        </ns0:is>
      </ns0:c>
      <ns0:c r="H32" s="10" t="inlineStr">
        <ns0:is>
          <ns0:t>등대와 주민숙소</ns0:t>
        </ns0:is>
      </ns0:c>
      <ns0:c r="I32" s="10" t="inlineStr">
        <ns0:is>
          <ns0:t>서로 가장 가까운 두 해안</ns0:t>
        </ns0:is>
      </ns0:c>
      <ns0:c r="J32" s="10" t="inlineStr"/>
      <ns0:c r="K32" s="10" t="n">
        <ns0:v>3</ns0:v>
      </ns0:c>
      <ns0:c r="L32" s="10" t="inlineStr">
        <ns0:is>
          <ns0:t>151m는 가장 가까운 해안 사이 거리이므로 그 두 지점을 연결해요.</ns0:t>
        </ns0:is>
      </ns0:c>
      <ns0:c r="M32" s="10" t="inlineStr">
        <ns0:is>
          <ns0:t>동도와 서도의 가장 가까운 해안 사이 거리는 약 151m예요.</ns0:t>
        </ns0:is>
      </ns0:c>
      <ns0:c r="N32" s="10" t="inlineStr">
        <ns0:is>
          <ns0:t>dk-shore-gap</ns0:t>
        </ns0:is>
      </ns0:c>
      <ns0:c r="O32" s="10" t="inlineStr">
        <ns0:is>
          <ns0:t>대한민국 한국해양과학기술원 · 독도 지형 및 지질
https://www.dokdo.re.kr/home/cms/cmsCont.do?cntnts_sn=66
대한민국 국가유산청 · 독도 천연보호구역
https://www.heritage.go.kr/heri/cul/culSelectDetail.do?VdkVgwKey=16%2C03360000%2C37&amp;pageNo=1_1_2_0</ns0:t>
        </ns0:is>
      </ns0:c>
      <ns0:c r="P32" s="11">
        <ns0:f>LEN(F32)+MAX(LEN(G32),LEN(H32),LEN(I32),LEN(J32))</ns0:f>
        <ns0:v>52</ns0:v>
      </ns0:c>
    </ns0:row>
    <ns0:row r="33" ht="113" customHeight="1">
      <ns0:c r="A33" s="12" t="n">
        <ns0:v>920032</ns0:v>
      </ns0:c>
      <ns0:c r="B33" s="12" t="n">
        <ns0:v>910032</ns0:v>
      </ns0:c>
      <ns0:c r="C33" s="12" t="inlineStr">
        <ns0:is>
          <ns0:t>동도와 서도 비교</ns0:t>
        </ns0:is>
      </ns0:c>
      <ns0:c r="D33" s="12" t="n">
        <ns0:v>4</ns0:v>
      </ns0:c>
      <ns0:c r="E33" s="12" t="n">
        <ns0:v>3</ns0:v>
      </ns0:c>
      <ns0:c r="F33" s="12" t="inlineStr">
        <ns0:is>
          <ns0:t>축척이 1cm당 50m인 지도에서 151m 간격은 약 몇 cm인가요?</ns0:t>
        </ns0:is>
      </ns0:c>
      <ns0:c r="G33" s="12" t="inlineStr">
        <ns0:is>
          <ns0:t>7,550cm</ns0:t>
        </ns0:is>
      </ns0:c>
      <ns0:c r="H33" s="12" t="inlineStr">
        <ns0:is>
          <ns0:t>3.02cm</ns0:t>
        </ns0:is>
      </ns0:c>
      <ns0:c r="I33" s="12" t="inlineStr">
        <ns0:is>
          <ns0:t>151cm</ns0:t>
        </ns0:is>
      </ns0:c>
      <ns0:c r="J33" s="12" t="inlineStr">
        <ns0:is>
          <ns0:t>0.302cm</ns0:t>
        </ns0:is>
      </ns0:c>
      <ns0:c r="K33" s="12" t="n">
        <ns0:v>2</ns0:v>
      </ns0:c>
      <ns0:c r="L33" s="12" t="inlineStr">
        <ns0:is>
          <ns0:t>151÷50=3.02cm예요. 실제 간격을 1cm가 나타내는 거리로 나누어요.</ns0:t>
        </ns0:is>
      </ns0:c>
      <ns0:c r="M33" s="12" t="inlineStr">
        <ns0:is>
          <ns0:t>동도와 서도의 가장 가까운 해안 사이 거리는 약 151m예요.</ns0:t>
        </ns0:is>
      </ns0:c>
      <ns0:c r="N33" s="12" t="inlineStr">
        <ns0:is>
          <ns0:t>dk-shore-gap</ns0:t>
        </ns0:is>
      </ns0:c>
      <ns0:c r="O33" s="12" t="inlineStr">
        <ns0:is>
          <ns0:t>대한민국 한국해양과학기술원 · 독도 지형 및 지질
https://www.dokdo.re.kr/home/cms/cmsCont.do?cntnts_sn=66
대한민국 국가유산청 · 독도 천연보호구역
https://www.heritage.go.kr/heri/cul/culSelectDetail.do?VdkVgwKey=16%2C03360000%2C37&amp;pageNo=1_1_2_0</ns0:t>
        </ns0:is>
      </ns0:c>
      <ns0:c r="P33" s="13">
        <ns0:f>LEN(F33)+MAX(LEN(G33),LEN(H33),LEN(I33),LEN(J33))</ns0:f>
        <ns0:v>45</ns0:v>
      </ns0:c>
    </ns0:row>
    <ns0:row r="34" ht="113" customHeight="1">
      <ns0:c r="A34" s="10" t="n">
        <ns0:v>920033</ns0:v>
      </ns0:c>
      <ns0:c r="B34" s="10" t="n">
        <ns0:v>910033</ns0:v>
      </ns0:c>
      <ns0:c r="C34" s="10" t="inlineStr">
        <ns0:is>
          <ns0:t>동도와 서도 비교</ns0:t>
        </ns0:is>
      </ns0:c>
      <ns0:c r="D34" s="10" t="n">
        <ns0:v>1</ns0:v>
      </ns0:c>
      <ns0:c r="E34" s="10" t="n">
        <ns0:v>1</ns0:v>
      </ns0:c>
      <ns0:c r="F34" s="10" t="inlineStr">
        <ns0:is>
          <ns0:t>독도에서 가파른 봉우리가 두드러지는 큰 섬은 무엇인가요?</ns0:t>
        </ns0:is>
      </ns0:c>
      <ns0:c r="G34" s="10" t="inlineStr">
        <ns0:is>
          <ns0:t>서도</ns0:t>
        </ns0:is>
      </ns0:c>
      <ns0:c r="H34" s="10" t="inlineStr">
        <ns0:is>
          <ns0:t>동도</ns0:t>
        </ns0:is>
      </ns0:c>
      <ns0:c r="I34" s="10" t="inlineStr"/>
      <ns0:c r="J34" s="10" t="inlineStr"/>
      <ns0:c r="K34" s="10" t="n">
        <ns0:v>1</ns0:v>
      </ns0:c>
      <ns0:c r="L34" s="10" t="inlineStr">
        <ns0:is>
          <ns0:t>서도는 높고 가파르게 솟은 봉우리의 모습이 두드러져요.</ns0:t>
        </ns0:is>
      </ns0:c>
      <ns0:c r="M34" s="10" t="inlineStr">
        <ns0:is>
          <ns0:t>서도는 가파르게 솟고, 동도는 정상 부근에 비교적 평탄한 공간이 있어요.</ns0:t>
        </ns0:is>
      </ns0:c>
      <ns0:c r="N34" s="10" t="inlineStr">
        <ns0:is>
          <ns0:t>dk-terrain-contrast</ns0:t>
        </ns0:is>
      </ns0:c>
      <ns0:c r="O34" s="10" t="inlineStr">
        <ns0:is>
          <ns0:t>대한민국 국가유산청 · 독도 천연보호구역
https://www.heritage.go.kr/heri/cul/culSelectDetail.do?VdkVgwKey=16%2C03360000%2C37&amp;pageNo=1_1_2_0
대한민국 전북교육청 · 독도 사진 자료
https://www.jbe.go.kr/dokdo/assets/sub/picture.html</ns0:t>
        </ns0:is>
      </ns0:c>
      <ns0:c r="P34" s="11">
        <ns0:f>LEN(F34)+MAX(LEN(G34),LEN(H34),LEN(I34),LEN(J34))</ns0:f>
        <ns0:v>33</ns0:v>
      </ns0:c>
    </ns0:row>
    <ns0:row r="35" ht="113" customHeight="1">
      <ns0:c r="A35" s="12" t="n">
        <ns0:v>920034</ns0:v>
      </ns0:c>
      <ns0:c r="B35" s="12" t="n">
        <ns0:v>910034</ns0:v>
      </ns0:c>
      <ns0:c r="C35" s="12" t="inlineStr">
        <ns0:is>
          <ns0:t>동도와 서도 비교</ns0:t>
        </ns0:is>
      </ns0:c>
      <ns0:c r="D35" s="12" t="n">
        <ns0:v>2</ns0:v>
      </ns0:c>
      <ns0:c r="E35" s="12" t="n">
        <ns0:v>2</ns0:v>
      </ns0:c>
      <ns0:c r="F35" s="12" t="inlineStr">
        <ns0:is>
          <ns0:t>독도의 헬기장 등 시설이 자리한 비교적 평탄한 상부는 어느 섬에 있나요?</ns0:t>
        </ns0:is>
      </ns0:c>
      <ns0:c r="G35" s="12" t="inlineStr">
        <ns0:is>
          <ns0:t>서도</ns0:t>
        </ns0:is>
      </ns0:c>
      <ns0:c r="H35" s="12" t="inlineStr">
        <ns0:is>
          <ns0:t>동도</ns0:t>
        </ns0:is>
      </ns0:c>
      <ns0:c r="I35" s="12" t="inlineStr"/>
      <ns0:c r="J35" s="12" t="inlineStr"/>
      <ns0:c r="K35" s="12" t="n">
        <ns0:v>2</ns0:v>
      </ns0:c>
      <ns0:c r="L35" s="12" t="inlineStr">
        <ns0:is>
          <ns0:t>동도 상부의 비교적 평탄한 곳에는 헬기장과 여러 시설이 있어요.</ns0:t>
        </ns0:is>
      </ns0:c>
      <ns0:c r="M35" s="12" t="inlineStr">
        <ns0:is>
          <ns0:t>서도는 가파르게 솟고, 동도는 정상 부근에 비교적 평탄한 공간이 있어요.</ns0:t>
        </ns0:is>
      </ns0:c>
      <ns0:c r="N35" s="12" t="inlineStr">
        <ns0:is>
          <ns0:t>dk-terrain-contrast</ns0:t>
        </ns0:is>
      </ns0:c>
      <ns0:c r="O35" s="12" t="inlineStr">
        <ns0:is>
          <ns0:t>대한민국 국가유산청 · 독도 천연보호구역
https://www.heritage.go.kr/heri/cul/culSelectDetail.do?VdkVgwKey=16%2C03360000%2C37&amp;pageNo=1_1_2_0
대한민국 전북교육청 · 독도 사진 자료
https://www.jbe.go.kr/dokdo/assets/sub/picture.html</ns0:t>
        </ns0:is>
      </ns0:c>
      <ns0:c r="P35" s="13">
        <ns0:f>LEN(F35)+MAX(LEN(G35),LEN(H35),LEN(I35),LEN(J35))</ns0:f>
        <ns0:v>42</ns0:v>
      </ns0:c>
    </ns0:row>
    <ns0:row r="36" ht="113" customHeight="1">
      <ns0:c r="A36" s="10" t="n">
        <ns0:v>920035</ns0:v>
      </ns0:c>
      <ns0:c r="B36" s="10" t="n">
        <ns0:v>910035</ns0:v>
      </ns0:c>
      <ns0:c r="C36" s="10" t="inlineStr">
        <ns0:is>
          <ns0:t>동도와 서도 비교</ns0:t>
        </ns0:is>
      </ns0:c>
      <ns0:c r="D36" s="10" t="n">
        <ns0:v>3</ns0:v>
      </ns0:c>
      <ns0:c r="E36" s="10" t="n">
        <ns0:v>3</ns0:v>
      </ns0:c>
      <ns0:c r="F36" s="10" t="inlineStr">
        <ns0:is>
          <ns0:t>지형 설명 A는 동도와 서도 중 어느 섬인가요?</ns0:t>
        </ns0:is>
      </ns0:c>
      <ns0:c r="G36" s="10" t="inlineStr">
        <ns0:is>
          <ns0:t>동도</ns0:t>
        </ns0:is>
      </ns0:c>
      <ns0:c r="H36" s="10" t="inlineStr">
        <ns0:is>
          <ns0:t>서도</ns0:t>
        </ns0:is>
      </ns0:c>
      <ns0:c r="I36" s="10" t="inlineStr"/>
      <ns0:c r="J36" s="10" t="inlineStr"/>
      <ns0:c r="K36" s="10" t="n">
        <ns0:v>1</ns0:v>
      </ns0:c>
      <ns0:c r="L36" s="10" t="inlineStr">
        <ns0:is>
          <ns0:t>A는 정상 부근이 비교적 평탄하고 시설이 있는 섬이므로 동도예요.</ns0:t>
        </ns0:is>
      </ns0:c>
      <ns0:c r="M36" s="10" t="inlineStr">
        <ns0:is>
          <ns0:t>서도는 가파르게 솟고, 동도는 정상 부근에 비교적 평탄한 공간이 있어요.</ns0:t>
        </ns0:is>
      </ns0:c>
      <ns0:c r="N36" s="10" t="inlineStr">
        <ns0:is>
          <ns0:t>dk-terrain-contrast</ns0:t>
        </ns0:is>
      </ns0:c>
      <ns0:c r="O36" s="10" t="inlineStr">
        <ns0:is>
          <ns0:t>대한민국 국가유산청 · 독도 천연보호구역
https://www.heritage.go.kr/heri/cul/culSelectDetail.do?VdkVgwKey=16%2C03360000%2C37&amp;pageNo=1_1_2_0
대한민국 전북교육청 · 독도 사진 자료
https://www.jbe.go.kr/dokdo/assets/sub/picture.html</ns0:t>
        </ns0:is>
      </ns0:c>
      <ns0:c r="P36" s="11">
        <ns0:f>LEN(F36)+MAX(LEN(G36),LEN(H36),LEN(I36),LEN(J36))</ns0:f>
        <ns0:v>28</ns0:v>
      </ns0:c>
    </ns0:row>
    <ns0:row r="37" ht="113" customHeight="1">
      <ns0:c r="A37" s="12" t="n">
        <ns0:v>920036</ns0:v>
      </ns0:c>
      <ns0:c r="B37" s="12" t="n">
        <ns0:v>910036</ns0:v>
      </ns0:c>
      <ns0:c r="C37" s="12" t="inlineStr">
        <ns0:is>
          <ns0:t>동도와 서도 비교</ns0:t>
        </ns0:is>
      </ns0:c>
      <ns0:c r="D37" s="12" t="n">
        <ns0:v>4</ns0:v>
      </ns0:c>
      <ns0:c r="E37" s="12" t="n">
        <ns0:v>4</ns0:v>
      </ns0:c>
      <ns0:c r="F37" s="12" t="inlineStr">
        <ns0:is>
          <ns0:t>독도 모형에서 동도를 서도와 똑같은 뾰족한 산으로 만들었다면 무엇을 고쳐야 하나요?</ns0:t>
        </ns0:is>
      </ns0:c>
      <ns0:c r="G37" s="12" t="inlineStr">
        <ns0:is>
          <ns0:t>동도 상부의 비교적 평탄한 공간을 살린다</ns0:t>
        </ns0:is>
      </ns0:c>
      <ns0:c r="H37" s="12" t="inlineStr">
        <ns0:is>
          <ns0:t>동도를 서도보다 더 높게 만든다</ns0:t>
        </ns0:is>
      </ns0:c>
      <ns0:c r="I37" s="12" t="inlineStr">
        <ns0:is>
          <ns0:t>동도의 해안 절벽을 모두 없앤다</ns0:t>
        </ns0:is>
      </ns0:c>
      <ns0:c r="J37" s="12" t="inlineStr"/>
      <ns0:c r="K37" s="12" t="n">
        <ns0:v>1</ns0:v>
      </ns0:c>
      <ns0:c r="L37" s="12" t="inlineStr">
        <ns0:is>
          <ns0:t>두 섬의 차이를 보여주려면 동도의 낮은 상부 공간과 주변 절벽을 함께 표현해야 해요.</ns0:t>
        </ns0:is>
      </ns0:c>
      <ns0:c r="M37" s="12" t="inlineStr">
        <ns0:is>
          <ns0:t>서도는 가파르게 솟고, 동도는 정상 부근에 비교적 평탄한 공간이 있어요.</ns0:t>
        </ns0:is>
      </ns0:c>
      <ns0:c r="N37" s="12" t="inlineStr">
        <ns0:is>
          <ns0:t>dk-terrain-contrast</ns0:t>
        </ns0:is>
      </ns0:c>
      <ns0:c r="O37" s="12" t="inlineStr">
        <ns0:is>
          <ns0:t>대한민국 국가유산청 · 독도 천연보호구역
https://www.heritage.go.kr/heri/cul/culSelectDetail.do?VdkVgwKey=16%2C03360000%2C37&amp;pageNo=1_1_2_0
대한민국 전북교육청 · 독도 사진 자료
https://www.jbe.go.kr/dokdo/assets/sub/picture.html</ns0:t>
        </ns0:is>
      </ns0:c>
      <ns0:c r="P37" s="13">
        <ns0:f>LEN(F37)+MAX(LEN(G37),LEN(H37),LEN(I37),LEN(J37))</ns0:f>
        <ns0:v>68</ns0:v>
      </ns0:c>
    </ns0:row>
    <ns0:row r="38" ht="113" customHeight="1">
      <ns0:c r="A38" s="10" t="n">
        <ns0:v>920037</ns0:v>
      </ns0:c>
      <ns0:c r="B38" s="10" t="n">
        <ns0:v>910037</ns0:v>
      </ns0:c>
      <ns0:c r="C38" s="10" t="inlineStr">
        <ns0:is>
          <ns0:t>동도와 서도 비교</ns0:t>
        </ns0:is>
      </ns0:c>
      <ns0:c r="D38" s="10" t="n">
        <ns0:v>1</ns0:v>
      </ns0:c>
      <ns0:c r="E38" s="10" t="n">
        <ns0:v>1</ns0:v>
      </ns0:c>
      <ns0:c r="F38" s="10" t="inlineStr">
        <ns0:is>
          <ns0:t>동도와 서도 아래 바닷속에도 독도의 지형이 이어지나요?</ns0:t>
        </ns0:is>
      </ns0:c>
      <ns0:c r="G38" s="10" t="inlineStr">
        <ns0:is>
          <ns0:t>해수면에서 끝나요</ns0:t>
        </ns0:is>
      </ns0:c>
      <ns0:c r="H38" s="10" t="inlineStr">
        <ns0:is>
          <ns0:t>바닷속으로 이어져요</ns0:t>
        </ns0:is>
      </ns0:c>
      <ns0:c r="I38" s="10" t="inlineStr"/>
      <ns0:c r="J38" s="10" t="inlineStr"/>
      <ns0:c r="K38" s="10" t="n">
        <ns0:v>2</ns0:v>
      </ns0:c>
      <ns0:c r="L38" s="10" t="inlineStr">
        <ns0:is>
          <ns0:t>동도·서도는 해저 화산체의 일부가 물 위로 드러난 모습이에요.</ns0:t>
        </ns0:is>
      </ns0:c>
      <ns0:c r="M38" s="10" t="inlineStr">
        <ns0:is>
          <ns0:t>동도·서도는 큰 해저 화산체에서 바다 위로 드러난 일부예요.</ns0:t>
        </ns0:is>
      </ns0:c>
      <ns0:c r="N38" s="10" t="inlineStr">
        <ns0:is>
          <ns0:t>dk-above-below</ns0:t>
        </ns0:is>
      </ns0:c>
      <ns0:c r="O38" s="10" t="inlineStr">
        <ns0:is>
          <ns0:t>대한민국 한국해양과학기술원 · 독도 지형 및 지질
https://www.dokdo.re.kr/home/cms/cmsCont.do?cntnts_sn=66</ns0:t>
        </ns0:is>
      </ns0:c>
      <ns0:c r="P38" s="11">
        <ns0:f>LEN(F38)+MAX(LEN(G38),LEN(H38),LEN(I38),LEN(J38))</ns0:f>
        <ns0:v>40</ns0:v>
      </ns0:c>
    </ns0:row>
    <ns0:row r="39" ht="113" customHeight="1">
      <ns0:c r="A39" s="12" t="n">
        <ns0:v>920038</ns0:v>
      </ns0:c>
      <ns0:c r="B39" s="12" t="n">
        <ns0:v>910038</ns0:v>
      </ns0:c>
      <ns0:c r="C39" s="12" t="inlineStr">
        <ns0:is>
          <ns0:t>동도와 서도 비교</ns0:t>
        </ns0:is>
      </ns0:c>
      <ns0:c r="D39" s="12" t="n">
        <ns0:v>2</ns0:v>
      </ns0:c>
      <ns0:c r="E39" s="12" t="n">
        <ns0:v>2</ns0:v>
      </ns0:c>
      <ns0:c r="F39" s="12" t="inlineStr">
        <ns0:is>
          <ns0:t>독도의 두 큰 섬은 무엇의 일부가 바다 위로 드러난 것인가요?</ns0:t>
        </ns0:is>
      </ns0:c>
      <ns0:c r="G39" s="12" t="inlineStr">
        <ns0:is>
          <ns0:t>강이 쌓은 삼각주</ns0:t>
        </ns0:is>
      </ns0:c>
      <ns0:c r="H39" s="12" t="inlineStr">
        <ns0:is>
          <ns0:t>해저 화산체</ns0:t>
        </ns0:is>
      </ns0:c>
      <ns0:c r="I39" s="12" t="inlineStr">
        <ns0:is>
          <ns0:t>산호가 쌓인 산호섬</ns0:t>
        </ns0:is>
      </ns0:c>
      <ns0:c r="J39" s="12" t="inlineStr"/>
      <ns0:c r="K39" s="12" t="n">
        <ns0:v>2</ns0:v>
      </ns0:c>
      <ns0:c r="L39" s="12" t="inlineStr">
        <ns0:is>
          <ns0:t>바닷속 화산활동으로 자란 화산체의 윗부분이 바다 위에서 보여요.</ns0:t>
        </ns0:is>
      </ns0:c>
      <ns0:c r="M39" s="12" t="inlineStr">
        <ns0:is>
          <ns0:t>동도·서도는 큰 해저 화산체에서 바다 위로 드러난 일부예요.</ns0:t>
        </ns0:is>
      </ns0:c>
      <ns0:c r="N39" s="12" t="inlineStr">
        <ns0:is>
          <ns0:t>dk-above-below</ns0:t>
        </ns0:is>
      </ns0:c>
      <ns0:c r="O39" s="12" t="inlineStr">
        <ns0:is>
          <ns0:t>대한민국 한국해양과학기술원 · 독도 지형 및 지질
https://www.dokdo.re.kr/home/cms/cmsCont.do?cntnts_sn=66</ns0:t>
        </ns0:is>
      </ns0:c>
      <ns0:c r="P39" s="13">
        <ns0:f>LEN(F39)+MAX(LEN(G39),LEN(H39),LEN(I39),LEN(J39))</ns0:f>
        <ns0:v>44</ns0:v>
      </ns0:c>
    </ns0:row>
    <ns0:row r="40" ht="113" customHeight="1">
      <ns0:c r="A40" s="10" t="n">
        <ns0:v>920039</ns0:v>
      </ns0:c>
      <ns0:c r="B40" s="10" t="n">
        <ns0:v>910039</ns0:v>
      </ns0:c>
      <ns0:c r="C40" s="10" t="inlineStr">
        <ns0:is>
          <ns0:t>동도와 서도 비교</ns0:t>
        </ns0:is>
      </ns0:c>
      <ns0:c r="D40" s="10" t="n">
        <ns0:v>3</ns0:v>
      </ns0:c>
      <ns0:c r="E40" s="10" t="n">
        <ns0:v>3</ns0:v>
      </ns0:c>
      <ns0:c r="F40" s="10" t="inlineStr">
        <ns0:is>
          <ns0:t>독도 설명의 약 2,300m는 어디서부터 잰 규모인가요?</ns0:t>
        </ns0:is>
      </ns0:c>
      <ns0:c r="G40" s="10" t="inlineStr">
        <ns0:is>
          <ns0:t>해수면부터 서도 정상까지</ns0:t>
        </ns0:is>
      </ns0:c>
      <ns0:c r="H40" s="10" t="inlineStr">
        <ns0:is>
          <ns0:t>해수면부터 동도 정상까지</ns0:t>
        </ns0:is>
      </ns0:c>
      <ns0:c r="I40" s="10" t="inlineStr">
        <ns0:is>
          <ns0:t>바닷속 화산체의 기저부부터</ns0:t>
        </ns0:is>
      </ns0:c>
      <ns0:c r="J40" s="10" t="inlineStr"/>
      <ns0:c r="K40" s="10" t="n">
        <ns0:v>3</ns0:v>
      </ns0:c>
      <ns0:c r="L40" s="10" t="inlineStr">
        <ns0:is>
          <ns0:t>약 2,300m는 해저 기저부부터 화산체 전체를 본 높이예요.</ns0:t>
        </ns0:is>
      </ns0:c>
      <ns0:c r="M40" s="10" t="inlineStr">
        <ns0:is>
          <ns0:t>동도·서도는 큰 해저 화산체에서 바다 위로 드러난 일부예요.</ns0:t>
        </ns0:is>
      </ns0:c>
      <ns0:c r="N40" s="10" t="inlineStr">
        <ns0:is>
          <ns0:t>dk-above-below</ns0:t>
        </ns0:is>
      </ns0:c>
      <ns0:c r="O40" s="10" t="inlineStr">
        <ns0:is>
          <ns0:t>대한민국 한국해양과학기술원 · 독도 지형 및 지질
https://www.dokdo.re.kr/home/cms/cmsCont.do?cntnts_sn=66</ns0:t>
        </ns0:is>
      </ns0:c>
      <ns0:c r="P40" s="11">
        <ns0:f>LEN(F40)+MAX(LEN(G40),LEN(H40),LEN(I40),LEN(J40))</ns0:f>
        <ns0:v>45</ns0:v>
      </ns0:c>
    </ns0:row>
    <ns0:row r="41" ht="113" customHeight="1">
      <ns0:c r="A41" s="12" t="n">
        <ns0:v>920040</ns0:v>
      </ns0:c>
      <ns0:c r="B41" s="12" t="n">
        <ns0:v>910040</ns0:v>
      </ns0:c>
      <ns0:c r="C41" s="12" t="inlineStr">
        <ns0:is>
          <ns0:t>동도와 서도 비교</ns0:t>
        </ns0:is>
      </ns0:c>
      <ns0:c r="D41" s="12" t="n">
        <ns0:v>4</ns0:v>
      </ns0:c>
      <ns0:c r="E41" s="12" t="n">
        <ns0:v>3</ns0:v>
      </ns0:c>
      <ns0:c r="F41" s="12" t="inlineStr">
        <ns0:is>
          <ns0:t>168.5m와 약 2,300m를 함께 독도의 높이라고 쓰는 까닭은 무엇인가요?</ns0:t>
        </ns0:is>
      </ns0:c>
      <ns0:c r="G41" s="12" t="inlineStr">
        <ns0:is>
          <ns0:t>높이를 재기 시작한 기준이 달라서</ns0:t>
        </ns0:is>
      </ns0:c>
      <ns0:c r="H41" s="12" t="inlineStr">
        <ns0:is>
          <ns0:t>168.5m는 동도, 2,300m는 서도 높이라서</ns0:t>
        </ns0:is>
      </ns0:c>
      <ns0:c r="I41" s="12" t="inlineStr">
        <ns0:is>
          <ns0:t>같은 시작점에서 잰 값의 단위만 달라서</ns0:t>
        </ns0:is>
      </ns0:c>
      <ns0:c r="J41" s="12" t="inlineStr"/>
      <ns0:c r="K41" s="12" t="n">
        <ns0:v>1</ns0:v>
      </ns0:c>
      <ns0:c r="L41" s="12" t="inlineStr">
        <ns0:is>
          <ns0:t>168.5m는 해수면부터, 약 2,300m는 해저 기저부부터 설명한 높이예요.</ns0:t>
        </ns0:is>
      </ns0:c>
      <ns0:c r="M41" s="12" t="inlineStr">
        <ns0:is>
          <ns0:t>동도·서도는 큰 해저 화산체에서 바다 위로 드러난 일부예요.</ns0:t>
        </ns0:is>
      </ns0:c>
      <ns0:c r="N41" s="12" t="inlineStr">
        <ns0:is>
          <ns0:t>dk-above-below</ns0:t>
        </ns0:is>
      </ns0:c>
      <ns0:c r="O41" s="12" t="inlineStr">
        <ns0:is>
          <ns0:t>대한민국 한국해양과학기술원 · 독도 지형 및 지질
https://www.dokdo.re.kr/home/cms/cmsCont.do?cntnts_sn=66</ns0:t>
        </ns0:is>
      </ns0:c>
      <ns0:c r="P41" s="13">
        <ns0:f>LEN(F41)+MAX(LEN(G41),LEN(H41),LEN(I41),LEN(J41))</ns0:f>
        <ns0:v>70</ns0:v>
      </ns0:c>
    </ns0:row>
    <ns0:row r="42" ht="113" customHeight="1">
      <ns0:c r="A42" s="10" t="n">
        <ns0:v>920041</ns0:v>
      </ns0:c>
      <ns0:c r="B42" s="10" t="n">
        <ns0:v>910041</ns0:v>
      </ns0:c>
      <ns0:c r="C42" s="10" t="inlineStr">
        <ns0:is>
          <ns0:t>화산이 만든 독도</ns0:t>
        </ns0:is>
      </ns0:c>
      <ns0:c r="D42" s="10" t="n">
        <ns0:v>1</ns0:v>
      </ns0:c>
      <ns0:c r="E42" s="10" t="n">
        <ns0:v>1</ns0:v>
      </ns0:c>
      <ns0:c r="F42" s="10" t="inlineStr">
        <ns0:is>
          <ns0:t>독도를 처음 만든 자연 현상은 무엇인가요?</ns0:t>
        </ns0:is>
      </ns0:c>
      <ns0:c r="G42" s="10" t="inlineStr">
        <ns0:is>
          <ns0:t>강물의 모래 퇴적</ns0:t>
        </ns0:is>
      </ns0:c>
      <ns0:c r="H42" s="10" t="inlineStr">
        <ns0:is>
          <ns0:t>산호의 성장</ns0:t>
        </ns0:is>
      </ns0:c>
      <ns0:c r="I42" s="10" t="inlineStr">
        <ns0:is>
          <ns0:t>바닷속 화산활동</ns0:t>
        </ns0:is>
      </ns0:c>
      <ns0:c r="J42" s="10" t="inlineStr">
        <ns0:is>
          <ns0:t>빙하의 퇴적</ns0:t>
        </ns0:is>
      </ns0:c>
      <ns0:c r="K42" s="10" t="n">
        <ns0:v>3</ns0:v>
      </ns0:c>
      <ns0:c r="L42" s="10" t="inlineStr">
        <ns0:is>
          <ns0:t>바닷속에서 분출된 화산 물질이 쌓이며 독도 화산체가 만들어졌어요.</ns0:t>
        </ns0:is>
      </ns0:c>
      <ns0:c r="M42" s="10" t="inlineStr">
        <ns0:is>
          <ns0:t>독도는 바닷속 화산활동으로 분출된 물질이 쌓여 만들어졌어요.</ns0:t>
        </ns0:is>
      </ns0:c>
      <ns0:c r="N42" s="10" t="inlineStr">
        <ns0:is>
          <ns0:t>dk-volcano</ns0:t>
        </ns0:is>
      </ns0:c>
      <ns0:c r="O42" s="10" t="inlineStr">
        <ns0:is>
          <ns0:t>대한민국 한국해양과학기술원 · 독도 지형 및 지질
https://www.dokdo.re.kr/home/cms/cmsCont.do?cntnts_sn=66</ns0:t>
        </ns0:is>
      </ns0:c>
      <ns0:c r="P42" s="11">
        <ns0:f>LEN(F42)+MAX(LEN(G42),LEN(H42),LEN(I42),LEN(J42))</ns0:f>
        <ns0:v>32</ns0:v>
      </ns0:c>
    </ns0:row>
    <ns0:row r="43" ht="113" customHeight="1">
      <ns0:c r="A43" s="12" t="n">
        <ns0:v>920042</ns0:v>
      </ns0:c>
      <ns0:c r="B43" s="12" t="n">
        <ns0:v>910042</ns0:v>
      </ns0:c>
      <ns0:c r="C43" s="12" t="inlineStr">
        <ns0:is>
          <ns0:t>화산이 만든 독도</ns0:t>
        </ns0:is>
      </ns0:c>
      <ns0:c r="D43" s="12" t="n">
        <ns0:v>2</ns0:v>
      </ns0:c>
      <ns0:c r="E43" s="12" t="n">
        <ns0:v>1</ns0:v>
      </ns0:c>
      <ns0:c r="F43" s="12" t="inlineStr">
        <ns0:is>
          <ns0:t>독도의 화산활동이 시작된 곳은 어디인가요?</ns0:t>
        </ns0:is>
      </ns0:c>
      <ns0:c r="G43" s="12" t="inlineStr">
        <ns0:is>
          <ns0:t>육지 강의 하구</ns0:t>
        </ns0:is>
      </ns0:c>
      <ns0:c r="H43" s="12" t="inlineStr">
        <ns0:is>
          <ns0:t>바닷속</ns0:t>
        </ns0:is>
      </ns0:c>
      <ns0:c r="I43" s="12" t="inlineStr">
        <ns0:is>
          <ns0:t>해안 모래사장</ns0:t>
        </ns0:is>
      </ns0:c>
      <ns0:c r="J43" s="12" t="inlineStr"/>
      <ns0:c r="K43" s="12" t="n">
        <ns0:v>2</ns0:v>
      </ns0:c>
      <ns0:c r="L43" s="12" t="inlineStr">
        <ns0:is>
          <ns0:t>독도 화산체는 바닷속에서 자라 나중에 일부가 수면 위로 드러났어요.</ns0:t>
        </ns0:is>
      </ns0:c>
      <ns0:c r="M43" s="12" t="inlineStr">
        <ns0:is>
          <ns0:t>독도는 바닷속 화산활동으로 분출된 물질이 쌓여 만들어졌어요.</ns0:t>
        </ns0:is>
      </ns0:c>
      <ns0:c r="N43" s="12" t="inlineStr">
        <ns0:is>
          <ns0:t>dk-volcano</ns0:t>
        </ns0:is>
      </ns0:c>
      <ns0:c r="O43" s="12" t="inlineStr">
        <ns0:is>
          <ns0:t>대한민국 한국해양과학기술원 · 독도 지형 및 지질
https://www.dokdo.re.kr/home/cms/cmsCont.do?cntnts_sn=66</ns0:t>
        </ns0:is>
      </ns0:c>
      <ns0:c r="P43" s="13">
        <ns0:f>LEN(F43)+MAX(LEN(G43),LEN(H43),LEN(I43),LEN(J43))</ns0:f>
        <ns0:v>31</ns0:v>
      </ns0:c>
    </ns0:row>
    <ns0:row r="44" ht="113" customHeight="1">
      <ns0:c r="A44" s="10" t="n">
        <ns0:v>920043</ns0:v>
      </ns0:c>
      <ns0:c r="B44" s="10" t="n">
        <ns0:v>910043</ns0:v>
      </ns0:c>
      <ns0:c r="C44" s="10" t="inlineStr">
        <ns0:is>
          <ns0:t>화산이 만든 독도</ns0:t>
        </ns0:is>
      </ns0:c>
      <ns0:c r="D44" s="10" t="n">
        <ns0:v>3</ns0:v>
      </ns0:c>
      <ns0:c r="E44" s="10" t="n">
        <ns0:v>3</ns0:v>
      </ns0:c>
      <ns0:c r="F44" s="10" t="inlineStr">
        <ns0:is>
          <ns0:t>독도의 형성 과정을 순서대로 놓으면 무엇인가요?</ns0:t>
        </ns0:is>
      </ns0:c>
      <ns0:c r="G44" s="10" t="inlineStr">
        <ns0:is>
          <ns0:t>수면 위 출현 → 해저 분출 → 물질이 쌓임</ns0:t>
        </ns0:is>
      </ns0:c>
      <ns0:c r="H44" s="10" t="inlineStr">
        <ns0:is>
          <ns0:t>물질이 쌓임 → 수면 위 출현 → 첫 해저 분출</ns0:t>
        </ns0:is>
      </ns0:c>
      <ns0:c r="I44" s="10" t="inlineStr">
        <ns0:is>
          <ns0:t>해저 분출 → 물질이 쌓임 → 일부가 수면 위로 드러남</ns0:t>
        </ns0:is>
      </ns0:c>
      <ns0:c r="J44" s="10" t="inlineStr"/>
      <ns0:c r="K44" s="10" t="n">
        <ns0:v>3</ns0:v>
      </ns0:c>
      <ns0:c r="L44" s="10" t="inlineStr">
        <ns0:is>
          <ns0:t>분출된 물질이 쌓여 화산체가 커진 뒤 일부가 물 위로 드러났어요.</ns0:t>
        </ns0:is>
      </ns0:c>
      <ns0:c r="M44" s="10" t="inlineStr">
        <ns0:is>
          <ns0:t>독도는 바닷속 화산활동으로 분출된 물질이 쌓여 만들어졌어요.</ns0:t>
        </ns0:is>
      </ns0:c>
      <ns0:c r="N44" s="10" t="inlineStr">
        <ns0:is>
          <ns0:t>dk-volcano</ns0:t>
        </ns0:is>
      </ns0:c>
      <ns0:c r="O44" s="10" t="inlineStr">
        <ns0:is>
          <ns0:t>대한민국 한국해양과학기술원 · 독도 지형 및 지질
https://www.dokdo.re.kr/home/cms/cmsCont.do?cntnts_sn=66</ns0:t>
        </ns0:is>
      </ns0:c>
      <ns0:c r="P44" s="11">
        <ns0:f>LEN(F44)+MAX(LEN(G44),LEN(H44),LEN(I44),LEN(J44))</ns0:f>
        <ns0:v>56</ns0:v>
      </ns0:c>
    </ns0:row>
    <ns0:row r="45" ht="113" customHeight="1">
      <ns0:c r="A45" s="12" t="n">
        <ns0:v>920044</ns0:v>
      </ns0:c>
      <ns0:c r="B45" s="12" t="n">
        <ns0:v>910044</ns0:v>
      </ns0:c>
      <ns0:c r="C45" s="12" t="inlineStr">
        <ns0:is>
          <ns0:t>화산이 만든 독도</ns0:t>
        </ns0:is>
      </ns0:c>
      <ns0:c r="D45" s="12" t="n">
        <ns0:v>4</ns0:v>
      </ns0:c>
      <ns0:c r="E45" s="12" t="n">
        <ns0:v>3</ns0:v>
      </ns0:c>
      <ns0:c r="F45" s="12" t="inlineStr">
        <ns0:is>
          <ns0:t>독도 해안이 파도에 깎인다는 사실과 화산 기원을 함께 설명한 것은 무엇인가요?</ns0:t>
        </ns0:is>
      </ns0:c>
      <ns0:c r="G45" s="12" t="inlineStr">
        <ns0:is>
          <ns0:t>화산이 섬을 만들고, 이후 파도가 해안을 깎았다</ns0:t>
        </ns0:is>
      </ns0:c>
      <ns0:c r="H45" s="12" t="inlineStr">
        <ns0:is>
          <ns0:t>파도가 화산 물질을 처음 분출시켰다</ns0:t>
        </ns0:is>
      </ns0:c>
      <ns0:c r="I45" s="12" t="inlineStr">
        <ns0:is>
          <ns0:t>화산으로 생긴 뒤 해안은 변하지 않았다</ns0:t>
        </ns0:is>
      </ns0:c>
      <ns0:c r="J45" s="12" t="inlineStr"/>
      <ns0:c r="K45" s="12" t="n">
        <ns0:v>1</ns0:v>
      </ns0:c>
      <ns0:c r="L45" s="12" t="inlineStr">
        <ns0:is>
          <ns0:t>처음 만들어진 원인과 이후 모양이 변한 원인은 다를 수 있어요. 독도에는 두 과정이 이어졌어요.</ns0:t>
        </ns0:is>
      </ns0:c>
      <ns0:c r="M45" s="12" t="inlineStr">
        <ns0:is>
          <ns0:t>독도는 바닷속 화산활동으로 분출된 물질이 쌓여 만들어졌어요.</ns0:t>
        </ns0:is>
      </ns0:c>
      <ns0:c r="N45" s="12" t="inlineStr">
        <ns0:is>
          <ns0:t>dk-volcano</ns0:t>
        </ns0:is>
      </ns0:c>
      <ns0:c r="O45" s="12" t="inlineStr">
        <ns0:is>
          <ns0:t>대한민국 한국해양과학기술원 · 독도 지형 및 지질
https://www.dokdo.re.kr/home/cms/cmsCont.do?cntnts_sn=66</ns0:t>
        </ns0:is>
      </ns0:c>
      <ns0:c r="P45" s="13">
        <ns0:f>LEN(F45)+MAX(LEN(G45),LEN(H45),LEN(I45),LEN(J45))</ns0:f>
        <ns0:v>69</ns0:v>
      </ns0:c>
    </ns0:row>
    <ns0:row r="46" ht="113" customHeight="1">
      <ns0:c r="A46" s="10" t="n">
        <ns0:v>920045</ns0:v>
      </ns0:c>
      <ns0:c r="B46" s="10" t="n">
        <ns0:v>910045</ns0:v>
      </ns0:c>
      <ns0:c r="C46" s="10" t="inlineStr">
        <ns0:is>
          <ns0:t>화산이 만든 독도</ns0:t>
        </ns0:is>
      </ns0:c>
      <ns0:c r="D46" s="10" t="n">
        <ns0:v>1</ns0:v>
      </ns0:c>
      <ns0:c r="E46" s="10" t="n">
        <ns0:v>1</ns0:v>
      </ns0:c>
      <ns0:c r="F46" s="10" t="inlineStr">
        <ns0:is>
          <ns0:t>독도는 먼저 어디에서 자란 뒤 물 위로 드러났나요?</ns0:t>
        </ns0:is>
      </ns0:c>
      <ns0:c r="G46" s="10" t="inlineStr">
        <ns0:is>
          <ns0:t>울릉도 육지 위</ns0:t>
        </ns0:is>
      </ns0:c>
      <ns0:c r="H46" s="10" t="inlineStr">
        <ns0:is>
          <ns0:t>동해 바닷속</ns0:t>
        </ns0:is>
      </ns0:c>
      <ns0:c r="I46" s="10" t="inlineStr">
        <ns0:is>
          <ns0:t>한반도 강 하구</ns0:t>
        </ns0:is>
      </ns0:c>
      <ns0:c r="J46" s="10" t="inlineStr"/>
      <ns0:c r="K46" s="10" t="n">
        <ns0:v>2</ns0:v>
      </ns0:c>
      <ns0:c r="L46" s="10" t="inlineStr">
        <ns0:is>
          <ns0:t>독도는 바닷속 화산체가 자라 일부가 물 위로 드러난 섬이에요.</ns0:t>
        </ns0:is>
      </ns0:c>
      <ns0:c r="M46" s="10" t="inlineStr">
        <ns0:is>
          <ns0:t>독도는 해저에서 자란 뒤 수면 위로 드러났고, 오랜 시간 침식되며 모습이 달라졌어요.</ns0:t>
        </ns0:is>
      </ns0:c>
      <ns0:c r="N46" s="10" t="inlineStr">
        <ns0:is>
          <ns0:t>dk-formation-time</ns0:t>
        </ns0:is>
      </ns0:c>
      <ns0:c r="O46" s="10" t="inlineStr">
        <ns0:is>
          <ns0:t>대한민국 한국해양과학기술원 · 독도 지형 및 지질
https://www.dokdo.re.kr/home/cms/cmsCont.do?cntnts_sn=66</ns0:t>
        </ns0:is>
      </ns0:c>
      <ns0:c r="P46" s="11">
        <ns0:f>LEN(F46)+MAX(LEN(G46),LEN(H46),LEN(I46),LEN(J46))</ns0:f>
        <ns0:v>36</ns0:v>
      </ns0:c>
    </ns0:row>
    <ns0:row r="47" ht="113" customHeight="1">
      <ns0:c r="A47" s="12" t="n">
        <ns0:v>920046</ns0:v>
      </ns0:c>
      <ns0:c r="B47" s="12" t="n">
        <ns0:v>910046</ns0:v>
      </ns0:c>
      <ns0:c r="C47" s="12" t="inlineStr">
        <ns0:is>
          <ns0:t>화산이 만든 독도</ns0:t>
        </ns0:is>
      </ns0:c>
      <ns0:c r="D47" s="12" t="n">
        <ns0:v>2</ns0:v>
      </ns0:c>
      <ns0:c r="E47" s="12" t="n">
        <ns0:v>2</ns0:v>
      </ns0:c>
      <ns0:c r="F47" s="12" t="inlineStr">
        <ns0:is>
          <ns0:t>독도가 생긴 뒤 해안을 깎아 온 작용은 무엇인가요?</ns0:t>
        </ns0:is>
      </ns0:c>
      <ns0:c r="G47" s="12" t="inlineStr">
        <ns0:is>
          <ns0:t>산호가 섬을 덮는 성장</ns0:t>
        </ns0:is>
      </ns0:c>
      <ns0:c r="H47" s="12" t="inlineStr">
        <ns0:is>
          <ns0:t>강 하구에 모래가 쌓이는 퇴적</ns0:t>
        </ns0:is>
      </ns0:c>
      <ns0:c r="I47" s="12" t="inlineStr">
        <ns0:is>
          <ns0:t>파도 등에 의한 침식</ns0:t>
        </ns0:is>
      </ns0:c>
      <ns0:c r="J47" s="12" t="inlineStr"/>
      <ns0:c r="K47" s="12" t="n">
        <ns0:v>3</ns0:v>
      </ns0:c>
      <ns0:c r="L47" s="12" t="inlineStr">
        <ns0:is>
          <ns0:t>바다 위로 나온 뒤에도 파도에 깎이면서 독도의 해안 모양이 변했어요.</ns0:t>
        </ns0:is>
      </ns0:c>
      <ns0:c r="M47" s="12" t="inlineStr">
        <ns0:is>
          <ns0:t>독도는 해저에서 자란 뒤 수면 위로 드러났고, 오랜 시간 침식되며 모습이 달라졌어요.</ns0:t>
        </ns0:is>
      </ns0:c>
      <ns0:c r="N47" s="12" t="inlineStr">
        <ns0:is>
          <ns0:t>dk-formation-time</ns0:t>
        </ns0:is>
      </ns0:c>
      <ns0:c r="O47" s="12" t="inlineStr">
        <ns0:is>
          <ns0:t>대한민국 한국해양과학기술원 · 독도 지형 및 지질
https://www.dokdo.re.kr/home/cms/cmsCont.do?cntnts_sn=66</ns0:t>
        </ns0:is>
      </ns0:c>
      <ns0:c r="P47" s="13">
        <ns0:f>LEN(F47)+MAX(LEN(G47),LEN(H47),LEN(I47),LEN(J47))</ns0:f>
        <ns0:v>44</ns0:v>
      </ns0:c>
    </ns0:row>
    <ns0:row r="48" ht="113" customHeight="1">
      <ns0:c r="A48" s="10" t="n">
        <ns0:v>920047</ns0:v>
      </ns0:c>
      <ns0:c r="B48" s="10" t="n">
        <ns0:v>910047</ns0:v>
      </ns0:c>
      <ns0:c r="C48" s="10" t="inlineStr">
        <ns0:is>
          <ns0:t>화산이 만든 독도</ns0:t>
        </ns0:is>
      </ns0:c>
      <ns0:c r="D48" s="10" t="n">
        <ns0:v>3</ns0:v>
      </ns0:c>
      <ns0:c r="E48" s="10" t="n">
        <ns0:v>3</ns0:v>
      </ns0:c>
      <ns0:c r="F48" s="10" t="inlineStr">
        <ns0:is>
          <ns0:t>제시된 독도 형성 연표에서 먼저 일어난 일은 무엇인가요?</ns0:t>
        </ns0:is>
      </ns0:c>
      <ns0:c r="G48" s="10" t="inlineStr">
        <ns0:is>
          <ns0:t>해저 화산활동 시작</ns0:t>
        </ns0:is>
      </ns0:c>
      <ns0:c r="H48" s="10" t="inlineStr">
        <ns0:is>
          <ns0:t>수면 위로 드러남</ns0:t>
        </ns0:is>
      </ns0:c>
      <ns0:c r="I48" s="10" t="inlineStr"/>
      <ns0:c r="J48" s="10" t="inlineStr"/>
      <ns0:c r="K48" s="10" t="n">
        <ns0:v>1</ns0:v>
      </ns0:c>
      <ns0:c r="L48" s="10" t="inlineStr">
        <ns0:is>
          <ns0:t>약 460만 년 전이 약 250만 년 전보다 더 오래전이에요.</ns0:t>
        </ns0:is>
      </ns0:c>
      <ns0:c r="M48" s="10" t="inlineStr">
        <ns0:is>
          <ns0:t>독도는 해저에서 자란 뒤 수면 위로 드러났고, 오랜 시간 침식되며 모습이 달라졌어요.</ns0:t>
        </ns0:is>
      </ns0:c>
      <ns0:c r="N48" s="10" t="inlineStr">
        <ns0:is>
          <ns0:t>dk-formation-time</ns0:t>
        </ns0:is>
      </ns0:c>
      <ns0:c r="O48" s="10" t="inlineStr">
        <ns0:is>
          <ns0:t>대한민국 한국해양과학기술원 · 독도 지형 및 지질
https://www.dokdo.re.kr/home/cms/cmsCont.do?cntnts_sn=66</ns0:t>
        </ns0:is>
      </ns0:c>
      <ns0:c r="P48" s="11">
        <ns0:f>LEN(F48)+MAX(LEN(G48),LEN(H48),LEN(I48),LEN(J48))</ns0:f>
        <ns0:v>41</ns0:v>
      </ns0:c>
    </ns0:row>
    <ns0:row r="49" ht="113" customHeight="1">
      <ns0:c r="A49" s="12" t="n">
        <ns0:v>920048</ns0:v>
      </ns0:c>
      <ns0:c r="B49" s="12" t="n">
        <ns0:v>910048</ns0:v>
      </ns0:c>
      <ns0:c r="C49" s="12" t="inlineStr">
        <ns0:is>
          <ns0:t>화산이 만든 독도</ns0:t>
        </ns0:is>
      </ns0:c>
      <ns0:c r="D49" s="12" t="n">
        <ns0:v>4</ns0:v>
      </ns0:c>
      <ns0:c r="E49" s="12" t="n">
        <ns0:v>3</ns0:v>
      </ns0:c>
      <ns0:c r="F49" s="12" t="inlineStr">
        <ns0:is>
          <ns0:t>형성 연표에서 460만 년 전과 250만 년 전의 차이는 약 몇 년인가요?</ns0:t>
        </ns0:is>
      </ns0:c>
      <ns0:c r="G49" s="12" t="inlineStr">
        <ns0:is>
          <ns0:t>710만 년</ns0:t>
        </ns0:is>
      </ns0:c>
      <ns0:c r="H49" s="12" t="inlineStr">
        <ns0:is>
          <ns0:t>21만 년</ns0:t>
        </ns0:is>
      </ns0:c>
      <ns0:c r="I49" s="12" t="inlineStr">
        <ns0:is>
          <ns0:t>250만 년</ns0:t>
        </ns0:is>
      </ns0:c>
      <ns0:c r="J49" s="12" t="inlineStr">
        <ns0:is>
          <ns0:t>210만 년</ns0:t>
        </ns0:is>
      </ns0:c>
      <ns0:c r="K49" s="12" t="n">
        <ns0:v>4</ns0:v>
      </ns0:c>
      <ns0:c r="L49" s="12" t="inlineStr">
        <ns0:is>
          <ns0:t>460만−250만=210만 년이에요. 자료의 대략적인 시점끼리 계산한 차이예요.</ns0:t>
        </ns0:is>
      </ns0:c>
      <ns0:c r="M49" s="12" t="inlineStr">
        <ns0:is>
          <ns0:t>독도는 해저에서 자란 뒤 수면 위로 드러났고, 오랜 시간 침식되며 모습이 달라졌어요.</ns0:t>
        </ns0:is>
      </ns0:c>
      <ns0:c r="N49" s="12" t="inlineStr">
        <ns0:is>
          <ns0:t>dk-formation-time</ns0:t>
        </ns0:is>
      </ns0:c>
      <ns0:c r="O49" s="12" t="inlineStr">
        <ns0:is>
          <ns0:t>대한민국 한국해양과학기술원 · 독도 지형 및 지질
https://www.dokdo.re.kr/home/cms/cmsCont.do?cntnts_sn=66</ns0:t>
        </ns0:is>
      </ns0:c>
      <ns0:c r="P49" s="13">
        <ns0:f>LEN(F49)+MAX(LEN(G49),LEN(H49),LEN(I49),LEN(J49))</ns0:f>
        <ns0:v>47</ns0:v>
      </ns0:c>
    </ns0:row>
    <ns0:row r="50" ht="113" customHeight="1">
      <ns0:c r="A50" s="10" t="n">
        <ns0:v>920049</ns0:v>
      </ns0:c>
      <ns0:c r="B50" s="10" t="n">
        <ns0:v>910049</ns0:v>
      </ns0:c>
      <ns0:c r="C50" s="10" t="inlineStr">
        <ns0:is>
          <ns0:t>화산이 만든 독도</ns0:t>
        </ns0:is>
      </ns0:c>
      <ns0:c r="D50" s="10" t="n">
        <ns0:v>1</ns0:v>
      </ns0:c>
      <ns0:c r="E50" s="10" t="n">
        <ns0:v>1</ns0:v>
      </ns0:c>
      <ns0:c r="F50" s="10" t="inlineStr">
        <ns0:is>
          <ns0:t>독도 해안의 바위를 깎는 바닷물의 움직임은 무엇인가요?</ns0:t>
        </ns0:is>
      </ns0:c>
      <ns0:c r="G50" s="10" t="inlineStr">
        <ns0:is>
          <ns0:t>파도</ns0:t>
        </ns0:is>
      </ns0:c>
      <ns0:c r="H50" s="10" t="inlineStr">
        <ns0:is>
          <ns0:t>강의 흐름</ns0:t>
        </ns0:is>
      </ns0:c>
      <ns0:c r="I50" s="10" t="inlineStr">
        <ns0:is>
          <ns0:t>빙하의 이동</ns0:t>
        </ns0:is>
      </ns0:c>
      <ns0:c r="J50" s="10" t="inlineStr"/>
      <ns0:c r="K50" s="10" t="n">
        <ns0:v>1</ns0:v>
      </ns0:c>
      <ns0:c r="L50" s="10" t="inlineStr">
        <ns0:is>
          <ns0:t>파도가 해안에 부딪치며 바위를 깎는 작용을 해요.</ns0:t>
        </ns0:is>
      </ns0:c>
      <ns0:c r="M50" s="10" t="inlineStr">
        <ns0:is>
          <ns0:t>파도는 독도 해안의 바위를 깎아 절벽·동굴·아치 같은 지형을 만드는 데 영향을 주어요.</ns0:t>
        </ns0:is>
      </ns0:c>
      <ns0:c r="N50" s="10" t="inlineStr">
        <ns0:is>
          <ns0:t>dk-wave-erosion</ns0:t>
        </ns0:is>
      </ns0:c>
      <ns0:c r="O50" s="10" t="inlineStr">
        <ns0:is>
          <ns0:t>대한민국 한국해양과학기술원 · 독도 지형 및 지질
https://www.dokdo.re.kr/home/cms/cmsCont.do?cntnts_sn=66
대한민국 한국관광공사 · 독립문바위
https://korean.visitkorea.or.kr/detail/ms_detail.do?cotid=0fe4eeb6-3f6a-48b1-ab75-c8d4ab6b43be</ns0:t>
        </ns0:is>
      </ns0:c>
      <ns0:c r="P50" s="11">
        <ns0:f>LEN(F50)+MAX(LEN(G50),LEN(H50),LEN(I50),LEN(J50))</ns0:f>
        <ns0:v>36</ns0:v>
      </ns0:c>
    </ns0:row>
    <ns0:row r="51" ht="113" customHeight="1">
      <ns0:c r="A51" s="12" t="n">
        <ns0:v>920050</ns0:v>
      </ns0:c>
      <ns0:c r="B51" s="12" t="n">
        <ns0:v>910050</ns0:v>
      </ns0:c>
      <ns0:c r="C51" s="12" t="inlineStr">
        <ns0:is>
          <ns0:t>화산이 만든 독도</ns0:t>
        </ns0:is>
      </ns0:c>
      <ns0:c r="D51" s="12" t="n">
        <ns0:v>2</ns0:v>
      </ns0:c>
      <ns0:c r="E51" s="12" t="n">
        <ns0:v>2</ns0:v>
      </ns0:c>
      <ns0:c r="F51" s="12" t="inlineStr">
        <ns0:is>
          <ns0:t>독도 해안의 바위가 파도에 깎이는 작용을 무엇이라고 하나요?</ns0:t>
        </ns0:is>
      </ns0:c>
      <ns0:c r="G51" s="12" t="inlineStr">
        <ns0:is>
          <ns0:t>퇴적</ns0:t>
        </ns0:is>
      </ns0:c>
      <ns0:c r="H51" s="12" t="inlineStr">
        <ns0:is>
          <ns0:t>해식</ns0:t>
        </ns0:is>
      </ns0:c>
      <ns0:c r="I51" s="12" t="inlineStr">
        <ns0:is>
          <ns0:t>분출</ns0:t>
        </ns0:is>
      </ns0:c>
      <ns0:c r="J51" s="12" t="inlineStr"/>
      <ns0:c r="K51" s="12" t="n">
        <ns0:v>2</ns0:v>
      </ns0:c>
      <ns0:c r="L51" s="12" t="inlineStr">
        <ns0:is>
          <ns0:t>해식은 바다의 파도 등이 해안 지형을 깎는 작용이에요.</ns0:t>
        </ns0:is>
      </ns0:c>
      <ns0:c r="M51" s="12" t="inlineStr">
        <ns0:is>
          <ns0:t>파도는 독도 해안의 바위를 깎아 절벽·동굴·아치 같은 지형을 만드는 데 영향을 주어요.</ns0:t>
        </ns0:is>
      </ns0:c>
      <ns0:c r="N51" s="12" t="inlineStr">
        <ns0:is>
          <ns0:t>dk-wave-erosion</ns0:t>
        </ns0:is>
      </ns0:c>
      <ns0:c r="O51" s="12" t="inlineStr">
        <ns0:is>
          <ns0:t>대한민국 한국해양과학기술원 · 독도 지형 및 지질
https://www.dokdo.re.kr/home/cms/cmsCont.do?cntnts_sn=66
대한민국 한국관광공사 · 독립문바위
https://korean.visitkorea.or.kr/detail/ms_detail.do?cotid=0fe4eeb6-3f6a-48b1-ab75-c8d4ab6b43be</ns0:t>
        </ns0:is>
      </ns0:c>
      <ns0:c r="P51" s="13">
        <ns0:f>LEN(F51)+MAX(LEN(G51),LEN(H51),LEN(I51),LEN(J51))</ns0:f>
        <ns0:v>35</ns0:v>
      </ns0:c>
    </ns0:row>
    <ns0:row r="52" ht="113" customHeight="1">
      <ns0:c r="A52" s="10" t="n">
        <ns0:v>920051</ns0:v>
      </ns0:c>
      <ns0:c r="B52" s="10" t="n">
        <ns0:v>910051</ns0:v>
      </ns0:c>
      <ns0:c r="C52" s="10" t="inlineStr">
        <ns0:is>
          <ns0:t>화산이 만든 독도</ns0:t>
        </ns0:is>
      </ns0:c>
      <ns0:c r="D52" s="10" t="n">
        <ns0:v>3</ns0:v>
      </ns0:c>
      <ns0:c r="E52" s="10" t="n">
        <ns0:v>3</ns0:v>
      </ns0:c>
      <ns0:c r="F52" s="10" t="inlineStr">
        <ns0:is>
          <ns0:t>설명된 독립문바위의 아치 구멍을 만드는 데 영향을 준 작용은 무엇인가요?</ns0:t>
        </ns0:is>
      </ns0:c>
      <ns0:c r="G52" s="10" t="inlineStr">
        <ns0:is>
          <ns0:t>강이 실어 온 모래가 쌓이는 작용</ns0:t>
        </ns0:is>
      </ns0:c>
      <ns0:c r="H52" s="10" t="inlineStr">
        <ns0:is>
          <ns0:t>산호가 고리 모양으로 자라는 작용</ns0:t>
        </ns0:is>
      </ns0:c>
      <ns0:c r="I52" s="10" t="inlineStr">
        <ns0:is>
          <ns0:t>해안 바위가 파도에 깎이는 작용</ns0:t>
        </ns0:is>
      </ns0:c>
      <ns0:c r="J52" s="10" t="inlineStr"/>
      <ns0:c r="K52" s="10" t="n">
        <ns0:v>3</ns0:v>
      </ns0:c>
      <ns0:c r="L52" s="10" t="inlineStr">
        <ns0:is>
          <ns0:t>바위가 깎여 통로가 생긴 해식아치이므로 파도의 침식과 연결돼요.</ns0:t>
        </ns0:is>
      </ns0:c>
      <ns0:c r="M52" s="10" t="inlineStr">
        <ns0:is>
          <ns0:t>파도는 독도 해안의 바위를 깎아 절벽·동굴·아치 같은 지형을 만드는 데 영향을 주어요.</ns0:t>
        </ns0:is>
      </ns0:c>
      <ns0:c r="N52" s="10" t="inlineStr">
        <ns0:is>
          <ns0:t>dk-wave-erosion</ns0:t>
        </ns0:is>
      </ns0:c>
      <ns0:c r="O52" s="10" t="inlineStr">
        <ns0:is>
          <ns0:t>대한민국 한국해양과학기술원 · 독도 지형 및 지질
https://www.dokdo.re.kr/home/cms/cmsCont.do?cntnts_sn=66
대한민국 한국관광공사 · 독립문바위
https://korean.visitkorea.or.kr/detail/ms_detail.do?cotid=0fe4eeb6-3f6a-48b1-ab75-c8d4ab6b43be</ns0:t>
        </ns0:is>
      </ns0:c>
      <ns0:c r="P52" s="11">
        <ns0:f>LEN(F52)+MAX(LEN(G52),LEN(H52),LEN(I52),LEN(J52))</ns0:f>
        <ns0:v>58</ns0:v>
      </ns0:c>
    </ns0:row>
    <ns0:row r="53" ht="113" customHeight="1">
      <ns0:c r="A53" s="12" t="n">
        <ns0:v>920052</ns0:v>
      </ns0:c>
      <ns0:c r="B53" s="12" t="n">
        <ns0:v>910052</ns0:v>
      </ns0:c>
      <ns0:c r="C53" s="12" t="inlineStr">
        <ns0:is>
          <ns0:t>화산이 만든 독도</ns0:t>
        </ns0:is>
      </ns0:c>
      <ns0:c r="D53" s="12" t="n">
        <ns0:v>4</ns0:v>
      </ns0:c>
      <ns0:c r="E53" s="12" t="n">
        <ns0:v>3</ns0:v>
      </ns0:c>
      <ns0:c r="F53" s="12" t="inlineStr">
        <ns0:is>
          <ns0:t>독도 바위를 관찰해 해식 지형으로 분류할 수 있는 설명은 무엇인가요?</ns0:t>
        </ns0:is>
      </ns0:c>
      <ns0:c r="G53" s="12" t="inlineStr">
        <ns0:is>
          <ns0:t>바닷가 암벽의 약한 부분이 깎여 구멍이 생겼다</ns0:t>
        </ns0:is>
      </ns0:c>
      <ns0:c r="H53" s="12" t="inlineStr">
        <ns0:is>
          <ns0:t>해저에서 분출물이 쌓여 화산체가 커졌다</ns0:t>
        </ns0:is>
      </ns0:c>
      <ns0:c r="I53" s="12" t="inlineStr">
        <ns0:is>
          <ns0:t>모래가 물 밑에 가라앉아 새 층을 이루었다</ns0:t>
        </ns0:is>
      </ns0:c>
      <ns0:c r="J53" s="12" t="inlineStr"/>
      <ns0:c r="K53" s="12" t="n">
        <ns0:v>1</ns0:v>
      </ns0:c>
      <ns0:c r="L53" s="12" t="inlineStr">
        <ns0:is>
          <ns0:t>해안 바위가 깎인 과정이므로 해식 지형의 설명에 맞아요.</ns0:t>
        </ns0:is>
      </ns0:c>
      <ns0:c r="M53" s="12" t="inlineStr">
        <ns0:is>
          <ns0:t>파도는 독도 해안의 바위를 깎아 절벽·동굴·아치 같은 지형을 만드는 데 영향을 주어요.</ns0:t>
        </ns0:is>
      </ns0:c>
      <ns0:c r="N53" s="12" t="inlineStr">
        <ns0:is>
          <ns0:t>dk-wave-erosion</ns0:t>
        </ns0:is>
      </ns0:c>
      <ns0:c r="O53" s="12" t="inlineStr">
        <ns0:is>
          <ns0:t>대한민국 한국해양과학기술원 · 독도 지형 및 지질
https://www.dokdo.re.kr/home/cms/cmsCont.do?cntnts_sn=66
대한민국 한국관광공사 · 독립문바위
https://korean.visitkorea.or.kr/detail/ms_detail.do?cotid=0fe4eeb6-3f6a-48b1-ab75-c8d4ab6b43be</ns0:t>
        </ns0:is>
      </ns0:c>
      <ns0:c r="P53" s="13">
        <ns0:f>LEN(F53)+MAX(LEN(G53),LEN(H53),LEN(I53),LEN(J53))</ns0:f>
        <ns0:v>63</ns0:v>
      </ns0:c>
    </ns0:row>
    <ns0:row r="54" ht="113" customHeight="1">
      <ns0:c r="A54" s="10" t="n">
        <ns0:v>920053</ns0:v>
      </ns0:c>
      <ns0:c r="B54" s="10" t="n">
        <ns0:v>910053</ns0:v>
      </ns0:c>
      <ns0:c r="C54" s="10" t="inlineStr">
        <ns0:is>
          <ns0:t>화산이 만든 독도</ns0:t>
        </ns0:is>
      </ns0:c>
      <ns0:c r="D54" s="10" t="n">
        <ns0:v>1</ns0:v>
      </ns0:c>
      <ns0:c r="E54" s="10" t="n">
        <ns0:v>1</ns0:v>
      </ns0:c>
      <ns0:c r="F54" s="10" t="inlineStr">
        <ns0:is>
          <ns0:t>독도의 바위가 바람과 추위 등에 오래 노출되어 약해지는 과정을 무엇이라고 하나요?</ns0:t>
        </ns0:is>
      </ns0:c>
      <ns0:c r="G54" s="10" t="inlineStr">
        <ns0:is>
          <ns0:t>분출</ns0:t>
        </ns0:is>
      </ns0:c>
      <ns0:c r="H54" s="10" t="inlineStr">
        <ns0:is>
          <ns0:t>풍화</ns0:t>
        </ns0:is>
      </ns0:c>
      <ns0:c r="I54" s="10" t="inlineStr">
        <ns0:is>
          <ns0:t>퇴적</ns0:t>
        </ns0:is>
      </ns0:c>
      <ns0:c r="J54" s="10" t="inlineStr"/>
      <ns0:c r="K54" s="10" t="n">
        <ns0:v>2</ns0:v>
      </ns0:c>
      <ns0:c r="L54" s="10" t="inlineStr">
        <ns0:is>
          <ns0:t>풍화는 바위가 주변 환경의 영향을 받아 약해지거나 부서지는 과정이에요.</ns0:t>
        </ns0:is>
      </ns0:c>
      <ns0:c r="M54" s="10" t="inlineStr">
        <ns0:is>
          <ns0:t>독도의 바위는 풍화로 약해지고 침식으로 깎이며, 이런 변화가 해안 모습을 바꿔요.</ns0:t>
        </ns0:is>
      </ns0:c>
      <ns0:c r="N54" s="10" t="inlineStr">
        <ns0:is>
          <ns0:t>dk-weathering</ns0:t>
        </ns0:is>
      </ns0:c>
      <ns0:c r="O54" s="10" t="inlineStr">
        <ns0:is>
          <ns0:t>대한민국 한국해양과학기술원 · 독도 지형 및 지질
https://www.dokdo.re.kr/home/cms/cmsCont.do?cntnts_sn=66</ns0:t>
        </ns0:is>
      </ns0:c>
      <ns0:c r="P54" s="11">
        <ns0:f>LEN(F54)+MAX(LEN(G54),LEN(H54),LEN(I54),LEN(J54))</ns0:f>
        <ns0:v>47</ns0:v>
      </ns0:c>
    </ns0:row>
    <ns0:row r="55" ht="113" customHeight="1">
      <ns0:c r="A55" s="12" t="n">
        <ns0:v>920054</ns0:v>
      </ns0:c>
      <ns0:c r="B55" s="12" t="n">
        <ns0:v>910054</ns0:v>
      </ns0:c>
      <ns0:c r="C55" s="12" t="inlineStr">
        <ns0:is>
          <ns0:t>화산이 만든 독도</ns0:t>
        </ns0:is>
      </ns0:c>
      <ns0:c r="D55" s="12" t="n">
        <ns0:v>2</ns0:v>
      </ns0:c>
      <ns0:c r="E55" s="12" t="n">
        <ns0:v>2</ns0:v>
      </ns0:c>
      <ns0:c r="F55" s="12" t="inlineStr">
        <ns0:is>
          <ns0:t>독도 해안에서 깎인 바위 조각이 다른 곳에 쌓이는 과정은 무엇인가요?</ns0:t>
        </ns0:is>
      </ns0:c>
      <ns0:c r="G55" s="12" t="inlineStr">
        <ns0:is>
          <ns0:t>분출</ns0:t>
        </ns0:is>
      </ns0:c>
      <ns0:c r="H55" s="12" t="inlineStr">
        <ns0:is>
          <ns0:t>풍화</ns0:t>
        </ns0:is>
      </ns0:c>
      <ns0:c r="I55" s="12" t="inlineStr">
        <ns0:is>
          <ns0:t>퇴적</ns0:t>
        </ns0:is>
      </ns0:c>
      <ns0:c r="J55" s="12" t="inlineStr"/>
      <ns0:c r="K55" s="12" t="n">
        <ns0:v>3</ns0:v>
      </ns0:c>
      <ns0:c r="L55" s="12" t="inlineStr">
        <ns0:is>
          <ns0:t>옮겨진 조각이 쌓이는 단계는 퇴적이에요. 깎여 나오는 침식과 구분해요.</ns0:t>
        </ns0:is>
      </ns0:c>
      <ns0:c r="M55" s="12" t="inlineStr">
        <ns0:is>
          <ns0:t>독도의 바위는 풍화로 약해지고 침식으로 깎이며, 이런 변화가 해안 모습을 바꿔요.</ns0:t>
        </ns0:is>
      </ns0:c>
      <ns0:c r="N55" s="12" t="inlineStr">
        <ns0:is>
          <ns0:t>dk-weathering</ns0:t>
        </ns0:is>
      </ns0:c>
      <ns0:c r="O55" s="12" t="inlineStr">
        <ns0:is>
          <ns0:t>대한민국 한국해양과학기술원 · 독도 지형 및 지질
https://www.dokdo.re.kr/home/cms/cmsCont.do?cntnts_sn=66</ns0:t>
        </ns0:is>
      </ns0:c>
      <ns0:c r="P55" s="13">
        <ns0:f>LEN(F55)+MAX(LEN(G55),LEN(H55),LEN(I55),LEN(J55))</ns0:f>
        <ns0:v>40</ns0:v>
      </ns0:c>
    </ns0:row>
    <ns0:row r="56" ht="113" customHeight="1">
      <ns0:c r="A56" s="10" t="n">
        <ns0:v>920055</ns0:v>
      </ns0:c>
      <ns0:c r="B56" s="10" t="n">
        <ns0:v>910055</ns0:v>
      </ns0:c>
      <ns0:c r="C56" s="10" t="inlineStr">
        <ns0:is>
          <ns0:t>화산이 만든 독도</ns0:t>
        </ns0:is>
      </ns0:c>
      <ns0:c r="D56" s="10" t="n">
        <ns0:v>3</ns0:v>
      </ns0:c>
      <ns0:c r="E56" s="10" t="n">
        <ns0:v>3</ns0:v>
      </ns0:c>
      <ns0:c r="F56" s="10" t="inlineStr">
        <ns0:is>
          <ns0:t>독도 바위가 약해진 뒤 파도에 깎였다는 설명의 과정 순서는 무엇인가요?</ns0:t>
        </ns0:is>
      </ns0:c>
      <ns0:c r="G56" s="10" t="inlineStr">
        <ns0:is>
          <ns0:t>풍화 → 침식</ns0:t>
        </ns0:is>
      </ns0:c>
      <ns0:c r="H56" s="10" t="inlineStr">
        <ns0:is>
          <ns0:t>퇴적 → 풍화</ns0:t>
        </ns0:is>
      </ns0:c>
      <ns0:c r="I56" s="10" t="inlineStr">
        <ns0:is>
          <ns0:t>분출 → 퇴적</ns0:t>
        </ns0:is>
      </ns0:c>
      <ns0:c r="J56" s="10" t="inlineStr"/>
      <ns0:c r="K56" s="10" t="n">
        <ns0:v>1</ns0:v>
      </ns0:c>
      <ns0:c r="L56" s="10" t="inlineStr">
        <ns0:is>
          <ns0:t>먼저 바위가 약해지는 풍화가 있고, 이어 파도에 깎이는 침식이 있어요.</ns0:t>
        </ns0:is>
      </ns0:c>
      <ns0:c r="M56" s="10" t="inlineStr">
        <ns0:is>
          <ns0:t>독도의 바위는 풍화로 약해지고 침식으로 깎이며, 이런 변화가 해안 모습을 바꿔요.</ns0:t>
        </ns0:is>
      </ns0:c>
      <ns0:c r="N56" s="10" t="inlineStr">
        <ns0:is>
          <ns0:t>dk-weathering</ns0:t>
        </ns0:is>
      </ns0:c>
      <ns0:c r="O56" s="10" t="inlineStr">
        <ns0:is>
          <ns0:t>대한민국 한국해양과학기술원 · 독도 지형 및 지질
https://www.dokdo.re.kr/home/cms/cmsCont.do?cntnts_sn=66</ns0:t>
        </ns0:is>
      </ns0:c>
      <ns0:c r="P56" s="11">
        <ns0:f>LEN(F56)+MAX(LEN(G56),LEN(H56),LEN(I56),LEN(J56))</ns0:f>
        <ns0:v>46</ns0:v>
      </ns0:c>
    </ns0:row>
    <ns0:row r="57" ht="113" customHeight="1">
      <ns0:c r="A57" s="12" t="n">
        <ns0:v>920056</ns0:v>
      </ns0:c>
      <ns0:c r="B57" s="12" t="n">
        <ns0:v>910056</ns0:v>
      </ns0:c>
      <ns0:c r="C57" s="12" t="inlineStr">
        <ns0:is>
          <ns0:t>화산이 만든 독도</ns0:t>
        </ns0:is>
      </ns0:c>
      <ns0:c r="D57" s="12" t="n">
        <ns0:v>4</ns0:v>
      </ns0:c>
      <ns0:c r="E57" s="12" t="n">
        <ns0:v>4</ns0:v>
      </ns0:c>
      <ns0:c r="F57" s="12" t="inlineStr">
        <ns0:is>
          <ns0:t>독도 해안선의 변화를 비교하려면 어느 자료 묶음이 적합한가요?</ns0:t>
        </ns0:is>
      </ns0:c>
      <ns0:c r="G57" s="12" t="inlineStr">
        <ns0:is>
          <ns0:t>서도 전체 사진과 동도 한 바위의 확대 사진</ns0:t>
        </ns0:is>
      </ns0:c>
      <ns0:c r="H57" s="12" t="inlineStr">
        <ns0:is>
          <ns0:t>같은 해안 구간을 같은 축척으로 나타낸 두 시기의 자료</ns0:t>
        </ns0:is>
      </ns0:c>
      <ns0:c r="I57" s="12" t="inlineStr">
        <ns0:is>
          <ns0:t>동도 높이표와 울릉도 기온표</ns0:t>
        </ns0:is>
      </ns0:c>
      <ns0:c r="J57" s="12" t="inlineStr"/>
      <ns0:c r="K57" s="12" t="n">
        <ns0:v>2</ns0:v>
      </ns0:c>
      <ns0:c r="L57" s="12" t="inlineStr">
        <ns0:is>
          <ns0:t>장소와 축척을 맞추어야 해안이 달라진 부분을 비교할 수 있어요.</ns0:t>
        </ns0:is>
      </ns0:c>
      <ns0:c r="M57" s="12" t="inlineStr">
        <ns0:is>
          <ns0:t>독도의 바위는 풍화로 약해지고 침식으로 깎이며, 이런 변화가 해안 모습을 바꿔요.</ns0:t>
        </ns0:is>
      </ns0:c>
      <ns0:c r="N57" s="12" t="inlineStr">
        <ns0:is>
          <ns0:t>dk-weathering</ns0:t>
        </ns0:is>
      </ns0:c>
      <ns0:c r="O57" s="12" t="inlineStr">
        <ns0:is>
          <ns0:t>대한민국 한국해양과학기술원 · 독도 지형 및 지질
https://www.dokdo.re.kr/home/cms/cmsCont.do?cntnts_sn=66</ns0:t>
        </ns0:is>
      </ns0:c>
      <ns0:c r="P57" s="13">
        <ns0:f>LEN(F57)+MAX(LEN(G57),LEN(H57),LEN(I57),LEN(J57))</ns0:f>
        <ns0:v>64</ns0:v>
      </ns0:c>
    </ns0:row>
    <ns0:row r="58" ht="113" customHeight="1">
      <ns0:c r="A58" s="10" t="n">
        <ns0:v>920057</ns0:v>
      </ns0:c>
      <ns0:c r="B58" s="10" t="n">
        <ns0:v>910057</ns0:v>
      </ns0:c>
      <ns0:c r="C58" s="10" t="inlineStr">
        <ns0:is>
          <ns0:t>화산이 만든 독도</ns0:t>
        </ns0:is>
      </ns0:c>
      <ns0:c r="D58" s="10" t="n">
        <ns0:v>1</ns0:v>
      </ns0:c>
      <ns0:c r="E58" s="10" t="n">
        <ns0:v>1</ns0:v>
      </ns0:c>
      <ns0:c r="F58" s="10" t="inlineStr">
        <ns0:is>
          <ns0:t>독도의 물골은 어느 큰 섬에 있나요?</ns0:t>
        </ns0:is>
      </ns0:c>
      <ns0:c r="G58" s="10" t="inlineStr">
        <ns0:is>
          <ns0:t>동도</ns0:t>
        </ns0:is>
      </ns0:c>
      <ns0:c r="H58" s="10" t="inlineStr">
        <ns0:is>
          <ns0:t>서도</ns0:t>
        </ns0:is>
      </ns0:c>
      <ns0:c r="I58" s="10" t="inlineStr"/>
      <ns0:c r="J58" s="10" t="inlineStr"/>
      <ns0:c r="K58" s="10" t="n">
        <ns0:v>2</ns0:v>
      </ns0:c>
      <ns0:c r="L58" s="10" t="inlineStr">
        <ns0:is>
          <ns0:t>물골은 서도 해안에 있는 물이 모이는 곳이에요.</ns0:t>
        </ns0:is>
      </ns0:c>
      <ns0:c r="M58" s="10" t="inlineStr">
        <ns0:is>
          <ns0:t>서도의 물골은 바위에서 물이 떨어지는 곳으로, 담수화 시설 이전에 식수원으로 쓰였어요.</ns0:t>
        </ns0:is>
      </ns0:c>
      <ns0:c r="N58" s="10" t="inlineStr">
        <ns0:is>
          <ns0:t>dk-mulgol</ns0:t>
        </ns0:is>
      </ns0:c>
      <ns0:c r="O58" s="10" t="inlineStr">
        <ns0:is>
          <ns0:t>대한민국 한국해양과학기술원 · 독도 지형 및 지질
https://www.dokdo.re.kr/home/cms/cmsCont.do?cntnts_sn=66
대한민국 외교부 · 독도 주요시설물
https://dokdo.mofa.go.kr/kor/introduce/facility.jsp</ns0:t>
        </ns0:is>
      </ns0:c>
      <ns0:c r="P58" s="11">
        <ns0:f>LEN(F58)+MAX(LEN(G58),LEN(H58),LEN(I58),LEN(J58))</ns0:f>
        <ns0:v>22</ns0:v>
      </ns0:c>
    </ns0:row>
    <ns0:row r="59" ht="113" customHeight="1">
      <ns0:c r="A59" s="12" t="n">
        <ns0:v>920058</ns0:v>
      </ns0:c>
      <ns0:c r="B59" s="12" t="n">
        <ns0:v>910058</ns0:v>
      </ns0:c>
      <ns0:c r="C59" s="12" t="inlineStr">
        <ns0:is>
          <ns0:t>화산이 만든 독도</ns0:t>
        </ns0:is>
      </ns0:c>
      <ns0:c r="D59" s="12" t="n">
        <ns0:v>2</ns0:v>
      </ns0:c>
      <ns0:c r="E59" s="12" t="n">
        <ns0:v>2</ns0:v>
      </ns0:c>
      <ns0:c r="F59" s="12" t="inlineStr">
        <ns0:is>
          <ns0:t>담수화 시설이 생기기 전, 독도의 물골은 주로 무엇에 쓰였나요?</ns0:t>
        </ns0:is>
      </ns0:c>
      <ns0:c r="G59" s="12" t="inlineStr">
        <ns0:is>
          <ns0:t>배가 닿는 곳</ns0:t>
        </ns0:is>
      </ns0:c>
      <ns0:c r="H59" s="12" t="inlineStr">
        <ns0:is>
          <ns0:t>헬기가 내리는 곳</ns0:t>
        </ns0:is>
      </ns0:c>
      <ns0:c r="I59" s="12" t="inlineStr">
        <ns0:is>
          <ns0:t>마실 물을 얻는 곳</ns0:t>
        </ns0:is>
      </ns0:c>
      <ns0:c r="J59" s="12" t="inlineStr"/>
      <ns0:c r="K59" s="12" t="n">
        <ns0:v>3</ns0:v>
      </ns0:c>
      <ns0:c r="L59" s="12" t="inlineStr">
        <ns0:is>
          <ns0:t>물골 바위에서 떨어지는 물을 식수원으로 이용했어요.</ns0:t>
        </ns0:is>
      </ns0:c>
      <ns0:c r="M59" s="12" t="inlineStr">
        <ns0:is>
          <ns0:t>서도의 물골은 바위에서 물이 떨어지는 곳으로, 담수화 시설 이전에 식수원으로 쓰였어요.</ns0:t>
        </ns0:is>
      </ns0:c>
      <ns0:c r="N59" s="12" t="inlineStr">
        <ns0:is>
          <ns0:t>dk-mulgol</ns0:t>
        </ns0:is>
      </ns0:c>
      <ns0:c r="O59" s="12" t="inlineStr">
        <ns0:is>
          <ns0:t>대한민국 한국해양과학기술원 · 독도 지형 및 지질
https://www.dokdo.re.kr/home/cms/cmsCont.do?cntnts_sn=66
대한민국 외교부 · 독도 주요시설물
https://dokdo.mofa.go.kr/kor/introduce/facility.jsp</ns0:t>
        </ns0:is>
      </ns0:c>
      <ns0:c r="P59" s="13">
        <ns0:f>LEN(F59)+MAX(LEN(G59),LEN(H59),LEN(I59),LEN(J59))</ns0:f>
        <ns0:v>45</ns0:v>
      </ns0:c>
    </ns0:row>
    <ns0:row r="60" ht="113" customHeight="1">
      <ns0:c r="A60" s="10" t="n">
        <ns0:v>920059</ns0:v>
      </ns0:c>
      <ns0:c r="B60" s="10" t="n">
        <ns0:v>910059</ns0:v>
      </ns0:c>
      <ns0:c r="C60" s="10" t="inlineStr">
        <ns0:is>
          <ns0:t>화산이 만든 독도</ns0:t>
        </ns0:is>
      </ns0:c>
      <ns0:c r="D60" s="10" t="n">
        <ns0:v>3</ns0:v>
      </ns0:c>
      <ns0:c r="E60" s="10" t="n">
        <ns0:v>3</ns0:v>
      </ns0:c>
      <ns0:c r="F60" s="10" t="inlineStr">
        <ns0:is>
          <ns0:t>설명의 빈칸에 들어갈 지명은 무엇인가요?</ns0:t>
        </ns0:is>
      </ns0:c>
      <ns0:c r="G60" s="10" t="inlineStr">
        <ns0:is>
          <ns0:t>물골</ns0:t>
        </ns0:is>
      </ns0:c>
      <ns0:c r="H60" s="10" t="inlineStr">
        <ns0:is>
          <ns0:t>천장굴</ns0:t>
        </ns0:is>
      </ns0:c>
      <ns0:c r="I60" s="10" t="inlineStr">
        <ns0:is>
          <ns0:t>독립문바위</ns0:t>
        </ns0:is>
      </ns0:c>
      <ns0:c r="J60" s="10" t="inlineStr"/>
      <ns0:c r="K60" s="10" t="n">
        <ns0:v>1</ns0:v>
      </ns0:c>
      <ns0:c r="L60" s="10" t="inlineStr">
        <ns0:is>
          <ns0:t>서도에서 물을 얻던 장소라는 설명이 물골과 맞아요.</ns0:t>
        </ns0:is>
      </ns0:c>
      <ns0:c r="M60" s="10" t="inlineStr">
        <ns0:is>
          <ns0:t>서도의 물골은 바위에서 물이 떨어지는 곳으로, 담수화 시설 이전에 식수원으로 쓰였어요.</ns0:t>
        </ns0:is>
      </ns0:c>
      <ns0:c r="N60" s="10" t="inlineStr">
        <ns0:is>
          <ns0:t>dk-mulgol</ns0:t>
        </ns0:is>
      </ns0:c>
      <ns0:c r="O60" s="10" t="inlineStr">
        <ns0:is>
          <ns0:t>대한민국 한국해양과학기술원 · 독도 지형 및 지질
https://www.dokdo.re.kr/home/cms/cmsCont.do?cntnts_sn=66
대한민국 외교부 · 독도 주요시설물
https://dokdo.mofa.go.kr/kor/introduce/facility.jsp</ns0:t>
        </ns0:is>
      </ns0:c>
      <ns0:c r="P60" s="11">
        <ns0:f>LEN(F60)+MAX(LEN(G60),LEN(H60),LEN(I60),LEN(J60))</ns0:f>
        <ns0:v>27</ns0:v>
      </ns0:c>
    </ns0:row>
    <ns0:row r="61" ht="113" customHeight="1">
      <ns0:c r="A61" s="12" t="n">
        <ns0:v>920060</ns0:v>
      </ns0:c>
      <ns0:c r="B61" s="12" t="n">
        <ns0:v>910060</ns0:v>
      </ns0:c>
      <ns0:c r="C61" s="12" t="inlineStr">
        <ns0:is>
          <ns0:t>화산이 만든 독도</ns0:t>
        </ns0:is>
      </ns0:c>
      <ns0:c r="D61" s="12" t="n">
        <ns0:v>4</ns0:v>
      </ns0:c>
      <ns0:c r="E61" s="12" t="n">
        <ns0:v>3</ns0:v>
      </ns0:c>
      <ns0:c r="F61" s="12" t="inlineStr">
        <ns0:is>
          <ns0:t>물골과 담수화 시설의 물 공급 방식을 바르게 짝지은 것은 무엇인가요?</ns0:t>
        </ns0:is>
      </ns0:c>
      <ns0:c r="G61" s="12" t="inlineStr">
        <ns0:is>
          <ns0:t>물골: 바닷물을 끓이는 기계 / 담수화: 바위에서 떨어지는 물</ns0:t>
        </ns0:is>
      </ns0:c>
      <ns0:c r="H61" s="12" t="inlineStr">
        <ns0:is>
          <ns0:t>물골: 바위에서 떨어지는 물 / 담수화: 바닷물의 소금을 줄임</ns0:t>
        </ns0:is>
      </ns0:c>
      <ns0:c r="I61" s="12" t="inlineStr">
        <ns0:is>
          <ns0:t>둘 다 같은 바위틈에서 물을 모음</ns0:t>
        </ns0:is>
      </ns0:c>
      <ns0:c r="J61" s="12" t="inlineStr"/>
      <ns0:c r="K61" s="12" t="n">
        <ns0:v>2</ns0:v>
      </ns0:c>
      <ns0:c r="L61" s="12" t="inlineStr">
        <ns0:is>
          <ns0:t>자연적으로 떨어지는 물을 모으는 방식과 바닷물을 처리하는 방식이 달라요.</ns0:t>
        </ns0:is>
      </ns0:c>
      <ns0:c r="M61" s="12" t="inlineStr">
        <ns0:is>
          <ns0:t>서도의 물골은 바위에서 물이 떨어지는 곳으로, 담수화 시설 이전에 식수원으로 쓰였어요.</ns0:t>
        </ns0:is>
      </ns0:c>
      <ns0:c r="N61" s="12" t="inlineStr">
        <ns0:is>
          <ns0:t>dk-mulgol</ns0:t>
        </ns0:is>
      </ns0:c>
      <ns0:c r="O61" s="12" t="inlineStr">
        <ns0:is>
          <ns0:t>대한민국 한국해양과학기술원 · 독도 지형 및 지질
https://www.dokdo.re.kr/home/cms/cmsCont.do?cntnts_sn=66
대한민국 외교부 · 독도 주요시설물
https://dokdo.mofa.go.kr/kor/introduce/facility.jsp</ns0:t>
        </ns0:is>
      </ns0:c>
      <ns0:c r="P61" s="13">
        <ns0:f>LEN(F61)+MAX(LEN(G61),LEN(H61),LEN(I61),LEN(J61))</ns0:f>
        <ns0:v>72</ns0:v>
      </ns0:c>
    </ns0:row>
    <ns0:row r="62" ht="113" customHeight="1">
      <ns0:c r="A62" s="10" t="n">
        <ns0:v>920061</ns0:v>
      </ns0:c>
      <ns0:c r="B62" s="10" t="n">
        <ns0:v>910061</ns0:v>
      </ns0:c>
      <ns0:c r="C62" s="10" t="inlineStr">
        <ns0:is>
          <ns0:t>생명이 머무는 독도</ns0:t>
        </ns0:is>
      </ns0:c>
      <ns0:c r="D62" s="10" t="n">
        <ns0:v>1</ns0:v>
      </ns0:c>
      <ns0:c r="E62" s="10" t="n">
        <ns0:v>1</ns0:v>
      </ns0:c>
      <ns0:c r="F62" s="10" t="inlineStr">
        <ns0:is>
          <ns0:t>먼 거리를 이동하는 철새에게 독도는 어떤 곳인가요?</ns0:t>
        </ns0:is>
      </ns0:c>
      <ns0:c r="G62" s="10" t="inlineStr">
        <ns0:is>
          <ns0:t>겨울에만 머무는 곳</ns0:t>
        </ns0:is>
      </ns0:c>
      <ns0:c r="H62" s="10" t="inlineStr">
        <ns0:is>
          <ns0:t>모든 새가 평생 머무는 곳</ns0:t>
        </ns0:is>
      </ns0:c>
      <ns0:c r="I62" s="10" t="inlineStr">
        <ns0:is>
          <ns0:t>이동 중 쉬어 가는 곳</ns0:t>
        </ns0:is>
      </ns0:c>
      <ns0:c r="J62" s="10" t="inlineStr"/>
      <ns0:c r="K62" s="10" t="n">
        <ns0:v>3</ns0:v>
      </ns0:c>
      <ns0:c r="L62" s="10" t="inlineStr">
        <ns0:is>
          <ns0:t>바다를 건너는 철새는 독도에서 잠시 쉬었다가 이동을 이어갈 수 있어요.</ns0:t>
        </ns0:is>
      </ns0:c>
      <ns0:c r="M62" s="10" t="inlineStr">
        <ns0:is>
          <ns0:t>독도는 먼 거리를 이동하는 철새가 쉬어 가는 중간 기착지예요.</ns0:t>
        </ns0:is>
      </ns0:c>
      <ns0:c r="N62" s="10" t="inlineStr">
        <ns0:is>
          <ns0:t>dk-migratory-stopover</ns0:t>
        </ns0:is>
      </ns0:c>
      <ns0:c r="O62" s="10" t="inlineStr">
        <ns0:is>
          <ns0:t>대한민국 외교부 · 독도의 자연환경
https://dokdo.mofa.go.kr/kor/introduce/nature.jsp</ns0:t>
        </ns0:is>
      </ns0:c>
      <ns0:c r="P62" s="11">
        <ns0:f>LEN(F62)+MAX(LEN(G62),LEN(H62),LEN(I62),LEN(J62))</ns0:f>
        <ns0:v>42</ns0:v>
      </ns0:c>
    </ns0:row>
    <ns0:row r="63" ht="113" customHeight="1">
      <ns0:c r="A63" s="12" t="n">
        <ns0:v>920062</ns0:v>
      </ns0:c>
      <ns0:c r="B63" s="12" t="n">
        <ns0:v>910062</ns0:v>
      </ns0:c>
      <ns0:c r="C63" s="12" t="inlineStr">
        <ns0:is>
          <ns0:t>생명이 머무는 독도</ns0:t>
        </ns0:is>
      </ns0:c>
      <ns0:c r="D63" s="12" t="n">
        <ns0:v>2</ns0:v>
      </ns0:c>
      <ns0:c r="E63" s="12" t="n">
        <ns0:v>2</ns0:v>
      </ns0:c>
      <ns0:c r="F63" s="12" t="inlineStr">
        <ns0:is>
          <ns0:t>철새가 이동하다 독도처럼 잠시 들러 쉬는 곳을 무엇이라고 하나요?</ns0:t>
        </ns0:is>
      </ns0:c>
      <ns0:c r="G63" s="12" t="inlineStr">
        <ns0:is>
          <ns0:t>중간 기착지</ns0:t>
        </ns0:is>
      </ns0:c>
      <ns0:c r="H63" s="12" t="inlineStr">
        <ns0:is>
          <ns0:t>번식지</ns0:t>
        </ns0:is>
      </ns0:c>
      <ns0:c r="I63" s="12" t="inlineStr">
        <ns0:is>
          <ns0:t>월동지</ns0:t>
        </ns0:is>
      </ns0:c>
      <ns0:c r="J63" s="12" t="inlineStr"/>
      <ns0:c r="K63" s="12" t="n">
        <ns0:v>1</ns0:v>
      </ns0:c>
      <ns0:c r="L63" s="12" t="inlineStr">
        <ns0:is>
          <ns0:t>이동 중 잠시 들르는 휴식 장소를 중간 기착지라고 해요.</ns0:t>
        </ns0:is>
      </ns0:c>
      <ns0:c r="M63" s="12" t="inlineStr">
        <ns0:is>
          <ns0:t>독도는 먼 거리를 이동하는 철새가 쉬어 가는 중간 기착지예요.</ns0:t>
        </ns0:is>
      </ns0:c>
      <ns0:c r="N63" s="12" t="inlineStr">
        <ns0:is>
          <ns0:t>dk-migratory-stopover</ns0:t>
        </ns0:is>
      </ns0:c>
      <ns0:c r="O63" s="12" t="inlineStr">
        <ns0:is>
          <ns0:t>대한민국 외교부 · 독도의 자연환경
https://dokdo.mofa.go.kr/kor/introduce/nature.jsp</ns0:t>
        </ns0:is>
      </ns0:c>
      <ns0:c r="P63" s="13">
        <ns0:f>LEN(F63)+MAX(LEN(G63),LEN(H63),LEN(I63),LEN(J63))</ns0:f>
        <ns0:v>42</ns0:v>
      </ns0:c>
    </ns0:row>
    <ns0:row r="64" ht="113" customHeight="1">
      <ns0:c r="A64" s="10" t="n">
        <ns0:v>920063</ns0:v>
      </ns0:c>
      <ns0:c r="B64" s="10" t="n">
        <ns0:v>910063</ns0:v>
      </ns0:c>
      <ns0:c r="C64" s="10" t="inlineStr">
        <ns0:is>
          <ns0:t>생명이 머무는 독도</ns0:t>
        </ns0:is>
      </ns0:c>
      <ns0:c r="D64" s="10" t="n">
        <ns0:v>3</ns0:v>
      </ns0:c>
      <ns0:c r="E64" s="10" t="n">
        <ns0:v>3</ns0:v>
      </ns0:c>
      <ns0:c r="F64" s="10" t="inlineStr">
        <ns0:is>
          <ns0:t>이동 경로가 ‘출발지 → 독도에서 휴식 → 목적지’라면 독도의 역할은 무엇인가요?</ns0:t>
        </ns0:is>
      </ns0:c>
      <ns0:c r="G64" s="10" t="inlineStr">
        <ns0:is>
          <ns0:t>출발지</ns0:t>
        </ns0:is>
      </ns0:c>
      <ns0:c r="H64" s="10" t="inlineStr">
        <ns0:is>
          <ns0:t>중간 기착지</ns0:t>
        </ns0:is>
      </ns0:c>
      <ns0:c r="I64" s="10" t="inlineStr">
        <ns0:is>
          <ns0:t>최종 목적지</ns0:t>
        </ns0:is>
      </ns0:c>
      <ns0:c r="J64" s="10" t="inlineStr"/>
      <ns0:c r="K64" s="10" t="n">
        <ns0:v>2</ns0:v>
      </ns0:c>
      <ns0:c r="L64" s="10" t="inlineStr">
        <ns0:is>
          <ns0:t>출발지와 목적지 사이에서 쉬었으므로 중간 기착지에 해당해요.</ns0:t>
        </ns0:is>
      </ns0:c>
      <ns0:c r="M64" s="10" t="inlineStr">
        <ns0:is>
          <ns0:t>독도는 먼 거리를 이동하는 철새가 쉬어 가는 중간 기착지예요.</ns0:t>
        </ns0:is>
      </ns0:c>
      <ns0:c r="N64" s="10" t="inlineStr">
        <ns0:is>
          <ns0:t>dk-migratory-stopover</ns0:t>
        </ns0:is>
      </ns0:c>
      <ns0:c r="O64" s="10" t="inlineStr">
        <ns0:is>
          <ns0:t>대한민국 외교부 · 독도의 자연환경
https://dokdo.mofa.go.kr/kor/introduce/nature.jsp</ns0:t>
        </ns0:is>
      </ns0:c>
      <ns0:c r="P64" s="11">
        <ns0:f>LEN(F64)+MAX(LEN(G64),LEN(H64),LEN(I64),LEN(J64))</ns0:f>
        <ns0:v>51</ns0:v>
      </ns0:c>
    </ns0:row>
    <ns0:row r="65" ht="113" customHeight="1">
      <ns0:c r="A65" s="12" t="n">
        <ns0:v>920064</ns0:v>
      </ns0:c>
      <ns0:c r="B65" s="12" t="n">
        <ns0:v>910064</ns0:v>
      </ns0:c>
      <ns0:c r="C65" s="12" t="inlineStr">
        <ns0:is>
          <ns0:t>생명이 머무는 독도</ns0:t>
        </ns0:is>
      </ns0:c>
      <ns0:c r="D65" s="12" t="n">
        <ns0:v>4</ns0:v>
      </ns0:c>
      <ns0:c r="E65" s="12" t="n">
        <ns0:v>3</ns0:v>
      </ns0:c>
      <ns0:c r="F65" s="12" t="inlineStr">
        <ns0:is>
          <ns0:t>독도의 두 새 관찰에서 ‘중간 기착’에 해당하는 것은 무엇인가요?</ns0:t>
        </ns0:is>
      </ns0:c>
      <ns0:c r="G65" s="12" t="inlineStr">
        <ns0:is>
          <ns0:t>A: 이동 중 잠시 쉬고 다른 곳으로 떠남</ns0:t>
        </ns0:is>
      </ns0:c>
      <ns0:c r="H65" s="12" t="inlineStr">
        <ns0:is>
          <ns0:t>B: 둥지에서 알을 품고 새끼를 기름</ns0:t>
        </ns0:is>
      </ns0:c>
      <ns0:c r="I65" s="12" t="inlineStr"/>
      <ns0:c r="J65" s="12" t="inlineStr"/>
      <ns0:c r="K65" s="12" t="n">
        <ns0:v>1</ns0:v>
      </ns0:c>
      <ns0:c r="L65" s="12" t="inlineStr">
        <ns0:is>
          <ns0:t>긴 이동을 이어가기 전 쉬는 행동이 중간 기착에 해당해요.</ns0:t>
        </ns0:is>
      </ns0:c>
      <ns0:c r="M65" s="12" t="inlineStr">
        <ns0:is>
          <ns0:t>독도는 먼 거리를 이동하는 철새가 쉬어 가는 중간 기착지예요.</ns0:t>
        </ns0:is>
      </ns0:c>
      <ns0:c r="N65" s="12" t="inlineStr">
        <ns0:is>
          <ns0:t>dk-migratory-stopover</ns0:t>
        </ns0:is>
      </ns0:c>
      <ns0:c r="O65" s="12" t="inlineStr">
        <ns0:is>
          <ns0:t>대한민국 외교부 · 독도의 자연환경
https://dokdo.mofa.go.kr/kor/introduce/nature.jsp</ns0:t>
        </ns0:is>
      </ns0:c>
      <ns0:c r="P65" s="13">
        <ns0:f>LEN(F65)+MAX(LEN(G65),LEN(H65),LEN(I65),LEN(J65))</ns0:f>
        <ns0:v>59</ns0:v>
      </ns0:c>
    </ns0:row>
    <ns0:row r="66" ht="113" customHeight="1">
      <ns0:c r="A66" s="10" t="n">
        <ns0:v>920065</ns0:v>
      </ns0:c>
      <ns0:c r="B66" s="10" t="n">
        <ns0:v>910065</ns0:v>
      </ns0:c>
      <ns0:c r="C66" s="10" t="inlineStr">
        <ns0:is>
          <ns0:t>생명이 머무는 독도</ns0:t>
        </ns0:is>
      </ns0:c>
      <ns0:c r="D66" s="10" t="n">
        <ns0:v>1</ns0:v>
      </ns0:c>
      <ns0:c r="E66" s="10" t="n">
        <ns0:v>1</ns0:v>
      </ns0:c>
      <ns0:c r="F66" s="10" t="inlineStr">
        <ns0:is>
          <ns0:t>독도에서 번식하는 바닷새는 어느 것인가요?</ns0:t>
        </ns0:is>
      </ns0:c>
      <ns0:c r="G66" s="10" t="inlineStr">
        <ns0:is>
          <ns0:t>황제펭귄</ns0:t>
        </ns0:is>
      </ns0:c>
      <ns0:c r="H66" s="10" t="inlineStr">
        <ns0:is>
          <ns0:t>타조</ns0:t>
        </ns0:is>
      </ns0:c>
      <ns0:c r="I66" s="10" t="inlineStr">
        <ns0:is>
          <ns0:t>괭이갈매기</ns0:t>
        </ns0:is>
      </ns0:c>
      <ns0:c r="J66" s="10" t="inlineStr"/>
      <ns0:c r="K66" s="10" t="n">
        <ns0:v>3</ns0:v>
      </ns0:c>
      <ns0:c r="L66" s="10" t="inlineStr">
        <ns0:is>
          <ns0:t>괭이갈매기는 독도의 대표적인 번식 바닷새로 소개돼요.</ns0:t>
        </ns0:is>
      </ns0:c>
      <ns0:c r="M66" s="10" t="inlineStr">
        <ns0:is>
          <ns0:t>괭이갈매기·바다제비·슴새는 독도에서 번식하는 바닷새로 소개돼요.</ns0:t>
        </ns0:is>
      </ns0:c>
      <ns0:c r="N66" s="10" t="inlineStr">
        <ns0:is>
          <ns0:t>dk-breeding-birds</ns0:t>
        </ns0:is>
      </ns0:c>
      <ns0:c r="O66" s="10" t="inlineStr">
        <ns0:is>
          <ns0:t>대한민국 국가유산청 · 독도 천연보호구역
https://www.heritage.go.kr/heri/cul/culSelectDetail.do?VdkVgwKey=16%2C03360000%2C37&amp;pageNo=1_1_2_0
대한민국 외교부 · 독도의 자연환경
https://dokdo.mofa.go.kr/kor/introduce/nature.jsp</ns0:t>
        </ns0:is>
      </ns0:c>
      <ns0:c r="P66" s="11">
        <ns0:f>LEN(F66)+MAX(LEN(G66),LEN(H66),LEN(I66),LEN(J66))</ns0:f>
        <ns0:v>28</ns0:v>
      </ns0:c>
    </ns0:row>
    <ns0:row r="67" ht="113" customHeight="1">
      <ns0:c r="A67" s="12" t="n">
        <ns0:v>920066</ns0:v>
      </ns0:c>
      <ns0:c r="B67" s="12" t="n">
        <ns0:v>910066</ns0:v>
      </ns0:c>
      <ns0:c r="C67" s="12" t="inlineStr">
        <ns0:is>
          <ns0:t>생명이 머무는 독도</ns0:t>
        </ns0:is>
      </ns0:c>
      <ns0:c r="D67" s="12" t="n">
        <ns0:v>2</ns0:v>
      </ns0:c>
      <ns0:c r="E67" s="12" t="n">
        <ns0:v>2</ns0:v>
      </ns0:c>
      <ns0:c r="F67" s="12" t="inlineStr">
        <ns0:is>
          <ns0:t>괭이갈매기가 독도에서 번식한다는 뜻은 무엇인가요?</ns0:t>
        </ns0:is>
      </ns0:c>
      <ns0:c r="G67" s="12" t="inlineStr">
        <ns0:is>
          <ns0:t>알을 낳고 새끼를 기른다</ns0:t>
        </ns0:is>
      </ns0:c>
      <ns0:c r="H67" s="12" t="inlineStr">
        <ns0:is>
          <ns0:t>잠시 쉬었다가 떠나기만 한다</ns0:t>
        </ns0:is>
      </ns0:c>
      <ns0:c r="I67" s="12" t="inlineStr">
        <ns0:is>
          <ns0:t>먹이만 찾고 떠난다</ns0:t>
        </ns0:is>
      </ns0:c>
      <ns0:c r="J67" s="12" t="inlineStr"/>
      <ns0:c r="K67" s="12" t="n">
        <ns0:v>1</ns0:v>
      </ns0:c>
      <ns0:c r="L67" s="12" t="inlineStr">
        <ns0:is>
          <ns0:t>번식은 새끼를 낳거나 알에서 부화시켜 다음 세대를 이어가는 일이에요.</ns0:t>
        </ns0:is>
      </ns0:c>
      <ns0:c r="M67" s="12" t="inlineStr">
        <ns0:is>
          <ns0:t>괭이갈매기·바다제비·슴새는 독도에서 번식하는 바닷새로 소개돼요.</ns0:t>
        </ns0:is>
      </ns0:c>
      <ns0:c r="N67" s="12" t="inlineStr">
        <ns0:is>
          <ns0:t>dk-breeding-birds</ns0:t>
        </ns0:is>
      </ns0:c>
      <ns0:c r="O67" s="12" t="inlineStr">
        <ns0:is>
          <ns0:t>대한민국 국가유산청 · 독도 천연보호구역
https://www.heritage.go.kr/heri/cul/culSelectDetail.do?VdkVgwKey=16%2C03360000%2C37&amp;pageNo=1_1_2_0
대한민국 외교부 · 독도의 자연환경
https://dokdo.mofa.go.kr/kor/introduce/nature.jsp</ns0:t>
        </ns0:is>
      </ns0:c>
      <ns0:c r="P67" s="13">
        <ns0:f>LEN(F67)+MAX(LEN(G67),LEN(H67),LEN(I67),LEN(J67))</ns0:f>
        <ns0:v>42</ns0:v>
      </ns0:c>
    </ns0:row>
    <ns0:row r="68" ht="113" customHeight="1">
      <ns0:c r="A68" s="10" t="n">
        <ns0:v>920067</ns0:v>
      </ns0:c>
      <ns0:c r="B68" s="10" t="n">
        <ns0:v>910067</ns0:v>
      </ns0:c>
      <ns0:c r="C68" s="10" t="inlineStr">
        <ns0:is>
          <ns0:t>생명이 머무는 독도</ns0:t>
        </ns0:is>
      </ns0:c>
      <ns0:c r="D68" s="10" t="n">
        <ns0:v>3</ns0:v>
      </ns0:c>
      <ns0:c r="E68" s="10" t="n">
        <ns0:v>3</ns0:v>
      </ns0:c>
      <ns0:c r="F68" s="10" t="inlineStr">
        <ns0:is>
          <ns0:t>독도에서 번식한다고 소개된 새만 모은 것은 무엇인가요?</ns0:t>
        </ns0:is>
      </ns0:c>
      <ns0:c r="G68" s="10" t="inlineStr">
        <ns0:is>
          <ns0:t>괭이갈매기·황제펭귄·슴새</ns0:t>
        </ns0:is>
      </ns0:c>
      <ns0:c r="H68" s="10" t="inlineStr">
        <ns0:is>
          <ns0:t>괭이갈매기·바다제비·슴새</ns0:t>
        </ns0:is>
      </ns0:c>
      <ns0:c r="I68" s="10" t="inlineStr">
        <ns0:is>
          <ns0:t>바다제비·슴새·타조</ns0:t>
        </ns0:is>
      </ns0:c>
      <ns0:c r="J68" s="10" t="inlineStr"/>
      <ns0:c r="K68" s="10" t="n">
        <ns0:v>2</ns0:v>
      </ns0:c>
      <ns0:c r="L68" s="10" t="inlineStr">
        <ns0:is>
          <ns0:t>자료에서 번식 조류로 제시한 세 종류가 모두 들어 있어요.</ns0:t>
        </ns0:is>
      </ns0:c>
      <ns0:c r="M68" s="10" t="inlineStr">
        <ns0:is>
          <ns0:t>괭이갈매기·바다제비·슴새는 독도에서 번식하는 바닷새로 소개돼요.</ns0:t>
        </ns0:is>
      </ns0:c>
      <ns0:c r="N68" s="10" t="inlineStr">
        <ns0:is>
          <ns0:t>dk-breeding-birds</ns0:t>
        </ns0:is>
      </ns0:c>
      <ns0:c r="O68" s="10" t="inlineStr">
        <ns0:is>
          <ns0:t>대한민국 국가유산청 · 독도 천연보호구역
https://www.heritage.go.kr/heri/cul/culSelectDetail.do?VdkVgwKey=16%2C03360000%2C37&amp;pageNo=1_1_2_0
대한민국 외교부 · 독도의 자연환경
https://dokdo.mofa.go.kr/kor/introduce/nature.jsp</ns0:t>
        </ns0:is>
      </ns0:c>
      <ns0:c r="P68" s="11">
        <ns0:f>LEN(F68)+MAX(LEN(G68),LEN(H68),LEN(I68),LEN(J68))</ns0:f>
        <ns0:v>43</ns0:v>
      </ns0:c>
    </ns0:row>
    <ns0:row r="69" ht="113" customHeight="1">
      <ns0:c r="A69" s="12" t="n">
        <ns0:v>920068</ns0:v>
      </ns0:c>
      <ns0:c r="B69" s="12" t="n">
        <ns0:v>910068</ns0:v>
      </ns0:c>
      <ns0:c r="C69" s="12" t="inlineStr">
        <ns0:is>
          <ns0:t>생명이 머무는 독도</ns0:t>
        </ns0:is>
      </ns0:c>
      <ns0:c r="D69" s="12" t="n">
        <ns0:v>4</ns0:v>
      </ns0:c>
      <ns0:c r="E69" s="12" t="n">
        <ns0:v>3</ns0:v>
      </ns0:c>
      <ns0:c r="F69" s="12" t="inlineStr">
        <ns0:is>
          <ns0:t>독도의 ‘번식지’ 기능을 보여 주는 관찰은 무엇인가요?</ns0:t>
        </ns0:is>
      </ns0:c>
      <ns0:c r="G69" s="12" t="inlineStr">
        <ns0:is>
          <ns0:t>철새가 바위에서 쉬고 곧 떠난다</ns0:t>
        </ns0:is>
      </ns0:c>
      <ns0:c r="H69" s="12" t="inlineStr">
        <ns0:is>
          <ns0:t>새가 섬 위를 지나가며 날아간다</ns0:t>
        </ns0:is>
      </ns0:c>
      <ns0:c r="I69" s="12" t="inlineStr">
        <ns0:is>
          <ns0:t>괭이갈매기가 둥지의 새끼에게 먹이를 준다</ns0:t>
        </ns0:is>
      </ns0:c>
      <ns0:c r="J69" s="12" t="inlineStr"/>
      <ns0:c r="K69" s="12" t="n">
        <ns0:v>3</ns0:v>
      </ns0:c>
      <ns0:c r="L69" s="12" t="inlineStr">
        <ns0:is>
          <ns0:t>둥지에서 새끼를 기르는 행동이므로 번식지를 이용하는 모습이에요.</ns0:t>
        </ns0:is>
      </ns0:c>
      <ns0:c r="M69" s="12" t="inlineStr">
        <ns0:is>
          <ns0:t>괭이갈매기·바다제비·슴새는 독도에서 번식하는 바닷새로 소개돼요.</ns0:t>
        </ns0:is>
      </ns0:c>
      <ns0:c r="N69" s="12" t="inlineStr">
        <ns0:is>
          <ns0:t>dk-breeding-birds</ns0:t>
        </ns0:is>
      </ns0:c>
      <ns0:c r="O69" s="12" t="inlineStr">
        <ns0:is>
          <ns0:t>대한민국 국가유산청 · 독도 천연보호구역
https://www.heritage.go.kr/heri/cul/culSelectDetail.do?VdkVgwKey=16%2C03360000%2C37&amp;pageNo=1_1_2_0
대한민국 외교부 · 독도의 자연환경
https://dokdo.mofa.go.kr/kor/introduce/nature.jsp</ns0:t>
        </ns0:is>
      </ns0:c>
      <ns0:c r="P69" s="13">
        <ns0:f>LEN(F69)+MAX(LEN(G69),LEN(H69),LEN(I69),LEN(J69))</ns0:f>
        <ns0:v>52</ns0:v>
      </ns0:c>
    </ns0:row>
    <ns0:row r="70" ht="113" customHeight="1">
      <ns0:c r="A70" s="10" t="n">
        <ns0:v>920069</ns0:v>
      </ns0:c>
      <ns0:c r="B70" s="10" t="n">
        <ns0:v>910069</ns0:v>
      </ns0:c>
      <ns0:c r="C70" s="10" t="inlineStr">
        <ns0:is>
          <ns0:t>생명이 머무는 독도</ns0:t>
        </ns0:is>
      </ns0:c>
      <ns0:c r="D70" s="10" t="n">
        <ns0:v>1</ns0:v>
      </ns0:c>
      <ns0:c r="E70" s="10" t="n">
        <ns0:v>1</ns0:v>
      </ns0:c>
      <ns0:c r="F70" s="10" t="inlineStr">
        <ns0:is>
          <ns0:t>독도 바닷속에서 자라는 바닷말은 어느 것인가요?</ns0:t>
        </ns0:is>
      </ns0:c>
      <ns0:c r="G70" s="10" t="inlineStr">
        <ns0:is>
          <ns0:t>미역</ns0:t>
        </ns0:is>
      </ns0:c>
      <ns0:c r="H70" s="10" t="inlineStr">
        <ns0:is>
          <ns0:t>슴새</ns0:t>
        </ns0:is>
      </ns0:c>
      <ns0:c r="I70" s="10" t="inlineStr">
        <ns0:is>
          <ns0:t>해국</ns0:t>
        </ns0:is>
      </ns0:c>
      <ns0:c r="J70" s="10" t="inlineStr"/>
      <ns0:c r="K70" s="10" t="n">
        <ns0:v>1</ns0:v>
      </ns0:c>
      <ns0:c r="L70" s="10" t="inlineStr">
        <ns0:is>
          <ns0:t>미역은 독도 주변 바다에서 소개하는 바닷말 가운데 하나예요.</ns0:t>
        </ns0:is>
      </ns0:c>
      <ns0:c r="M70" s="10" t="inlineStr">
        <ns0:is>
          <ns0:t>독도에는 하늘을 나는 바닷새와 바닷속에 자라는 바닷말이 함께 있어요.</ns0:t>
        </ns0:is>
      </ns0:c>
      <ns0:c r="N70" s="10" t="inlineStr">
        <ns0:is>
          <ns0:t>dk-birds-and-seaweed</ns0:t>
        </ns0:is>
      </ns0:c>
      <ns0:c r="O70" s="10" t="inlineStr">
        <ns0:is>
          <ns0:t>대한민국 외교부 · 독도의 자연환경
https://dokdo.mofa.go.kr/kor/introduce/nature.jsp
대한민국 국가유산청 · 독도 천연보호구역
https://www.heritage.go.kr/heri/cul/culSelectDetail.do?VdkVgwKey=16%2C03360000%2C37&amp;pageNo=1_1_2_0</ns0:t>
        </ns0:is>
      </ns0:c>
      <ns0:c r="P70" s="11">
        <ns0:f>LEN(F70)+MAX(LEN(G70),LEN(H70),LEN(I70),LEN(J70))</ns0:f>
        <ns0:v>28</ns0:v>
      </ns0:c>
    </ns0:row>
    <ns0:row r="71" ht="113" customHeight="1">
      <ns0:c r="A71" s="12" t="n">
        <ns0:v>920070</ns0:v>
      </ns0:c>
      <ns0:c r="B71" s="12" t="n">
        <ns0:v>910070</ns0:v>
      </ns0:c>
      <ns0:c r="C71" s="12" t="inlineStr">
        <ns0:is>
          <ns0:t>생명이 머무는 독도</ns0:t>
        </ns0:is>
      </ns0:c>
      <ns0:c r="D71" s="12" t="n">
        <ns0:v>2</ns0:v>
      </ns0:c>
      <ns0:c r="E71" s="12" t="n">
        <ns0:v>2</ns0:v>
      </ns0:c>
      <ns0:c r="F71" s="12" t="inlineStr">
        <ns0:is>
          <ns0:t>독도의 괭이갈매기와 미역을 종류별로 짝지으면 무엇인가요?</ns0:t>
        </ns0:is>
      </ns0:c>
      <ns0:c r="G71" s="12" t="inlineStr">
        <ns0:is>
          <ns0:t>바닷말 / 바닷새</ns0:t>
        </ns0:is>
      </ns0:c>
      <ns0:c r="H71" s="12" t="inlineStr">
        <ns0:is>
          <ns0:t>바닷새 / 바닷말</ns0:t>
        </ns0:is>
      </ns0:c>
      <ns0:c r="I71" s="12" t="inlineStr">
        <ns0:is>
          <ns0:t>바닷새 / 바닷새</ns0:t>
        </ns0:is>
      </ns0:c>
      <ns0:c r="J71" s="12" t="inlineStr"/>
      <ns0:c r="K71" s="12" t="n">
        <ns0:v>2</ns0:v>
      </ns0:c>
      <ns0:c r="L71" s="12" t="inlineStr">
        <ns0:is>
          <ns0:t>괭이갈매기는 새이고 미역은 바닷속에서 자라는 해조류예요.</ns0:t>
        </ns0:is>
      </ns0:c>
      <ns0:c r="M71" s="12" t="inlineStr">
        <ns0:is>
          <ns0:t>독도에는 하늘을 나는 바닷새와 바닷속에 자라는 바닷말이 함께 있어요.</ns0:t>
        </ns0:is>
      </ns0:c>
      <ns0:c r="N71" s="12" t="inlineStr">
        <ns0:is>
          <ns0:t>dk-birds-and-seaweed</ns0:t>
        </ns0:is>
      </ns0:c>
      <ns0:c r="O71" s="12" t="inlineStr">
        <ns0:is>
          <ns0:t>대한민국 외교부 · 독도의 자연환경
https://dokdo.mofa.go.kr/kor/introduce/nature.jsp
대한민국 국가유산청 · 독도 천연보호구역
https://www.heritage.go.kr/heri/cul/culSelectDetail.do?VdkVgwKey=16%2C03360000%2C37&amp;pageNo=1_1_2_0</ns0:t>
        </ns0:is>
      </ns0:c>
      <ns0:c r="P71" s="13">
        <ns0:f>LEN(F71)+MAX(LEN(G71),LEN(H71),LEN(I71),LEN(J71))</ns0:f>
        <ns0:v>40</ns0:v>
      </ns0:c>
    </ns0:row>
    <ns0:row r="72" ht="113" customHeight="1">
      <ns0:c r="A72" s="10" t="n">
        <ns0:v>920071</ns0:v>
      </ns0:c>
      <ns0:c r="B72" s="10" t="n">
        <ns0:v>910071</ns0:v>
      </ns0:c>
      <ns0:c r="C72" s="10" t="inlineStr">
        <ns0:is>
          <ns0:t>생명이 머무는 독도</ns0:t>
        </ns0:is>
      </ns0:c>
      <ns0:c r="D72" s="10" t="n">
        <ns0:v>3</ns0:v>
      </ns0:c>
      <ns0:c r="E72" s="10" t="n">
        <ns0:v>3</ns0:v>
      </ns0:c>
      <ns0:c r="F72" s="10" t="inlineStr">
        <ns0:is>
          <ns0:t>‘독도는 해조류(海鳥類)의 번식지’에서 해조류는 무엇을 뜻하나요?</ns0:t>
        </ns0:is>
      </ns0:c>
      <ns0:c r="G72" s="10" t="inlineStr">
        <ns0:is>
          <ns0:t>바닷말</ns0:t>
        </ns0:is>
      </ns0:c>
      <ns0:c r="H72" s="10" t="inlineStr">
        <ns0:is>
          <ns0:t>바다 물고기</ns0:t>
        </ns0:is>
      </ns0:c>
      <ns0:c r="I72" s="10" t="inlineStr">
        <ns0:is>
          <ns0:t>바닷새</ns0:t>
        </ns0:is>
      </ns0:c>
      <ns0:c r="J72" s="10" t="inlineStr"/>
      <ns0:c r="K72" s="10" t="n">
        <ns0:v>3</ns0:v>
      </ns0:c>
      <ns0:c r="L72" s="10" t="inlineStr">
        <ns0:is>
          <ns0:t>새 조(鳥)가 쓰였으므로 바닷새라는 뜻이에요.</ns0:t>
        </ns0:is>
      </ns0:c>
      <ns0:c r="M72" s="10" t="inlineStr">
        <ns0:is>
          <ns0:t>독도에는 하늘을 나는 바닷새와 바닷속에 자라는 바닷말이 함께 있어요.</ns0:t>
        </ns0:is>
      </ns0:c>
      <ns0:c r="N72" s="10" t="inlineStr">
        <ns0:is>
          <ns0:t>dk-birds-and-seaweed</ns0:t>
        </ns0:is>
      </ns0:c>
      <ns0:c r="O72" s="10" t="inlineStr">
        <ns0:is>
          <ns0:t>대한민국 외교부 · 독도의 자연환경
https://dokdo.mofa.go.kr/kor/introduce/nature.jsp
대한민국 국가유산청 · 독도 천연보호구역
https://www.heritage.go.kr/heri/cul/culSelectDetail.do?VdkVgwKey=16%2C03360000%2C37&amp;pageNo=1_1_2_0</ns0:t>
        </ns0:is>
      </ns0:c>
      <ns0:c r="P72" s="11">
        <ns0:f>LEN(F72)+MAX(LEN(G72),LEN(H72),LEN(I72),LEN(J72))</ns0:f>
        <ns0:v>42</ns0:v>
      </ns0:c>
    </ns0:row>
    <ns0:row r="73" ht="113" customHeight="1">
      <ns0:c r="A73" s="12" t="n">
        <ns0:v>920072</ns0:v>
      </ns0:c>
      <ns0:c r="B73" s="12" t="n">
        <ns0:v>910072</ns0:v>
      </ns0:c>
      <ns0:c r="C73" s="12" t="inlineStr">
        <ns0:is>
          <ns0:t>생명이 머무는 독도</ns0:t>
        </ns0:is>
      </ns0:c>
      <ns0:c r="D73" s="12" t="n">
        <ns0:v>4</ns0:v>
      </ns0:c>
      <ns0:c r="E73" s="12" t="n">
        <ns0:v>3</ns0:v>
      </ns0:c>
      <ns0:c r="F73" s="12" t="inlineStr">
        <ns0:is>
          <ns0:t>독도 생물 목록을 ‘바닷말’로만 묶으면 어느 조합인가요?</ns0:t>
        </ns0:is>
      </ns0:c>
      <ns0:c r="G73" s="12" t="inlineStr">
        <ns0:is>
          <ns0:t>미역·다시마</ns0:t>
        </ns0:is>
      </ns0:c>
      <ns0:c r="H73" s="12" t="inlineStr">
        <ns0:is>
          <ns0:t>미역·슴새</ns0:t>
        </ns0:is>
      </ns0:c>
      <ns0:c r="I73" s="12" t="inlineStr">
        <ns0:is>
          <ns0:t>괭이갈매기·바다제비</ns0:t>
        </ns0:is>
      </ns0:c>
      <ns0:c r="J73" s="12" t="inlineStr"/>
      <ns0:c r="K73" s="12" t="n">
        <ns0:v>1</ns0:v>
      </ns0:c>
      <ns0:c r="L73" s="12" t="inlineStr">
        <ns0:is>
          <ns0:t>두 종류 모두 독도 자연환경 안내에 나온 바닷말이에요.</ns0:t>
        </ns0:is>
      </ns0:c>
      <ns0:c r="M73" s="12" t="inlineStr">
        <ns0:is>
          <ns0:t>독도에는 하늘을 나는 바닷새와 바닷속에 자라는 바닷말이 함께 있어요.</ns0:t>
        </ns0:is>
      </ns0:c>
      <ns0:c r="N73" s="12" t="inlineStr">
        <ns0:is>
          <ns0:t>dk-birds-and-seaweed</ns0:t>
        </ns0:is>
      </ns0:c>
      <ns0:c r="O73" s="12" t="inlineStr">
        <ns0:is>
          <ns0:t>대한민국 외교부 · 독도의 자연환경
https://dokdo.mofa.go.kr/kor/introduce/nature.jsp
대한민국 국가유산청 · 독도 천연보호구역
https://www.heritage.go.kr/heri/cul/culSelectDetail.do?VdkVgwKey=16%2C03360000%2C37&amp;pageNo=1_1_2_0</ns0:t>
        </ns0:is>
      </ns0:c>
      <ns0:c r="P73" s="13">
        <ns0:f>LEN(F73)+MAX(LEN(G73),LEN(H73),LEN(I73),LEN(J73))</ns0:f>
        <ns0:v>41</ns0:v>
      </ns0:c>
    </ns0:row>
    <ns0:row r="74" ht="113" customHeight="1">
      <ns0:c r="A74" s="10" t="n">
        <ns0:v>920073</ns0:v>
      </ns0:c>
      <ns0:c r="B74" s="10" t="n">
        <ns0:v>910073</ns0:v>
      </ns0:c>
      <ns0:c r="C74" s="10" t="inlineStr">
        <ns0:is>
          <ns0:t>생명이 머무는 독도</ns0:t>
        </ns0:is>
      </ns0:c>
      <ns0:c r="D74" s="10" t="n">
        <ns0:v>1</ns0:v>
      </ns0:c>
      <ns0:c r="E74" s="10" t="n">
        <ns0:v>1</ns0:v>
      </ns0:c>
      <ns0:c r="F74" s="10" t="inlineStr">
        <ns0:is>
          <ns0:t>독도 땅에 자라는 꽃식물은 어느 것인가요?</ns0:t>
        </ns0:is>
      </ns0:c>
      <ns0:c r="G74" s="10" t="inlineStr">
        <ns0:is>
          <ns0:t>미역</ns0:t>
        </ns0:is>
      </ns0:c>
      <ns0:c r="H74" s="10" t="inlineStr">
        <ns0:is>
          <ns0:t>해국</ns0:t>
        </ns0:is>
      </ns0:c>
      <ns0:c r="I74" s="10" t="inlineStr">
        <ns0:is>
          <ns0:t>다시마</ns0:t>
        </ns0:is>
      </ns0:c>
      <ns0:c r="J74" s="10" t="inlineStr"/>
      <ns0:c r="K74" s="10" t="n">
        <ns0:v>2</ns0:v>
      </ns0:c>
      <ns0:c r="L74" s="10" t="inlineStr">
        <ns0:is>
          <ns0:t>해국은 독도 식물 목록에 소개되는 땅 위 식물이에요.</ns0:t>
        </ns0:is>
      </ns0:c>
      <ns0:c r="M74" s="10" t="inlineStr">
        <ns0:is>
          <ns0:t>독도 땅에는 해국·섬기린초·땅채송화 같은 식물이 자라요.</ns0:t>
        </ns0:is>
      </ns0:c>
      <ns0:c r="N74" s="10" t="inlineStr">
        <ns0:is>
          <ns0:t>dk-coastal-plants</ns0:t>
        </ns0:is>
      </ns0:c>
      <ns0:c r="O74" s="10" t="inlineStr">
        <ns0:is>
          <ns0:t>대한민국 외교부 · 독도의 자연환경
https://dokdo.mofa.go.kr/kor/introduce/nature.jsp</ns0:t>
        </ns0:is>
      </ns0:c>
      <ns0:c r="P74" s="11">
        <ns0:f>LEN(F74)+MAX(LEN(G74),LEN(H74),LEN(I74),LEN(J74))</ns0:f>
        <ns0:v>26</ns0:v>
      </ns0:c>
    </ns0:row>
    <ns0:row r="75" ht="113" customHeight="1">
      <ns0:c r="A75" s="12" t="n">
        <ns0:v>920074</ns0:v>
      </ns0:c>
      <ns0:c r="B75" s="12" t="n">
        <ns0:v>910074</ns0:v>
      </ns0:c>
      <ns0:c r="C75" s="12" t="inlineStr">
        <ns0:is>
          <ns0:t>생명이 머무는 독도</ns0:t>
        </ns0:is>
      </ns0:c>
      <ns0:c r="D75" s="12" t="n">
        <ns0:v>2</ns0:v>
      </ns0:c>
      <ns0:c r="E75" s="12" t="n">
        <ns0:v>2</ns0:v>
      </ns0:c>
      <ns0:c r="F75" s="12" t="inlineStr">
        <ns0:is>
          <ns0:t>독도에서 해국과 섬기린초를 함께 조사한다면 무엇을 조사하는 것인가요?</ns0:t>
        </ns0:is>
      </ns0:c>
      <ns0:c r="G75" s="12" t="inlineStr">
        <ns0:is>
          <ns0:t>번식하는 바닷새</ns0:t>
        </ns0:is>
      </ns0:c>
      <ns0:c r="H75" s="12" t="inlineStr">
        <ns0:is>
          <ns0:t>바닷속 물고기</ns0:t>
        </ns0:is>
      </ns0:c>
      <ns0:c r="I75" s="12" t="inlineStr">
        <ns0:is>
          <ns0:t>땅 위 식물</ns0:t>
        </ns0:is>
      </ns0:c>
      <ns0:c r="J75" s="12" t="inlineStr"/>
      <ns0:c r="K75" s="12" t="n">
        <ns0:v>3</ns0:v>
      </ns0:c>
      <ns0:c r="L75" s="12" t="inlineStr">
        <ns0:is>
          <ns0:t>해국과 섬기린초는 독도 땅에 자라는 식물이에요.</ns0:t>
        </ns0:is>
      </ns0:c>
      <ns0:c r="M75" s="12" t="inlineStr">
        <ns0:is>
          <ns0:t>독도 땅에는 해국·섬기린초·땅채송화 같은 식물이 자라요.</ns0:t>
        </ns0:is>
      </ns0:c>
      <ns0:c r="N75" s="12" t="inlineStr">
        <ns0:is>
          <ns0:t>dk-coastal-plants</ns0:t>
        </ns0:is>
      </ns0:c>
      <ns0:c r="O75" s="12" t="inlineStr">
        <ns0:is>
          <ns0:t>대한민국 외교부 · 독도의 자연환경
https://dokdo.mofa.go.kr/kor/introduce/nature.jsp</ns0:t>
        </ns0:is>
      </ns0:c>
      <ns0:c r="P75" s="13">
        <ns0:f>LEN(F75)+MAX(LEN(G75),LEN(H75),LEN(I75),LEN(J75))</ns0:f>
        <ns0:v>46</ns0:v>
      </ns0:c>
    </ns0:row>
    <ns0:row r="76" ht="113" customHeight="1">
      <ns0:c r="A76" s="10" t="n">
        <ns0:v>920075</ns0:v>
      </ns0:c>
      <ns0:c r="B76" s="10" t="n">
        <ns0:v>910075</ns0:v>
      </ns0:c>
      <ns0:c r="C76" s="10" t="inlineStr">
        <ns0:is>
          <ns0:t>생명이 머무는 독도</ns0:t>
        </ns0:is>
      </ns0:c>
      <ns0:c r="D76" s="10" t="n">
        <ns0:v>3</ns0:v>
      </ns0:c>
      <ns0:c r="E76" s="10" t="n">
        <ns0:v>3</ns0:v>
      </ns0:c>
      <ns0:c r="F76" s="10" t="inlineStr">
        <ns0:is>
          <ns0:t>제시된 독도 목록에서 육상 식물끼리 묶인 것은 무엇인가요?</ns0:t>
        </ns0:is>
      </ns0:c>
      <ns0:c r="G76" s="10" t="inlineStr">
        <ns0:is>
          <ns0:t>섬기린초·땅채송화</ns0:t>
        </ns0:is>
      </ns0:c>
      <ns0:c r="H76" s="10" t="inlineStr">
        <ns0:is>
          <ns0:t>섬기린초·미역</ns0:t>
        </ns0:is>
      </ns0:c>
      <ns0:c r="I76" s="10" t="inlineStr">
        <ns0:is>
          <ns0:t>미역·다시마</ns0:t>
        </ns0:is>
      </ns0:c>
      <ns0:c r="J76" s="10" t="inlineStr"/>
      <ns0:c r="K76" s="10" t="n">
        <ns0:v>1</ns0:v>
      </ns0:c>
      <ns0:c r="L76" s="10" t="inlineStr">
        <ns0:is>
          <ns0:t>두 식물은 육상 식물 목록에 있어요.</ns0:t>
        </ns0:is>
      </ns0:c>
      <ns0:c r="M76" s="10" t="inlineStr">
        <ns0:is>
          <ns0:t>독도 땅에는 해국·섬기린초·땅채송화 같은 식물이 자라요.</ns0:t>
        </ns0:is>
      </ns0:c>
      <ns0:c r="N76" s="10" t="inlineStr">
        <ns0:is>
          <ns0:t>dk-coastal-plants</ns0:t>
        </ns0:is>
      </ns0:c>
      <ns0:c r="O76" s="10" t="inlineStr">
        <ns0:is>
          <ns0:t>대한민국 외교부 · 독도의 자연환경
https://dokdo.mofa.go.kr/kor/introduce/nature.jsp</ns0:t>
        </ns0:is>
      </ns0:c>
      <ns0:c r="P76" s="11">
        <ns0:f>LEN(F76)+MAX(LEN(G76),LEN(H76),LEN(I76),LEN(J76))</ns0:f>
        <ns0:v>41</ns0:v>
      </ns0:c>
    </ns0:row>
    <ns0:row r="77" ht="113" customHeight="1">
      <ns0:c r="A77" s="12" t="n">
        <ns0:v>920076</ns0:v>
      </ns0:c>
      <ns0:c r="B77" s="12" t="n">
        <ns0:v>910076</ns0:v>
      </ns0:c>
      <ns0:c r="C77" s="12" t="inlineStr">
        <ns0:is>
          <ns0:t>생명이 머무는 독도</ns0:t>
        </ns0:is>
      </ns0:c>
      <ns0:c r="D77" s="12" t="n">
        <ns0:v>4</ns0:v>
      </ns0:c>
      <ns0:c r="E77" s="12" t="n">
        <ns0:v>3</ns0:v>
      </ns0:c>
      <ns0:c r="F77" s="12" t="inlineStr">
        <ns0:is>
          <ns0:t>독도 식물 조사에서 미역만 기록했다면 추가해야 할 조사 대상은 무엇인가요?</ns0:t>
        </ns0:is>
      </ns0:c>
      <ns0:c r="G77" s="12" t="inlineStr">
        <ns0:is>
          <ns0:t>다시마 등 바닷말만</ns0:t>
        </ns0:is>
      </ns0:c>
      <ns0:c r="H77" s="12" t="inlineStr">
        <ns0:is>
          <ns0:t>해국·섬기린초 등 땅 위 식물</ns0:t>
        </ns0:is>
      </ns0:c>
      <ns0:c r="I77" s="12" t="inlineStr">
        <ns0:is>
          <ns0:t>괭이갈매기 등 바닷새</ns0:t>
        </ns0:is>
      </ns0:c>
      <ns0:c r="J77" s="12" t="inlineStr"/>
      <ns0:c r="K77" s="12" t="n">
        <ns0:v>2</ns0:v>
      </ns0:c>
      <ns0:c r="L77" s="12" t="inlineStr">
        <ns0:is>
          <ns0:t>미역만으로는 독도 땅의 식물을 조사한 것이 아니므로 육상 식물을 더 살펴야 해요.</ns0:t>
        </ns0:is>
      </ns0:c>
      <ns0:c r="M77" s="12" t="inlineStr">
        <ns0:is>
          <ns0:t>독도 땅에는 해국·섬기린초·땅채송화 같은 식물이 자라요.</ns0:t>
        </ns0:is>
      </ns0:c>
      <ns0:c r="N77" s="12" t="inlineStr">
        <ns0:is>
          <ns0:t>dk-coastal-plants</ns0:t>
        </ns0:is>
      </ns0:c>
      <ns0:c r="O77" s="12" t="inlineStr">
        <ns0:is>
          <ns0:t>대한민국 외교부 · 독도의 자연환경
https://dokdo.mofa.go.kr/kor/introduce/nature.jsp</ns0:t>
        </ns0:is>
      </ns0:c>
      <ns0:c r="P77" s="13">
        <ns0:f>LEN(F77)+MAX(LEN(G77),LEN(H77),LEN(I77),LEN(J77))</ns0:f>
        <ns0:v>57</ns0:v>
      </ns0:c>
    </ns0:row>
    <ns0:row r="78" ht="113" customHeight="1">
      <ns0:c r="A78" s="10" t="n">
        <ns0:v>920077</ns0:v>
      </ns0:c>
      <ns0:c r="B78" s="10" t="n">
        <ns0:v>910077</ns0:v>
      </ns0:c>
      <ns0:c r="C78" s="10" t="inlineStr">
        <ns0:is>
          <ns0:t>생명이 머무는 독도</ns0:t>
        </ns0:is>
      </ns0:c>
      <ns0:c r="D78" s="10" t="n">
        <ns0:v>1</ns0:v>
      </ns0:c>
      <ns0:c r="E78" s="10" t="n">
        <ns0:v>1</ns0:v>
      </ns0:c>
      <ns0:c r="F78" s="10" t="inlineStr">
        <ns0:is>
          <ns0:t>독도에서 자연유산으로 함께 보호하는 대상은 무엇인가요?</ns0:t>
        </ns0:is>
      </ns0:c>
      <ns0:c r="G78" s="10" t="inlineStr">
        <ns0:is>
          <ns0:t>건물만</ns0:t>
        </ns0:is>
      </ns0:c>
      <ns0:c r="H78" s="10" t="inlineStr">
        <ns0:is>
          <ns0:t>배와 선착장만</ns0:t>
        </ns0:is>
      </ns0:c>
      <ns0:c r="I78" s="10" t="inlineStr">
        <ns0:is>
          <ns0:t>생물과 화산 지형</ns0:t>
        </ns0:is>
      </ns0:c>
      <ns0:c r="J78" s="10" t="inlineStr"/>
      <ns0:c r="K78" s="10" t="n">
        <ns0:v>3</ns0:v>
      </ns0:c>
      <ns0:c r="L78" s="10" t="inlineStr">
        <ns0:is>
          <ns0:t>보호 가치는 새뿐 아니라 식물·바다 생물과 화산 지형에도 있어요.</ns0:t>
        </ns0:is>
      </ns0:c>
      <ns0:c r="M78" s="10" t="inlineStr">
        <ns0:is>
          <ns0:t>독도는 바닷새의 번식지뿐 아니라 식물과 화산 지형 등의 가치도 함께 보호하는 곳이에요.</ns0:t>
        </ns0:is>
      </ns0:c>
      <ns0:c r="N78" s="10" t="inlineStr">
        <ns0:is>
          <ns0:t>dk-reserve-scope</ns0:t>
        </ns0:is>
      </ns0:c>
      <ns0:c r="O78" s="10" t="inlineStr">
        <ns0:is>
          <ns0:t>대한민국 국가유산청 · 독도 천연보호구역
https://www.heritage.go.kr/heri/cul/culSelectDetail.do?VdkVgwKey=16%2C03360000%2C37&amp;pageNo=1_1_2_0
대한민국 외교부 · 독도의 자연환경
https://dokdo.mofa.go.kr/kor/introduce/nature.jsp</ns0:t>
        </ns0:is>
      </ns0:c>
      <ns0:c r="P78" s="11">
        <ns0:f>LEN(F78)+MAX(LEN(G78),LEN(H78),LEN(I78),LEN(J78))</ns0:f>
        <ns0:v>39</ns0:v>
      </ns0:c>
    </ns0:row>
    <ns0:row r="79" ht="113" customHeight="1">
      <ns0:c r="A79" s="12" t="n">
        <ns0:v>920078</ns0:v>
      </ns0:c>
      <ns0:c r="B79" s="12" t="n">
        <ns0:v>910078</ns0:v>
      </ns0:c>
      <ns0:c r="C79" s="12" t="inlineStr">
        <ns0:is>
          <ns0:t>생명이 머무는 독도</ns0:t>
        </ns0:is>
      </ns0:c>
      <ns0:c r="D79" s="12" t="n">
        <ns0:v>2</ns0:v>
      </ns0:c>
      <ns0:c r="E79" s="12" t="n">
        <ns0:v>2</ns0:v>
      </ns0:c>
      <ns0:c r="F79" s="12" t="inlineStr">
        <ns0:is>
          <ns0:t>독도 해안 절벽에 남아 있는 자연의 흔적은 무엇인가요?</ns0:t>
        </ns0:is>
      </ns0:c>
      <ns0:c r="G79" s="12" t="inlineStr">
        <ns0:is>
          <ns0:t>화산 형성과 침식</ns0:t>
        </ns0:is>
      </ns0:c>
      <ns0:c r="H79" s="12" t="inlineStr">
        <ns0:is>
          <ns0:t>빙하가 만든 계곡</ns0:t>
        </ns0:is>
      </ns0:c>
      <ns0:c r="I79" s="12" t="inlineStr">
        <ns0:is>
          <ns0:t>강 하구의 모래 퇴적</ns0:t>
        </ns0:is>
      </ns0:c>
      <ns0:c r="J79" s="12" t="inlineStr"/>
      <ns0:c r="K79" s="12" t="n">
        <ns0:v>1</ns0:v>
      </ns0:c>
      <ns0:c r="L79" s="12" t="inlineStr">
        <ns0:is>
          <ns0:t>독도 절벽의 암석과 형태에서 섬이 만들어지고 깎인 과정을 살펴볼 수 있어요.</ns0:t>
        </ns0:is>
      </ns0:c>
      <ns0:c r="M79" s="12" t="inlineStr">
        <ns0:is>
          <ns0:t>독도는 바닷새의 번식지뿐 아니라 식물과 화산 지형 등의 가치도 함께 보호하는 곳이에요.</ns0:t>
        </ns0:is>
      </ns0:c>
      <ns0:c r="N79" s="12" t="inlineStr">
        <ns0:is>
          <ns0:t>dk-reserve-scope</ns0:t>
        </ns0:is>
      </ns0:c>
      <ns0:c r="O79" s="12" t="inlineStr">
        <ns0:is>
          <ns0:t>대한민국 국가유산청 · 독도 천연보호구역
https://www.heritage.go.kr/heri/cul/culSelectDetail.do?VdkVgwKey=16%2C03360000%2C37&amp;pageNo=1_1_2_0
대한민국 외교부 · 독도의 자연환경
https://dokdo.mofa.go.kr/kor/introduce/nature.jsp</ns0:t>
        </ns0:is>
      </ns0:c>
      <ns0:c r="P79" s="13">
        <ns0:f>LEN(F79)+MAX(LEN(G79),LEN(H79),LEN(I79),LEN(J79))</ns0:f>
        <ns0:v>41</ns0:v>
      </ns0:c>
    </ns0:row>
    <ns0:row r="80" ht="113" customHeight="1">
      <ns0:c r="A80" s="10" t="n">
        <ns0:v>920079</ns0:v>
      </ns0:c>
      <ns0:c r="B80" s="10" t="n">
        <ns0:v>910079</ns0:v>
      </ns0:c>
      <ns0:c r="C80" s="10" t="inlineStr">
        <ns0:is>
          <ns0:t>생명이 머무는 독도</ns0:t>
        </ns0:is>
      </ns0:c>
      <ns0:c r="D80" s="10" t="n">
        <ns0:v>3</ns0:v>
      </ns0:c>
      <ns0:c r="E80" s="10" t="n">
        <ns0:v>3</ns0:v>
      </ns0:c>
      <ns0:c r="F80" s="10" t="inlineStr">
        <ns0:is>
          <ns0:t>독도 보호 계획에 ‘바닷새만 보호’라고 적으면 빠지는 대상은 무엇인가요?</ns0:t>
        </ns0:is>
      </ns0:c>
      <ns0:c r="G80" s="10" t="inlineStr">
        <ns0:is>
          <ns0:t>바다제비와 괭이갈매기</ns0:t>
        </ns0:is>
      </ns0:c>
      <ns0:c r="H80" s="10" t="inlineStr">
        <ns0:is>
          <ns0:t>땅 위 식물과 화산 지형</ns0:t>
        </ns0:is>
      </ns0:c>
      <ns0:c r="I80" s="10" t="inlineStr">
        <ns0:is>
          <ns0:t>바닷새의 번식</ns0:t>
        </ns0:is>
      </ns0:c>
      <ns0:c r="J80" s="10" t="inlineStr"/>
      <ns0:c r="K80" s="10" t="n">
        <ns0:v>2</ns0:v>
      </ns0:c>
      <ns0:c r="L80" s="10" t="inlineStr">
        <ns0:is>
          <ns0:t>자료는 새 외에도 식생과 지형을 보호 가치로 제시해요.</ns0:t>
        </ns0:is>
      </ns0:c>
      <ns0:c r="M80" s="10" t="inlineStr">
        <ns0:is>
          <ns0:t>독도는 바닷새의 번식지뿐 아니라 식물과 화산 지형 등의 가치도 함께 보호하는 곳이에요.</ns0:t>
        </ns0:is>
      </ns0:c>
      <ns0:c r="N80" s="10" t="inlineStr">
        <ns0:is>
          <ns0:t>dk-reserve-scope</ns0:t>
        </ns0:is>
      </ns0:c>
      <ns0:c r="O80" s="10" t="inlineStr">
        <ns0:is>
          <ns0:t>대한민국 국가유산청 · 독도 천연보호구역
https://www.heritage.go.kr/heri/cul/culSelectDetail.do?VdkVgwKey=16%2C03360000%2C37&amp;pageNo=1_1_2_0
대한민국 외교부 · 독도의 자연환경
https://dokdo.mofa.go.kr/kor/introduce/nature.jsp</ns0:t>
        </ns0:is>
      </ns0:c>
      <ns0:c r="P80" s="11">
        <ns0:f>LEN(F80)+MAX(LEN(G80),LEN(H80),LEN(I80),LEN(J80))</ns0:f>
        <ns0:v>53</ns0:v>
      </ns0:c>
    </ns0:row>
    <ns0:row r="81" ht="113" customHeight="1">
      <ns0:c r="A81" s="12" t="n">
        <ns0:v>920080</ns0:v>
      </ns0:c>
      <ns0:c r="B81" s="12" t="n">
        <ns0:v>910080</ns0:v>
      </ns0:c>
      <ns0:c r="C81" s="12" t="inlineStr">
        <ns0:is>
          <ns0:t>생명이 머무는 독도</ns0:t>
        </ns0:is>
      </ns0:c>
      <ns0:c r="D81" s="12" t="n">
        <ns0:v>4</ns0:v>
      </ns0:c>
      <ns0:c r="E81" s="12" t="n">
        <ns0:v>4</ns0:v>
      </ns0:c>
      <ns0:c r="F81" s="12" t="inlineStr">
        <ns0:is>
          <ns0:t>독도 탐방 해설판에 보호 가치를 균형 있게 담은 구성은 무엇인가요?</ns0:t>
        </ns0:is>
      </ns0:c>
      <ns0:c r="G81" s="12" t="inlineStr">
        <ns0:is>
          <ns0:t>바닷새 세 종류의 이름만 반복해서 설명</ns0:t>
        </ns0:is>
      </ns0:c>
      <ns0:c r="H81" s="12" t="inlineStr">
        <ns0:is>
          <ns0:t>시설 주소와 배 시간만 설명</ns0:t>
        </ns0:is>
      </ns0:c>
      <ns0:c r="I81" s="12" t="inlineStr">
        <ns0:is>
          <ns0:t>바닷새 번식·육상 식물·화산과 해식 지형을 함께 설명</ns0:t>
        </ns0:is>
      </ns0:c>
      <ns0:c r="J81" s="12" t="inlineStr"/>
      <ns0:c r="K81" s="12" t="n">
        <ns0:v>3</ns0:v>
      </ns0:c>
      <ns0:c r="L81" s="12" t="inlineStr">
        <ns0:is>
          <ns0:t>독도의 생물과 지형을 함께 설명하므로 자료에 제시된 여러 보호 가치를 다뤄요.</ns0:t>
        </ns0:is>
      </ns0:c>
      <ns0:c r="M81" s="12" t="inlineStr">
        <ns0:is>
          <ns0:t>독도는 바닷새의 번식지뿐 아니라 식물과 화산 지형 등의 가치도 함께 보호하는 곳이에요.</ns0:t>
        </ns0:is>
      </ns0:c>
      <ns0:c r="N81" s="12" t="inlineStr">
        <ns0:is>
          <ns0:t>dk-reserve-scope</ns0:t>
        </ns0:is>
      </ns0:c>
      <ns0:c r="O81" s="12" t="inlineStr">
        <ns0:is>
          <ns0:t>대한민국 국가유산청 · 독도 천연보호구역
https://www.heritage.go.kr/heri/cul/culSelectDetail.do?VdkVgwKey=16%2C03360000%2C37&amp;pageNo=1_1_2_0
대한민국 외교부 · 독도의 자연환경
https://dokdo.mofa.go.kr/kor/introduce/nature.jsp</ns0:t>
        </ns0:is>
      </ns0:c>
      <ns0:c r="P81" s="13">
        <ns0:f>LEN(F81)+MAX(LEN(G81),LEN(H81),LEN(I81),LEN(J81))</ns0:f>
        <ns0:v>66</ns0:v>
      </ns0:c>
    </ns0:row>
    <ns0:row r="82" ht="113" customHeight="1">
      <ns0:c r="A82" s="10" t="n">
        <ns0:v>920081</ns0:v>
      </ns0:c>
      <ns0:c r="B82" s="10" t="n">
        <ns0:v>910081</ns0:v>
      </ns0:c>
      <ns0:c r="C82" s="10" t="inlineStr">
        <ns0:is>
          <ns0:t>독도 바다의 연결</ns0:t>
        </ns0:is>
      </ns0:c>
      <ns0:c r="D82" s="10" t="n">
        <ns0:v>1</ns0:v>
      </ns0:c>
      <ns0:c r="E82" s="10" t="n">
        <ns0:v>1</ns0:v>
      </ns0:c>
      <ns0:c r="F82" s="10" t="inlineStr">
        <ns0:is>
          <ns0:t>독도 바다숲을 이루는 큰 바닷말은 어느 것인가요?</ns0:t>
        </ns0:is>
      </ns0:c>
      <ns0:c r="G82" s="10" t="inlineStr">
        <ns0:is>
          <ns0:t>감태</ns0:t>
        </ns0:is>
      </ns0:c>
      <ns0:c r="H82" s="10" t="inlineStr">
        <ns0:is>
          <ns0:t>해국</ns0:t>
        </ns0:is>
      </ns0:c>
      <ns0:c r="I82" s="10" t="inlineStr">
        <ns0:is>
          <ns0:t>섬기린초</ns0:t>
        </ns0:is>
      </ns0:c>
      <ns0:c r="J82" s="10" t="inlineStr"/>
      <ns0:c r="K82" s="10" t="n">
        <ns0:v>1</ns0:v>
      </ns0:c>
      <ns0:c r="L82" s="10" t="inlineStr">
        <ns0:is>
          <ns0:t>감태는 독도 암반 해역에서 바다숲을 이루는 바닷말로 소개돼요.</ns0:t>
        </ns0:is>
      </ns0:c>
      <ns0:c r="M82" s="10" t="inlineStr">
        <ns0:is>
          <ns0:t>독도 바닷속에서는 감태와 대황 같은 큰 바닷말이 바다숲을 이루어요.</ns0:t>
        </ns0:is>
      </ns0:c>
      <ns0:c r="N82" s="10" t="inlineStr">
        <ns0:is>
          <ns0:t>dk-sea-forest</ns0:t>
        </ns0:is>
      </ns0:c>
      <ns0:c r="O82" s="10" t="inlineStr">
        <ns0:is>
          <ns0:t>대한민국 한국해양과학기술원 · 독도 암반생태계
https://www.dokdo.re.kr/home/cms/cmsCont.do?cntnts_sn=87</ns0:t>
        </ns0:is>
      </ns0:c>
      <ns0:c r="P82" s="11">
        <ns0:f>LEN(F82)+MAX(LEN(G82),LEN(H82),LEN(I82),LEN(J82))</ns0:f>
        <ns0:v>31</ns0:v>
      </ns0:c>
    </ns0:row>
    <ns0:row r="83" ht="113" customHeight="1">
      <ns0:c r="A83" s="12" t="n">
        <ns0:v>920082</ns0:v>
      </ns0:c>
      <ns0:c r="B83" s="12" t="n">
        <ns0:v>910082</ns0:v>
      </ns0:c>
      <ns0:c r="C83" s="12" t="inlineStr">
        <ns0:is>
          <ns0:t>독도 바다의 연결</ns0:t>
        </ns0:is>
      </ns0:c>
      <ns0:c r="D83" s="12" t="n">
        <ns0:v>2</ns0:v>
      </ns0:c>
      <ns0:c r="E83" s="12" t="n">
        <ns0:v>2</ns0:v>
      </ns0:c>
      <ns0:c r="F83" s="12" t="inlineStr">
        <ns0:is>
          <ns0:t>감태와 대황이 많이 자라는 독도 바닷속 공간을 무엇이라고 부르나요?</ns0:t>
        </ns0:is>
      </ns0:c>
      <ns0:c r="G83" s="12" t="inlineStr">
        <ns0:is>
          <ns0:t>갯벌</ns0:t>
        </ns0:is>
      </ns0:c>
      <ns0:c r="H83" s="12" t="inlineStr">
        <ns0:is>
          <ns0:t>바다숲</ns0:t>
        </ns0:is>
      </ns0:c>
      <ns0:c r="I83" s="12" t="inlineStr">
        <ns0:is>
          <ns0:t>산호초</ns0:t>
        </ns0:is>
      </ns0:c>
      <ns0:c r="J83" s="12" t="inlineStr"/>
      <ns0:c r="K83" s="12" t="n">
        <ns0:v>2</ns0:v>
      </ns0:c>
      <ns0:c r="L83" s="12" t="inlineStr">
        <ns0:is>
          <ns0:t>큰 바닷말이 숲처럼 자라는 공간을 바다숲이라고 해요.</ns0:t>
        </ns0:is>
      </ns0:c>
      <ns0:c r="M83" s="12" t="inlineStr">
        <ns0:is>
          <ns0:t>독도 바닷속에서는 감태와 대황 같은 큰 바닷말이 바다숲을 이루어요.</ns0:t>
        </ns0:is>
      </ns0:c>
      <ns0:c r="N83" s="12" t="inlineStr">
        <ns0:is>
          <ns0:t>dk-sea-forest</ns0:t>
        </ns0:is>
      </ns0:c>
      <ns0:c r="O83" s="12" t="inlineStr">
        <ns0:is>
          <ns0:t>대한민국 한국해양과학기술원 · 독도 암반생태계
https://www.dokdo.re.kr/home/cms/cmsCont.do?cntnts_sn=87</ns0:t>
        </ns0:is>
      </ns0:c>
      <ns0:c r="P83" s="13">
        <ns0:f>LEN(F83)+MAX(LEN(G83),LEN(H83),LEN(I83),LEN(J83))</ns0:f>
        <ns0:v>40</ns0:v>
      </ns0:c>
    </ns0:row>
    <ns0:row r="84" ht="113" customHeight="1">
      <ns0:c r="A84" s="10" t="n">
        <ns0:v>920083</ns0:v>
      </ns0:c>
      <ns0:c r="B84" s="10" t="n">
        <ns0:v>910083</ns0:v>
      </ns0:c>
      <ns0:c r="C84" s="10" t="inlineStr">
        <ns0:is>
          <ns0:t>독도 바다의 연결</ns0:t>
        </ns0:is>
      </ns0:c>
      <ns0:c r="D84" s="10" t="n">
        <ns0:v>3</ns0:v>
      </ns0:c>
      <ns0:c r="E84" s="10" t="n">
        <ns0:v>3</ns0:v>
      </ns0:c>
      <ns0:c r="F84" s="10" t="inlineStr">
        <ns0:is>
          <ns0:t>자료에서 독도 바다숲을 만드는 생물끼리 짝지은 것은 무엇인가요?</ns0:t>
        </ns0:is>
      </ns0:c>
      <ns0:c r="G84" s="10" t="inlineStr">
        <ns0:is>
          <ns0:t>홍합·거북손</ns0:t>
        </ns0:is>
      </ns0:c>
      <ns0:c r="H84" s="10" t="inlineStr">
        <ns0:is>
          <ns0:t>게·소라</ns0:t>
        </ns0:is>
      </ns0:c>
      <ns0:c r="I84" s="10" t="inlineStr">
        <ns0:is>
          <ns0:t>감태·대황</ns0:t>
        </ns0:is>
      </ns0:c>
      <ns0:c r="J84" s="10" t="inlineStr"/>
      <ns0:c r="K84" s="10" t="n">
        <ns0:v>3</ns0:v>
      </ns0:c>
      <ns0:c r="L84" s="10" t="inlineStr">
        <ns0:is>
          <ns0:t>두 종류는 바다숲을 이루는 큰 해조류로 제시돼요.</ns0:t>
        </ns0:is>
      </ns0:c>
      <ns0:c r="M84" s="10" t="inlineStr">
        <ns0:is>
          <ns0:t>독도 바닷속에서는 감태와 대황 같은 큰 바닷말이 바다숲을 이루어요.</ns0:t>
        </ns0:is>
      </ns0:c>
      <ns0:c r="N84" s="10" t="inlineStr">
        <ns0:is>
          <ns0:t>dk-sea-forest</ns0:t>
        </ns0:is>
      </ns0:c>
      <ns0:c r="O84" s="10" t="inlineStr">
        <ns0:is>
          <ns0:t>대한민국 한국해양과학기술원 · 독도 암반생태계
https://www.dokdo.re.kr/home/cms/cmsCont.do?cntnts_sn=87</ns0:t>
        </ns0:is>
      </ns0:c>
      <ns0:c r="P84" s="11">
        <ns0:f>LEN(F84)+MAX(LEN(G84),LEN(H84),LEN(I84),LEN(J84))</ns0:f>
        <ns0:v>41</ns0:v>
      </ns0:c>
    </ns0:row>
    <ns0:row r="85" ht="113" customHeight="1">
      <ns0:c r="A85" s="12" t="n">
        <ns0:v>920084</ns0:v>
      </ns0:c>
      <ns0:c r="B85" s="12" t="n">
        <ns0:v>910084</ns0:v>
      </ns0:c>
      <ns0:c r="C85" s="12" t="inlineStr">
        <ns0:is>
          <ns0:t>독도 바다의 연결</ns0:t>
        </ns0:is>
      </ns0:c>
      <ns0:c r="D85" s="12" t="n">
        <ns0:v>4</ns0:v>
      </ns0:c>
      <ns0:c r="E85" s="12" t="n">
        <ns0:v>3</ns0:v>
      </ns0:c>
      <ns0:c r="F85" s="12" t="inlineStr">
        <ns0:is>
          <ns0:t>독도 바다숲의 변화를 조사할 때 직접 비교해야 할 것은 무엇인가요?</ns0:t>
        </ns0:is>
      </ns0:c>
      <ns0:c r="G85" s="12" t="inlineStr">
        <ns0:is>
          <ns0:t>같은 해역에서 감태·대황이 덮은 범위</ns0:t>
        </ns0:is>
      </ns0:c>
      <ns0:c r="H85" s="12" t="inlineStr">
        <ns0:is>
          <ns0:t>서로 다른 해역의 수온 한 번씩만</ns0:t>
        </ns0:is>
      </ns0:c>
      <ns0:c r="I85" s="12" t="inlineStr">
        <ns0:is>
          <ns0:t>육상 해국 군락의 넓이만</ns0:t>
        </ns0:is>
      </ns0:c>
      <ns0:c r="J85" s="12" t="inlineStr"/>
      <ns0:c r="K85" s="12" t="n">
        <ns0:v>1</ns0:v>
      </ns0:c>
      <ns0:c r="L85" s="12" t="inlineStr">
        <ns0:is>
          <ns0:t>조사 대상인 바다숲 자체의 범위를 같은 곳에서 비교해요.</ns0:t>
        </ns0:is>
      </ns0:c>
      <ns0:c r="M85" s="12" t="inlineStr">
        <ns0:is>
          <ns0:t>독도 바닷속에서는 감태와 대황 같은 큰 바닷말이 바다숲을 이루어요.</ns0:t>
        </ns0:is>
      </ns0:c>
      <ns0:c r="N85" s="12" t="inlineStr">
        <ns0:is>
          <ns0:t>dk-sea-forest</ns0:t>
        </ns0:is>
      </ns0:c>
      <ns0:c r="O85" s="12" t="inlineStr">
        <ns0:is>
          <ns0:t>대한민국 한국해양과학기술원 · 독도 암반생태계
https://www.dokdo.re.kr/home/cms/cmsCont.do?cntnts_sn=87</ns0:t>
        </ns0:is>
      </ns0:c>
      <ns0:c r="P85" s="13">
        <ns0:f>LEN(F85)+MAX(LEN(G85),LEN(H85),LEN(I85),LEN(J85))</ns0:f>
        <ns0:v>57</ns0:v>
      </ns0:c>
    </ns0:row>
    <ns0:row r="86" ht="113" customHeight="1">
      <ns0:c r="A86" s="10" t="n">
        <ns0:v>920085</ns0:v>
      </ns0:c>
      <ns0:c r="B86" s="10" t="n">
        <ns0:v>910085</ns0:v>
      </ns0:c>
      <ns0:c r="C86" s="10" t="inlineStr">
        <ns0:is>
          <ns0:t>독도 바다의 연결</ns0:t>
        </ns0:is>
      </ns0:c>
      <ns0:c r="D86" s="10" t="n">
        <ns0:v>1</ns0:v>
      </ns0:c>
      <ns0:c r="E86" s="10" t="n">
        <ns0:v>1</ns0:v>
      </ns0:c>
      <ns0:c r="F86" s="10" t="inlineStr">
        <ns0:is>
          <ns0:t>독도 주변에서 함께 만나는 바닷물의 흐름은 무엇인가요?</ns0:t>
        </ns0:is>
      </ns0:c>
      <ns0:c r="G86" s="10" t="inlineStr">
        <ns0:is>
          <ns0:t>따뜻한 흐름만</ns0:t>
        </ns0:is>
      </ns0:c>
      <ns0:c r="H86" s="10" t="inlineStr">
        <ns0:is>
          <ns0:t>따뜻한 흐름과 찬 흐름</ns0:t>
        </ns0:is>
      </ns0:c>
      <ns0:c r="I86" s="10" t="inlineStr">
        <ns0:is>
          <ns0:t>찬 흐름만</ns0:t>
        </ns0:is>
      </ns0:c>
      <ns0:c r="J86" s="10" t="inlineStr"/>
      <ns0:c r="K86" s="10" t="n">
        <ns0:v>2</ns0:v>
      </ns0:c>
      <ns0:c r="L86" s="10" t="inlineStr">
        <ns0:is>
          <ns0:t>독도 해양환경은 난류와 한류가 만나는 영향으로 설명돼요.</ns0:t>
        </ns0:is>
      </ns0:c>
      <ns0:c r="M86" s="10" t="inlineStr">
        <ns0:is>
          <ns0:t>독도 주변에서는 따뜻한 흐름과 찬 흐름이 만나 물이 섞이고 영양분 이동에 영향을 줘요.</ns0:t>
        </ns0:is>
      </ns0:c>
      <ns0:c r="N86" s="10" t="inlineStr">
        <ns0:is>
          <ns0:t>dk-water-mixing</ns0:t>
        </ns0:is>
      </ns0:c>
      <ns0:c r="O86" s="10" t="inlineStr">
        <ns0:is>
          <ns0:t>대한민국 한국해양과학기술원 · 독도 섬효과
https://www.dokdo.re.kr/home/cms/cmsCont.do?cntnts_sn=82</ns0:t>
        </ns0:is>
      </ns0:c>
      <ns0:c r="P86" s="11">
        <ns0:f>LEN(F86)+MAX(LEN(G86),LEN(H86),LEN(I86),LEN(J86))</ns0:f>
        <ns0:v>42</ns0:v>
      </ns0:c>
    </ns0:row>
    <ns0:row r="87" ht="113" customHeight="1">
      <ns0:c r="A87" s="12" t="n">
        <ns0:v>920086</ns0:v>
      </ns0:c>
      <ns0:c r="B87" s="12" t="n">
        <ns0:v>910086</ns0:v>
      </ns0:c>
      <ns0:c r="C87" s="12" t="inlineStr">
        <ns0:is>
          <ns0:t>독도 바다의 연결</ns0:t>
        </ns0:is>
      </ns0:c>
      <ns0:c r="D87" s="12" t="n">
        <ns0:v>2</ns0:v>
      </ns0:c>
      <ns0:c r="E87" s="12" t="n">
        <ns0:v>2</ns0:v>
      </ns0:c>
      <ns0:c r="F87" s="12" t="inlineStr">
        <ns0:is>
          <ns0:t>독도 주변의 깊은 물이 위로 섞이면 식물플랑크톤에 무엇을 공급할 수 있나요?</ns0:t>
        </ns0:is>
      </ns0:c>
      <ns0:c r="G87" s="12" t="inlineStr">
        <ns0:is>
          <ns0:t>햇빛</ns0:t>
        </ns0:is>
      </ns0:c>
      <ns0:c r="H87" s="12" t="inlineStr">
        <ns0:is>
          <ns0:t>바닷새의 알</ns0:t>
        </ns0:is>
      </ns0:c>
      <ns0:c r="I87" s="12" t="inlineStr">
        <ns0:is>
          <ns0:t>영양분</ns0:t>
        </ns0:is>
      </ns0:c>
      <ns0:c r="J87" s="12" t="inlineStr"/>
      <ns0:c r="K87" s="12" t="n">
        <ns0:v>3</ns0:v>
      </ns0:c>
      <ns0:c r="L87" s="12" t="inlineStr">
        <ns0:is>
          <ns0:t>깊은 물에 있던 영양분이 위쪽으로 이동하면 식물플랑크톤 생장에 도움이 될 수 있어요.</ns0:t>
        </ns0:is>
      </ns0:c>
      <ns0:c r="M87" s="12" t="inlineStr">
        <ns0:is>
          <ns0:t>독도 주변에서는 따뜻한 흐름과 찬 흐름이 만나 물이 섞이고 영양분 이동에 영향을 줘요.</ns0:t>
        </ns0:is>
      </ns0:c>
      <ns0:c r="N87" s="12" t="inlineStr">
        <ns0:is>
          <ns0:t>dk-water-mixing</ns0:t>
        </ns0:is>
      </ns0:c>
      <ns0:c r="O87" s="12" t="inlineStr">
        <ns0:is>
          <ns0:t>대한민국 한국해양과학기술원 · 독도 섬효과
https://www.dokdo.re.kr/home/cms/cmsCont.do?cntnts_sn=82</ns0:t>
        </ns0:is>
      </ns0:c>
      <ns0:c r="P87" s="13">
        <ns0:f>LEN(F87)+MAX(LEN(G87),LEN(H87),LEN(I87),LEN(J87))</ns0:f>
        <ns0:v>48</ns0:v>
      </ns0:c>
    </ns0:row>
    <ns0:row r="88" ht="113" customHeight="1">
      <ns0:c r="A88" s="10" t="n">
        <ns0:v>920087</ns0:v>
      </ns0:c>
      <ns0:c r="B88" s="10" t="n">
        <ns0:v>910087</ns0:v>
      </ns0:c>
      <ns0:c r="C88" s="10" t="inlineStr">
        <ns0:is>
          <ns0:t>독도 바다의 연결</ns0:t>
        </ns0:is>
      </ns0:c>
      <ns0:c r="D88" s="10" t="n">
        <ns0:v>3</ns0:v>
      </ns0:c>
      <ns0:c r="E88" s="10" t="n">
        <ns0:v>3</ns0:v>
      </ns0:c>
      <ns0:c r="F88" s="10" t="inlineStr">
        <ns0:is>
          <ns0:t>독도 주변 바닷물 혼합과 영양분 공급의 순서는 무엇인가요?</ns0:t>
        </ns0:is>
      </ns0:c>
      <ns0:c r="G88" s="10" t="inlineStr">
        <ns0:is>
          <ns0:t>수직 혼합 → 깊은 물의 영양분이 상층으로 이동</ns0:t>
        </ns0:is>
      </ns0:c>
      <ns0:c r="H88" s="10" t="inlineStr">
        <ns0:is>
          <ns0:t>수직 혼합 → 상층 영양분을 전부 제거</ns0:t>
        </ns0:is>
      </ns0:c>
      <ns0:c r="I88" s="10" t="inlineStr">
        <ns0:is>
          <ns0:t>수직 혼합 → 영양분 이동이 항상 중단</ns0:t>
        </ns0:is>
      </ns0:c>
      <ns0:c r="J88" s="10" t="inlineStr"/>
      <ns0:c r="K88" s="10" t="n">
        <ns0:v>1</ns0:v>
      </ns0:c>
      <ns0:c r="L88" s="10" t="inlineStr">
        <ns0:is>
          <ns0:t>자료의 혼합과 상층 공급을 순서대로 연결했어요.</ns0:t>
        </ns0:is>
      </ns0:c>
      <ns0:c r="M88" s="10" t="inlineStr">
        <ns0:is>
          <ns0:t>독도 주변에서는 따뜻한 흐름과 찬 흐름이 만나 물이 섞이고 영양분 이동에 영향을 줘요.</ns0:t>
        </ns0:is>
      </ns0:c>
      <ns0:c r="N88" s="10" t="inlineStr">
        <ns0:is>
          <ns0:t>dk-water-mixing</ns0:t>
        </ns0:is>
      </ns0:c>
      <ns0:c r="O88" s="10" t="inlineStr">
        <ns0:is>
          <ns0:t>대한민국 한국해양과학기술원 · 독도 섬효과
https://www.dokdo.re.kr/home/cms/cmsCont.do?cntnts_sn=82</ns0:t>
        </ns0:is>
      </ns0:c>
      <ns0:c r="P88" s="11">
        <ns0:f>LEN(F88)+MAX(LEN(G88),LEN(H88),LEN(I88),LEN(J88))</ns0:f>
        <ns0:v>58</ns0:v>
      </ns0:c>
    </ns0:row>
    <ns0:row r="89" ht="113" customHeight="1">
      <ns0:c r="A89" s="12" t="n">
        <ns0:v>920088</ns0:v>
      </ns0:c>
      <ns0:c r="B89" s="12" t="n">
        <ns0:v>910088</ns0:v>
      </ns0:c>
      <ns0:c r="C89" s="12" t="inlineStr">
        <ns0:is>
          <ns0:t>독도 바다의 연결</ns0:t>
        </ns0:is>
      </ns0:c>
      <ns0:c r="D89" s="12" t="n">
        <ns0:v>4</ns0:v>
      </ns0:c>
      <ns0:c r="E89" s="12" t="n">
        <ns0:v>4</ns0:v>
      </ns0:c>
      <ns0:c r="F89" s="12" t="inlineStr">
        <ns0:is>
          <ns0:t>독도 주변에서 물의 혼합이 줄면 가장 먼저 확인할 변화는 무엇인가요?</ns0:t>
        </ns0:is>
      </ns0:c>
      <ns0:c r="G89" s="12" t="inlineStr">
        <ns0:is>
          <ns0:t>어린 물고기의 전체 개체 수만</ns0:t>
        </ns0:is>
      </ns0:c>
      <ns0:c r="H89" s="12" t="inlineStr">
        <ns0:is>
          <ns0:t>상층으로 공급되는 영양분의 양</ns0:t>
        </ns0:is>
      </ns0:c>
      <ns0:c r="I89" s="12" t="inlineStr">
        <ns0:is>
          <ns0:t>바닷새의 번식 수만</ns0:t>
        </ns0:is>
      </ns0:c>
      <ns0:c r="J89" s="12" t="inlineStr"/>
      <ns0:c r="K89" s="12" t="n">
        <ns0:v>2</ns0:v>
      </ns0:c>
      <ns0:c r="L89" s="12" t="inlineStr">
        <ns0:is>
          <ns0:t>제시된 인과 연결에서 혼합의 직접적인 다음 단계는 영양분 수송이에요.</ns0:t>
        </ns0:is>
      </ns0:c>
      <ns0:c r="M89" s="12" t="inlineStr">
        <ns0:is>
          <ns0:t>독도 주변에서는 따뜻한 흐름과 찬 흐름이 만나 물이 섞이고 영양분 이동에 영향을 줘요.</ns0:t>
        </ns0:is>
      </ns0:c>
      <ns0:c r="N89" s="12" t="inlineStr">
        <ns0:is>
          <ns0:t>dk-water-mixing</ns0:t>
        </ns0:is>
      </ns0:c>
      <ns0:c r="O89" s="12" t="inlineStr">
        <ns0:is>
          <ns0:t>대한민국 한국해양과학기술원 · 독도 섬효과
https://www.dokdo.re.kr/home/cms/cmsCont.do?cntnts_sn=82</ns0:t>
        </ns0:is>
      </ns0:c>
      <ns0:c r="P89" s="13">
        <ns0:f>LEN(F89)+MAX(LEN(G89),LEN(H89),LEN(I89),LEN(J89))</ns0:f>
        <ns0:v>54</ns0:v>
      </ns0:c>
    </ns0:row>
    <ns0:row r="90" ht="113" customHeight="1">
      <ns0:c r="A90" s="10" t="n">
        <ns0:v>920089</ns0:v>
      </ns0:c>
      <ns0:c r="B90" s="10" t="n">
        <ns0:v>910089</ns0:v>
      </ns0:c>
      <ns0:c r="C90" s="10" t="inlineStr">
        <ns0:is>
          <ns0:t>독도 바다의 연결</ns0:t>
        </ns0:is>
      </ns0:c>
      <ns0:c r="D90" s="10" t="n">
        <ns0:v>1</ns0:v>
      </ns0:c>
      <ns0:c r="E90" s="10" t="n">
        <ns0:v>1</ns0:v>
      </ns0:c>
      <ns0:c r="F90" s="10" t="inlineStr">
        <ns0:is>
          <ns0:t>독도 바다 먹이 관계의 바탕이 되는 작은 광합성 생물은 무엇인가요?</ns0:t>
        </ns0:is>
      </ns0:c>
      <ns0:c r="G90" s="10" t="inlineStr">
        <ns0:is>
          <ns0:t>어린 물고기</ns0:t>
        </ns0:is>
      </ns0:c>
      <ns0:c r="H90" s="10" t="inlineStr">
        <ns0:is>
          <ns0:t>강치</ns0:t>
        </ns0:is>
      </ns0:c>
      <ns0:c r="I90" s="10" t="inlineStr">
        <ns0:is>
          <ns0:t>식물플랑크톤</ns0:t>
        </ns0:is>
      </ns0:c>
      <ns0:c r="J90" s="10" t="inlineStr"/>
      <ns0:c r="K90" s="10" t="n">
        <ns0:v>3</ns0:v>
      </ns0:c>
      <ns0:c r="L90" s="10" t="inlineStr">
        <ns0:is>
          <ns0:t>식물플랑크톤은 빛을 이용해 살아가며 다른 생물의 먹이가 될 수 있어요.</ns0:t>
        </ns0:is>
      </ns0:c>
      <ns0:c r="M90" s="10" t="inlineStr">
        <ns0:is>
          <ns0:t>독도 바다에서는 식물플랑크톤에서 동물플랑크톤과 어린 물고기로 먹이 관계가 이어질 수 있어요.</ns0:t>
        </ns0:is>
      </ns0:c>
      <ns0:c r="N90" s="10" t="inlineStr">
        <ns0:is>
          <ns0:t>dk-food-links</ns0:t>
        </ns0:is>
      </ns0:c>
      <ns0:c r="O90" s="10" t="inlineStr">
        <ns0:is>
          <ns0:t>대한민국 한국해양과학기술원 · 독도 섬효과
https://www.dokdo.re.kr/home/cms/cmsCont.do?cntnts_sn=82</ns0:t>
        </ns0:is>
      </ns0:c>
      <ns0:c r="P90" s="11">
        <ns0:f>LEN(F90)+MAX(LEN(G90),LEN(H90),LEN(I90),LEN(J90))</ns0:f>
        <ns0:v>43</ns0:v>
      </ns0:c>
    </ns0:row>
    <ns0:row r="91" ht="113" customHeight="1">
      <ns0:c r="A91" s="12" t="n">
        <ns0:v>920090</ns0:v>
      </ns0:c>
      <ns0:c r="B91" s="12" t="n">
        <ns0:v>910090</ns0:v>
      </ns0:c>
      <ns0:c r="C91" s="12" t="inlineStr">
        <ns0:is>
          <ns0:t>독도 바다의 연결</ns0:t>
        </ns0:is>
      </ns0:c>
      <ns0:c r="D91" s="12" t="n">
        <ns0:v>2</ns0:v>
      </ns0:c>
      <ns0:c r="E91" s="12" t="n">
        <ns0:v>2</ns0:v>
      </ns0:c>
      <ns0:c r="F91" s="12" t="inlineStr">
        <ns0:is>
          <ns0:t>독도 바다의 먹이 연결에서 식물플랑크톤을 먹는 것은 무엇인가요?</ns0:t>
        </ns0:is>
      </ns0:c>
      <ns0:c r="G91" s="12" t="inlineStr">
        <ns0:is>
          <ns0:t>동물플랑크톤</ns0:t>
        </ns0:is>
      </ns0:c>
      <ns0:c r="H91" s="12" t="inlineStr">
        <ns0:is>
          <ns0:t>감태</ns0:t>
        </ns0:is>
      </ns0:c>
      <ns0:c r="I91" s="12" t="inlineStr">
        <ns0:is>
          <ns0:t>대황</ns0:t>
        </ns0:is>
      </ns0:c>
      <ns0:c r="J91" s="12" t="inlineStr"/>
      <ns0:c r="K91" s="12" t="n">
        <ns0:v>1</ns0:v>
      </ns0:c>
      <ns0:c r="L91" s="12" t="inlineStr">
        <ns0:is>
          <ns0:t>제시한 연결에서 동물플랑크톤이 식물플랑크톤을 먹고 어린 물고기의 먹이가 돼요.</ns0:t>
        </ns0:is>
      </ns0:c>
      <ns0:c r="M91" s="12" t="inlineStr">
        <ns0:is>
          <ns0:t>독도 바다에서는 식물플랑크톤에서 동물플랑크톤과 어린 물고기로 먹이 관계가 이어질 수 있어요.</ns0:t>
        </ns0:is>
      </ns0:c>
      <ns0:c r="N91" s="12" t="inlineStr">
        <ns0:is>
          <ns0:t>dk-food-links</ns0:t>
        </ns0:is>
      </ns0:c>
      <ns0:c r="O91" s="12" t="inlineStr">
        <ns0:is>
          <ns0:t>대한민국 한국해양과학기술원 · 독도 섬효과
https://www.dokdo.re.kr/home/cms/cmsCont.do?cntnts_sn=82</ns0:t>
        </ns0:is>
      </ns0:c>
      <ns0:c r="P91" s="13">
        <ns0:f>LEN(F91)+MAX(LEN(G91),LEN(H91),LEN(I91),LEN(J91))</ns0:f>
        <ns0:v>41</ns0:v>
      </ns0:c>
    </ns0:row>
    <ns0:row r="92" ht="113" customHeight="1">
      <ns0:c r="A92" s="10" t="n">
        <ns0:v>920091</ns0:v>
      </ns0:c>
      <ns0:c r="B92" s="10" t="n">
        <ns0:v>910091</ns0:v>
      </ns0:c>
      <ns0:c r="C92" s="10" t="inlineStr">
        <ns0:is>
          <ns0:t>독도 바다의 연결</ns0:t>
        </ns0:is>
      </ns0:c>
      <ns0:c r="D92" s="10" t="n">
        <ns0:v>3</ns0:v>
      </ns0:c>
      <ns0:c r="E92" s="10" t="n">
        <ns0:v>3</ns0:v>
      </ns0:c>
      <ns0:c r="F92" s="10" t="inlineStr">
        <ns0:is>
          <ns0:t>제시된 먹이 관계에서 동물플랑크톤을 먹는 생물은 무엇인가요?</ns0:t>
        </ns0:is>
      </ns0:c>
      <ns0:c r="G92" s="10" t="inlineStr">
        <ns0:is>
          <ns0:t>식물플랑크톤</ns0:t>
        </ns0:is>
      </ns0:c>
      <ns0:c r="H92" s="10" t="inlineStr">
        <ns0:is>
          <ns0:t>어린 물고기</ns0:t>
        </ns0:is>
      </ns0:c>
      <ns0:c r="I92" s="10" t="inlineStr">
        <ns0:is>
          <ns0:t>감태</ns0:t>
        </ns0:is>
      </ns0:c>
      <ns0:c r="J92" s="10" t="inlineStr"/>
      <ns0:c r="K92" s="10" t="n">
        <ns0:v>2</ns0:v>
      </ns0:c>
      <ns0:c r="L92" s="10" t="inlineStr">
        <ns0:is>
          <ns0:t>화살표가 동물플랑크톤에서 어린 물고기로 이어져요.</ns0:t>
        </ns0:is>
      </ns0:c>
      <ns0:c r="M92" s="10" t="inlineStr">
        <ns0:is>
          <ns0:t>독도 바다에서는 식물플랑크톤에서 동물플랑크톤과 어린 물고기로 먹이 관계가 이어질 수 있어요.</ns0:t>
        </ns0:is>
      </ns0:c>
      <ns0:c r="N92" s="10" t="inlineStr">
        <ns0:is>
          <ns0:t>dk-food-links</ns0:t>
        </ns0:is>
      </ns0:c>
      <ns0:c r="O92" s="10" t="inlineStr">
        <ns0:is>
          <ns0:t>대한민국 한국해양과학기술원 · 독도 섬효과
https://www.dokdo.re.kr/home/cms/cmsCont.do?cntnts_sn=82</ns0:t>
        </ns0:is>
      </ns0:c>
      <ns0:c r="P92" s="11">
        <ns0:f>LEN(F92)+MAX(LEN(G92),LEN(H92),LEN(I92),LEN(J92))</ns0:f>
        <ns0:v>39</ns0:v>
      </ns0:c>
    </ns0:row>
    <ns0:row r="93" ht="113" customHeight="1">
      <ns0:c r="A93" s="12" t="n">
        <ns0:v>920092</ns0:v>
      </ns0:c>
      <ns0:c r="B93" s="12" t="n">
        <ns0:v>910092</ns0:v>
      </ns0:c>
      <ns0:c r="C93" s="12" t="inlineStr">
        <ns0:is>
          <ns0:t>독도 바다의 연결</ns0:t>
        </ns0:is>
      </ns0:c>
      <ns0:c r="D93" s="12" t="n">
        <ns0:v>4</ns0:v>
      </ns0:c>
      <ns0:c r="E93" s="12" t="n">
        <ns0:v>4</ns0:v>
      </ns0:c>
      <ns0:c r="F93" s="12" t="inlineStr">
        <ns0:is>
          <ns0:t>독도 바다에서 어린 물고기의 먹이 공급을 살피려면 함께 조사할 생물은 무엇인가요?</ns0:t>
        </ns0:is>
      </ns0:c>
      <ns0:c r="G93" s="12" t="inlineStr">
        <ns0:is>
          <ns0:t>해안 바닷새의 둥지 수만</ns0:t>
        </ns0:is>
      </ns0:c>
      <ns0:c r="H93" s="12" t="inlineStr">
        <ns0:is>
          <ns0:t>섬 위 육상 식물의 종류만</ns0:t>
        </ns0:is>
      </ns0:c>
      <ns0:c r="I93" s="12" t="inlineStr">
        <ns0:is>
          <ns0:t>먹이가 되는 동물플랑크톤의 양</ns0:t>
        </ns0:is>
      </ns0:c>
      <ns0:c r="J93" s="12" t="inlineStr"/>
      <ns0:c r="K93" s="12" t="n">
        <ns0:v>3</ns0:v>
      </ns0:c>
      <ns0:c r="L93" s="12" t="inlineStr">
        <ns0:is>
          <ns0:t>제시된 관계에서 어린 물고기가 직접 먹는 생물을 조사해요.</ns0:t>
        </ns0:is>
      </ns0:c>
      <ns0:c r="M93" s="12" t="inlineStr">
        <ns0:is>
          <ns0:t>독도 바다에서는 식물플랑크톤에서 동물플랑크톤과 어린 물고기로 먹이 관계가 이어질 수 있어요.</ns0:t>
        </ns0:is>
      </ns0:c>
      <ns0:c r="N93" s="12" t="inlineStr">
        <ns0:is>
          <ns0:t>dk-food-links</ns0:t>
        </ns0:is>
      </ns0:c>
      <ns0:c r="O93" s="12" t="inlineStr">
        <ns0:is>
          <ns0:t>대한민국 한국해양과학기술원 · 독도 섬효과
https://www.dokdo.re.kr/home/cms/cmsCont.do?cntnts_sn=82</ns0:t>
        </ns0:is>
      </ns0:c>
      <ns0:c r="P93" s="13">
        <ns0:f>LEN(F93)+MAX(LEN(G93),LEN(H93),LEN(I93),LEN(J93))</ns0:f>
        <ns0:v>61</ns0:v>
      </ns0:c>
    </ns0:row>
    <ns0:row r="94" ht="113" customHeight="1">
      <ns0:c r="A94" s="10" t="n">
        <ns0:v>920093</ns0:v>
      </ns0:c>
      <ns0:c r="B94" s="10" t="n">
        <ns0:v>910093</ns0:v>
      </ns0:c>
      <ns0:c r="C94" s="10" t="inlineStr">
        <ns0:is>
          <ns0:t>독도 바다의 연결</ns0:t>
        </ns0:is>
      </ns0:c>
      <ns0:c r="D94" s="10" t="n">
        <ns0:v>1</ns0:v>
      </ns0:c>
      <ns0:c r="E94" s="10" t="n">
        <ns0:v>1</ns0:v>
      </ns0:c>
      <ns0:c r="F94" s="10" t="inlineStr">
        <ns0:is>
          <ns0:t>과거 독도에 무리 지어 살았지만 사라진 바다 포유류는 무엇인가요?</ns0:t>
        </ns0:is>
      </ns0:c>
      <ns0:c r="G94" s="10" t="inlineStr">
        <ns0:is>
          <ns0:t>강치</ns0:t>
        </ns0:is>
      </ns0:c>
      <ns0:c r="H94" s="10" t="inlineStr">
        <ns0:is>
          <ns0:t>해달</ns0:t>
        </ns0:is>
      </ns0:c>
      <ns0:c r="I94" s="10" t="inlineStr">
        <ns0:is>
          <ns0:t>바다표범</ns0:t>
        </ns0:is>
      </ns0:c>
      <ns0:c r="J94" s="10" t="inlineStr"/>
      <ns0:c r="K94" s="10" t="n">
        <ns0:v>1</ns0:v>
      </ns0:c>
      <ns0:c r="L94" s="10" t="inlineStr">
        <ns0:is>
          <ns0:t>독도 포획 기록과 개체군 연구의 대상은 멸종한 강치예요.</ns0:t>
        </ns0:is>
      </ns0:c>
      <ns0:c r="M94" s="10" t="inlineStr">
        <ns0:is>
          <ns0:t>독도에는 강치가 살았으며, 지나친 포획은 강치의 감소와 멸종에 큰 영향을 주었어요.</ns0:t>
        </ns0:is>
      </ns0:c>
      <ns0:c r="N94" s="10" t="inlineStr">
        <ns0:is>
          <ns0:t>dk-gangchi-history</ns0:t>
        </ns0:is>
      </ns0:c>
      <ns0:c r="O94" s="10" t="inlineStr">
        <ns0:is>
          <ns0:t>대한민국 해양수산부 · 독도 강치 연구 발표(2022)
https://www.mof.go.kr/doc/ko/selectDoc.do?bbsSeq=10&amp;docSeq=45126&amp;menuSeq=971
국제 학술지 JMSE · Lee 외 강치 개체군 연구(2022)
https://www.mdpi.com/2077-1312/10/2/271</ns0:t>
        </ns0:is>
      </ns0:c>
      <ns0:c r="P94" s="11">
        <ns0:f>LEN(F94)+MAX(LEN(G94),LEN(H94),LEN(I94),LEN(J94))</ns0:f>
        <ns0:v>40</ns0:v>
      </ns0:c>
    </ns0:row>
    <ns0:row r="95" ht="113" customHeight="1">
      <ns0:c r="A95" s="12" t="n">
        <ns0:v>920094</ns0:v>
      </ns0:c>
      <ns0:c r="B95" s="12" t="n">
        <ns0:v>910094</ns0:v>
      </ns0:c>
      <ns0:c r="C95" s="12" t="inlineStr">
        <ns0:is>
          <ns0:t>독도 바다의 연결</ns0:t>
        </ns0:is>
      </ns0:c>
      <ns0:c r="D95" s="12" t="n">
        <ns0:v>2</ns0:v>
      </ns0:c>
      <ns0:c r="E95" s="12" t="n">
        <ns0:v>2</ns0:v>
      </ns0:c>
      <ns0:c r="F95" s="12" t="inlineStr">
        <ns0:is>
          <ns0:t>독도 강치를 크게 줄어들게 한 인간 활동은 무엇인가요?</ns0:t>
        </ns0:is>
      </ns0:c>
      <ns0:c r="G95" s="12" t="inlineStr">
        <ns0:is>
          <ns0:t>섬의 농경지 확대</ns0:t>
        </ns0:is>
      </ns0:c>
      <ns0:c r="H95" s="12" t="inlineStr">
        <ns0:is>
          <ns0:t>지나치게 많은 포획</ns0:t>
        </ns0:is>
      </ns0:c>
      <ns0:c r="I95" s="12" t="inlineStr">
        <ns0:is>
          <ns0:t>바다숲 채집만</ns0:t>
        </ns0:is>
      </ns0:c>
      <ns0:c r="J95" s="12" t="inlineStr"/>
      <ns0:c r="K95" s="12" t="n">
        <ns0:v>2</ns0:v>
      </ns0:c>
      <ns0:c r="L95" s="12" t="inlineStr">
        <ns0:is>
          <ns0:t>남아 있는 포획 기록을 이용한 연구는 강한 포획 압력이 감소에 크게 작용했음을 설명해요.</ns0:t>
        </ns0:is>
      </ns0:c>
      <ns0:c r="M95" s="12" t="inlineStr">
        <ns0:is>
          <ns0:t>독도에는 강치가 살았으며, 지나친 포획은 강치의 감소와 멸종에 큰 영향을 주었어요.</ns0:t>
        </ns0:is>
      </ns0:c>
      <ns0:c r="N95" s="12" t="inlineStr">
        <ns0:is>
          <ns0:t>dk-gangchi-history</ns0:t>
        </ns0:is>
      </ns0:c>
      <ns0:c r="O95" s="12" t="inlineStr">
        <ns0:is>
          <ns0:t>대한민국 해양수산부 · 독도 강치 연구 발표(2022)
https://www.mof.go.kr/doc/ko/selectDoc.do?bbsSeq=10&amp;docSeq=45126&amp;menuSeq=971
국제 학술지 JMSE · Lee 외 강치 개체군 연구(2022)
https://www.mdpi.com/2077-1312/10/2/271</ns0:t>
        </ns0:is>
      </ns0:c>
      <ns0:c r="P95" s="13">
        <ns0:f>LEN(F95)+MAX(LEN(G95),LEN(H95),LEN(I95),LEN(J95))</ns0:f>
        <ns0:v>40</ns0:v>
      </ns0:c>
    </ns0:row>
    <ns0:row r="96" ht="113" customHeight="1">
      <ns0:c r="A96" s="10" t="n">
        <ns0:v>920095</ns0:v>
      </ns0:c>
      <ns0:c r="B96" s="10" t="n">
        <ns0:v>910095</ns0:v>
      </ns0:c>
      <ns0:c r="C96" s="10" t="inlineStr">
        <ns0:is>
          <ns0:t>독도 바다의 연결</ns0:t>
        </ns0:is>
      </ns0:c>
      <ns0:c r="D96" s="10" t="n">
        <ns0:v>3</ns0:v>
      </ns0:c>
      <ns0:c r="E96" s="10" t="n">
        <ns0:v>3</ns0:v>
      </ns0:c>
      <ns0:c r="F96" s="10" t="inlineStr">
        <ns0:is>
          <ns0:t>독도 강치 연구가 이용한 과거 인간 활동 기록은 무엇인가요?</ns0:t>
        </ns0:is>
      </ns0:c>
      <ns0:c r="G96" s="10" t="inlineStr">
        <ns0:is>
          <ns0:t>바닷새의 연도별 둥지 수만</ns0:t>
        </ns0:is>
      </ns0:c>
      <ns0:c r="H96" s="10" t="inlineStr">
        <ns0:is>
          <ns0:t>현재 물고기의 어획량만</ns0:t>
        </ns0:is>
      </ns0:c>
      <ns0:c r="I96" s="10" t="inlineStr">
        <ns0:is>
          <ns0:t>강치의 연도별 포획 기록</ns0:t>
        </ns0:is>
      </ns0:c>
      <ns0:c r="J96" s="10" t="inlineStr"/>
      <ns0:c r="K96" s="10" t="n">
        <ns0:v>3</ns0:v>
      </ns0:c>
      <ns0:c r="L96" s="10" t="inlineStr">
        <ns0:is>
          <ns0:t>포획 자료를 모형에 넣어 개체군 변화의 한 요인을 계산했어요.</ns0:t>
        </ns0:is>
      </ns0:c>
      <ns0:c r="M96" s="10" t="inlineStr">
        <ns0:is>
          <ns0:t>독도에는 강치가 살았으며, 지나친 포획은 강치의 감소와 멸종에 큰 영향을 주었어요.</ns0:t>
        </ns0:is>
      </ns0:c>
      <ns0:c r="N96" s="10" t="inlineStr">
        <ns0:is>
          <ns0:t>dk-gangchi-history</ns0:t>
        </ns0:is>
      </ns0:c>
      <ns0:c r="O96" s="10" t="inlineStr">
        <ns0:is>
          <ns0:t>대한민국 해양수산부 · 독도 강치 연구 발표(2022)
https://www.mof.go.kr/doc/ko/selectDoc.do?bbsSeq=10&amp;docSeq=45126&amp;menuSeq=971
국제 학술지 JMSE · Lee 외 강치 개체군 연구(2022)
https://www.mdpi.com/2077-1312/10/2/271</ns0:t>
        </ns0:is>
      </ns0:c>
      <ns0:c r="P96" s="11">
        <ns0:f>LEN(F96)+MAX(LEN(G96),LEN(H96),LEN(I96),LEN(J96))</ns0:f>
        <ns0:v>47</ns0:v>
      </ns0:c>
    </ns0:row>
    <ns0:row r="97" ht="113" customHeight="1">
      <ns0:c r="A97" s="12" t="n">
        <ns0:v>920096</ns0:v>
      </ns0:c>
      <ns0:c r="B97" s="12" t="n">
        <ns0:v>910096</ns0:v>
      </ns0:c>
      <ns0:c r="C97" s="12" t="inlineStr">
        <ns0:is>
          <ns0:t>독도 바다의 연결</ns0:t>
        </ns0:is>
      </ns0:c>
      <ns0:c r="D97" s="12" t="n">
        <ns0:v>4</ns0:v>
      </ns0:c>
      <ns0:c r="E97" s="12" t="n">
        <ns0:v>3</ns0:v>
      </ns0:c>
      <ns0:c r="F97" s="12" t="inlineStr">
        <ns0:is>
          <ns0:t>강치 모형에서 포획 압력이 커질 때 직접 늘어나는 항목은 무엇인가요?</ns0:t>
        </ns0:is>
      </ns0:c>
      <ns0:c r="G97" s="12" t="inlineStr">
        <ns0:is>
          <ns0:t>사람에게 잡혀 개체군에서 빠지는 수</ns0:t>
        </ns0:is>
      </ns0:c>
      <ns0:c r="H97" s="12" t="inlineStr">
        <ns0:is>
          <ns0:t>태어나는 새끼 수</ns0:t>
        </ns0:is>
      </ns0:c>
      <ns0:c r="I97" s="12" t="inlineStr">
        <ns0:is>
          <ns0:t>과거 조사에 실제 관찰된 수</ns0:t>
        </ns0:is>
      </ns0:c>
      <ns0:c r="J97" s="12" t="inlineStr"/>
      <ns0:c r="K97" s="12" t="n">
        <ns0:v>1</ns0:v>
      </ns0:c>
      <ns0:c r="L97" s="12" t="inlineStr">
        <ns0:is>
          <ns0:t>포획 압력의 직접적인 효과는 잡히는 개체의 증가예요. 번식에 의한 보충과 함께 비교해요.</ns0:t>
        </ns0:is>
      </ns0:c>
      <ns0:c r="M97" s="12" t="inlineStr">
        <ns0:is>
          <ns0:t>독도에는 강치가 살았으며, 지나친 포획은 강치의 감소와 멸종에 큰 영향을 주었어요.</ns0:t>
        </ns0:is>
      </ns0:c>
      <ns0:c r="N97" s="12" t="inlineStr">
        <ns0:is>
          <ns0:t>dk-gangchi-history</ns0:t>
        </ns0:is>
      </ns0:c>
      <ns0:c r="O97" s="12" t="inlineStr">
        <ns0:is>
          <ns0:t>대한민국 해양수산부 · 독도 강치 연구 발표(2022)
https://www.mof.go.kr/doc/ko/selectDoc.do?bbsSeq=10&amp;docSeq=45126&amp;menuSeq=971
국제 학술지 JMSE · Lee 외 강치 개체군 연구(2022)
https://www.mdpi.com/2077-1312/10/2/271</ns0:t>
        </ns0:is>
      </ns0:c>
      <ns0:c r="P97" s="13">
        <ns0:f>LEN(F97)+MAX(LEN(G97),LEN(H97),LEN(I97),LEN(J97))</ns0:f>
        <ns0:v>57</ns0:v>
      </ns0:c>
    </ns0:row>
    <ns0:row r="98" ht="113" customHeight="1">
      <ns0:c r="A98" s="10" t="n">
        <ns0:v>920097</ns0:v>
      </ns0:c>
      <ns0:c r="B98" s="10" t="n">
        <ns0:v>910097</ns0:v>
      </ns0:c>
      <ns0:c r="C98" s="10" t="inlineStr">
        <ns0:is>
          <ns0:t>독도 바다의 연결</ns0:t>
        </ns0:is>
      </ns0:c>
      <ns0:c r="D98" s="10" t="n">
        <ns0:v>1</ns0:v>
      </ns0:c>
      <ns0:c r="E98" s="10" t="n">
        <ns0:v>1</ns0:v>
      </ns0:c>
      <ns0:c r="F98" s="10" t="inlineStr">
        <ns0:is>
          <ns0:t>옛 강치 기록으로 당시 개체 수를 계산한 값은 무엇이라고 하나요?</ns0:t>
        </ns0:is>
      </ns0:c>
      <ns0:c r="G98" s="10" t="inlineStr">
        <ns0:is>
          <ns0:t>당시의 전수 관찰값</ns0:t>
        </ns0:is>
      </ns0:c>
      <ns0:c r="H98" s="10" t="inlineStr">
        <ns0:is>
          <ns0:t>추정값</ns0:t>
        </ns0:is>
      </ns0:c>
      <ns0:c r="I98" s="10" t="inlineStr">
        <ns0:is>
          <ns0:t>오늘의 실시간 개체 수</ns0:t>
        </ns0:is>
      </ns0:c>
      <ns0:c r="J98" s="10" t="inlineStr"/>
      <ns0:c r="K98" s="10" t="n">
        <ns0:v>2</ns0:v>
      </ns0:c>
      <ns0:c r="L98" s="10" t="inlineStr">
        <ns0:is>
          <ns0:t>불완전한 기록과 가정으로 계산했으므로 정확한 전수 관찰값과 구분해요.</ns0:t>
        </ns0:is>
      </ns0:c>
      <ns0:c r="M98" s="10" t="inlineStr">
        <ns0:is>
          <ns0:t>과거 강치 개체 수의 모형 추정값은 당시 현장에서 전부 센 값과 구분해야 해요.</ns0:t>
        </ns0:is>
      </ns0:c>
      <ns0:c r="N98" s="10" t="inlineStr">
        <ns0:is>
          <ns0:t>dk-model-evidence</ns0:t>
        </ns0:is>
      </ns0:c>
      <ns0:c r="O98" s="10" t="inlineStr">
        <ns0:is>
          <ns0:t>국제 학술지 JMSE · Lee 외 강치 개체군 연구(2022)
https://www.mdpi.com/2077-1312/10/2/271
대한민국 해양수산부 · 독도 강치 연구 발표(2022)
https://www.mof.go.kr/doc/ko/selectDoc.do?bbsSeq=10&amp;docSeq=45126&amp;menuSeq=971</ns0:t>
        </ns0:is>
      </ns0:c>
      <ns0:c r="P98" s="11">
        <ns0:f>LEN(F98)+MAX(LEN(G98),LEN(H98),LEN(I98),LEN(J98))</ns0:f>
        <ns0:v>48</ns0:v>
      </ns0:c>
    </ns0:row>
    <ns0:row r="99" ht="113" customHeight="1">
      <ns0:c r="A99" s="12" t="n">
        <ns0:v>920098</ns0:v>
      </ns0:c>
      <ns0:c r="B99" s="12" t="n">
        <ns0:v>910098</ns0:v>
      </ns0:c>
      <ns0:c r="C99" s="12" t="inlineStr">
        <ns0:is>
          <ns0:t>독도 바다의 연결</ns0:t>
        </ns0:is>
      </ns0:c>
      <ns0:c r="D99" s="12" t="n">
        <ns0:v>2</ns0:v>
      </ns0:c>
      <ns0:c r="E99" s="12" t="n">
        <ns0:v>1</ns0:v>
      </ns0:c>
      <ns0:c r="F99" s="12" t="inlineStr">
        <ns0:is>
          <ns0:t>독도 강치의 ‘포획 수’는 무엇을 센 값인가요?</ns0:t>
        </ns0:is>
      </ns0:c>
      <ns0:c r="G99" s="12" t="inlineStr">
        <ns0:is>
          <ns0:t>당시에 살던 강치 전부</ns0:t>
        </ns0:is>
      </ns0:c>
      <ns0:c r="H99" s="12" t="inlineStr">
        <ns0:is>
          <ns0:t>그해 태어난 강치</ns0:t>
        </ns0:is>
      </ns0:c>
      <ns0:c r="I99" s="12" t="inlineStr">
        <ns0:is>
          <ns0:t>사람에게 잡힌 강치</ns0:t>
        </ns0:is>
      </ns0:c>
      <ns0:c r="J99" s="12" t="inlineStr"/>
      <ns0:c r="K99" s="12" t="n">
        <ns0:v>3</ns0:v>
      </ns0:c>
      <ns0:c r="L99" s="12" t="inlineStr">
        <ns0:is>
          <ns0:t>포획 수는 사람이 잡은 강치를 센 값이에요. 잡히지 않은 강치까지 포함한 전체 개체 수와는 달라요.</ns0:t>
        </ns0:is>
      </ns0:c>
      <ns0:c r="M99" s="12" t="inlineStr">
        <ns0:is>
          <ns0:t>과거 강치 개체 수의 모형 추정값은 당시 현장에서 전부 센 값과 구분해야 해요.</ns0:t>
        </ns0:is>
      </ns0:c>
      <ns0:c r="N99" s="12" t="inlineStr">
        <ns0:is>
          <ns0:t>dk-model-evidence</ns0:t>
        </ns0:is>
      </ns0:c>
      <ns0:c r="O99" s="12" t="inlineStr">
        <ns0:is>
          <ns0:t>국제 학술지 JMSE · Lee 외 강치 개체군 연구(2022)
https://www.mdpi.com/2077-1312/10/2/271
대한민국 해양수산부 · 독도 강치 연구 발표(2022)
https://www.mof.go.kr/doc/ko/selectDoc.do?bbsSeq=10&amp;docSeq=45126&amp;menuSeq=971</ns0:t>
        </ns0:is>
      </ns0:c>
      <ns0:c r="P99" s="13">
        <ns0:f>LEN(F99)+MAX(LEN(G99),LEN(H99),LEN(I99),LEN(J99))</ns0:f>
        <ns0:v>38</ns0:v>
      </ns0:c>
    </ns0:row>
    <ns0:row r="100" ht="113" customHeight="1">
      <ns0:c r="A100" s="10" t="n">
        <ns0:v>920099</ns0:v>
      </ns0:c>
      <ns0:c r="B100" s="10" t="n">
        <ns0:v>910099</ns0:v>
      </ns0:c>
      <ns0:c r="C100" s="10" t="inlineStr">
        <ns0:is>
          <ns0:t>독도 바다의 연결</ns0:t>
        </ns0:is>
      </ns0:c>
      <ns0:c r="D100" s="10" t="n">
        <ns0:v>3</ns0:v>
      </ns0:c>
      <ns0:c r="E100" s="10" t="n">
        <ns0:v>3</ns0:v>
      </ns0:c>
      <ns0:c r="F100" s="10" t="inlineStr">
        <ns0:is>
          <ns0:t>‘모형으로 계산한 강치 수’에 붙일 올바른 자료 표시는 무엇인가요?</ns0:t>
        </ns0:is>
      </ns0:c>
      <ns0:c r="G100" s="10" t="inlineStr">
        <ns0:is>
          <ns0:t>과거 기록과 가정으로 계산한 추정값</ns0:t>
        </ns0:is>
      </ns0:c>
      <ns0:c r="H100" s="10" t="inlineStr">
        <ns0:is>
          <ns0:t>연구자가 당시 강치를 모두 세어 얻은 수</ns0:t>
        </ns0:is>
      </ns0:c>
      <ns0:c r="I100" s="10" t="inlineStr">
        <ns0:is>
          <ns0:t>현재 독도에 사는 강치 수</ns0:t>
        </ns0:is>
      </ns0:c>
      <ns0:c r="J100" s="10" t="inlineStr"/>
      <ns0:c r="K100" s="10" t="n">
        <ns0:v>1</ns0:v>
      </ns0:c>
      <ns0:c r="L100" s="10" t="inlineStr">
        <ns0:is>
          <ns0:t>계산의 성격을 밝혀 관찰한 수와 혼동하지 않게 해요.</ns0:t>
        </ns0:is>
      </ns0:c>
      <ns0:c r="M100" s="10" t="inlineStr">
        <ns0:is>
          <ns0:t>과거 강치 개체 수의 모형 추정값은 당시 현장에서 전부 센 값과 구분해야 해요.</ns0:t>
        </ns0:is>
      </ns0:c>
      <ns0:c r="N100" s="10" t="inlineStr">
        <ns0:is>
          <ns0:t>dk-model-evidence</ns0:t>
        </ns0:is>
      </ns0:c>
      <ns0:c r="O100" s="10" t="inlineStr">
        <ns0:is>
          <ns0:t>국제 학술지 JMSE · Lee 외 강치 개체군 연구(2022)
https://www.mdpi.com/2077-1312/10/2/271
대한민국 해양수산부 · 독도 강치 연구 발표(2022)
https://www.mof.go.kr/doc/ko/selectDoc.do?bbsSeq=10&amp;docSeq=45126&amp;menuSeq=971</ns0:t>
        </ns0:is>
      </ns0:c>
      <ns0:c r="P100" s="11">
        <ns0:f>LEN(F100)+MAX(LEN(G100),LEN(H100),LEN(I100),LEN(J100))</ns0:f>
        <ns0:v>59</ns0:v>
      </ns0:c>
    </ns0:row>
    <ns0:row r="101" ht="113" customHeight="1">
      <ns0:c r="A101" s="12" t="n">
        <ns0:v>920100</ns0:v>
      </ns0:c>
      <ns0:c r="B101" s="12" t="n">
        <ns0:v>910100</ns0:v>
      </ns0:c>
      <ns0:c r="C101" s="12" t="inlineStr">
        <ns0:is>
          <ns0:t>독도 바다의 연결</ns0:t>
        </ns0:is>
      </ns0:c>
      <ns0:c r="D101" s="12" t="n">
        <ns0:v>4</ns0:v>
      </ns0:c>
      <ns0:c r="E101" s="12" t="n">
        <ns0:v>4</ns0:v>
      </ns0:c>
      <ns0:c r="F101" s="12" t="inlineStr">
        <ns0:is>
          <ns0:t>강치 연구의 번식 가정이 달라졌을 때 다시 해야 할 일은 무엇인가요?</ns0:t>
        </ns0:is>
      </ns0:c>
      <ns0:c r="G101" s="12" t="inlineStr">
        <ns0:is>
          <ns0:t>기존 계산값을 직접 관찰값으로 바꾸어 표시</ns0:t>
        </ns0:is>
      </ns0:c>
      <ns0:c r="H101" s="12" t="inlineStr">
        <ns0:is>
          <ns0:t>바뀐 가정으로 계산해 결과가 얼마나 달라지는지 비교</ns0:t>
        </ns0:is>
      </ns0:c>
      <ns0:c r="I101" s="12" t="inlineStr">
        <ns0:is>
          <ns0:t>포획 기록의 숫자를 결과에 맞게 바꾸기</ns0:t>
        </ns0:is>
      </ns0:c>
      <ns0:c r="J101" s="12" t="inlineStr"/>
      <ns0:c r="K101" s="12" t="n">
        <ns0:v>2</ns0:v>
      </ns0:c>
      <ns0:c r="L101" s="12" t="inlineStr">
        <ns0:is>
          <ns0:t>모형 결과가 가정에 얼마나 의존하는지 확인하는 방법이에요.</ns0:t>
        </ns0:is>
      </ns0:c>
      <ns0:c r="M101" s="12" t="inlineStr">
        <ns0:is>
          <ns0:t>과거 강치 개체 수의 모형 추정값은 당시 현장에서 전부 센 값과 구분해야 해요.</ns0:t>
        </ns0:is>
      </ns0:c>
      <ns0:c r="N101" s="12" t="inlineStr">
        <ns0:is>
          <ns0:t>dk-model-evidence</ns0:t>
        </ns0:is>
      </ns0:c>
      <ns0:c r="O101" s="12" t="inlineStr">
        <ns0:is>
          <ns0:t>국제 학술지 JMSE · Lee 외 강치 개체군 연구(2022)
https://www.mdpi.com/2077-1312/10/2/271
대한민국 해양수산부 · 독도 강치 연구 발표(2022)
https://www.mof.go.kr/doc/ko/selectDoc.do?bbsSeq=10&amp;docSeq=45126&amp;menuSeq=971</ns0:t>
        </ns0:is>
      </ns0:c>
      <ns0:c r="P101" s="13">
        <ns0:f>LEN(F101)+MAX(LEN(G101),LEN(H101),LEN(I101),LEN(J101))</ns0:f>
        <ns0:v>66</ns0:v>
      </ns0:c>
    </ns0:row>
    <ns0:row r="102" ht="113" customHeight="1">
      <ns0:c r="A102" s="10" t="n">
        <ns0:v>920101</ns0:v>
      </ns0:c>
      <ns0:c r="B102" s="10" t="n">
        <ns0:v>910101</ns0:v>
      </ns0:c>
      <ns0:c r="C102" s="10" t="inlineStr">
        <ns0:is>
          <ns0:t>사람과 시설</ns0:t>
        </ns0:is>
      </ns0:c>
      <ns0:c r="D102" s="10" t="n">
        <ns0:v>1</ns0:v>
      </ns0:c>
      <ns0:c r="E102" s="10" t="n">
        <ns0:v>1</ns0:v>
      </ns0:c>
      <ns0:c r="F102" s="10" t="inlineStr">
        <ns0:is>
          <ns0:t>독도등대는 어느 큰 섬에 있나요?</ns0:t>
        </ns0:is>
      </ns0:c>
      <ns0:c r="G102" s="10" t="inlineStr">
        <ns0:is>
          <ns0:t>서도</ns0:t>
        </ns0:is>
      </ns0:c>
      <ns0:c r="H102" s="10" t="inlineStr">
        <ns0:is>
          <ns0:t>동도</ns0:t>
        </ns0:is>
      </ns0:c>
      <ns0:c r="I102" s="10" t="inlineStr"/>
      <ns0:c r="J102" s="10" t="inlineStr"/>
      <ns0:c r="K102" s="10" t="n">
        <ns0:v>2</ns0:v>
      </ns0:c>
      <ns0:c r="L102" s="10" t="inlineStr">
        <ns0:is>
          <ns0:t>등대는 동도에 있어요. 서도에는 주민숙소가 있어요.</ns0:t>
        </ns0:is>
      </ns0:c>
      <ns0:c r="M102" s="10" t="inlineStr">
        <ns0:is>
          <ns0:t>독도등대는 동도에 있으며, 배가 바다에서 위치를 알아보는 데 도움을 주어요.</ns0:t>
        </ns0:is>
      </ns0:c>
      <ns0:c r="N102" s="10" t="inlineStr">
        <ns0:is>
          <ns0:t>dk-lighthouse</ns0:t>
        </ns0:is>
      </ns0:c>
      <ns0:c r="O102" s="10" t="inlineStr">
        <ns0:is>
          <ns0:t>대한민국 외교부 · 독도 주요시설물
https://dokdo.mofa.go.kr/kor/introduce/facility.jsp</ns0:t>
        </ns0:is>
      </ns0:c>
      <ns0:c r="P102" s="11">
        <ns0:f>LEN(F102)+MAX(LEN(G102),LEN(H102),LEN(I102),LEN(J102))</ns0:f>
        <ns0:v>20</ns0:v>
      </ns0:c>
    </ns0:row>
    <ns0:row r="103" ht="113" customHeight="1">
      <ns0:c r="A103" s="12" t="n">
        <ns0:v>920102</ns0:v>
      </ns0:c>
      <ns0:c r="B103" s="12" t="n">
        <ns0:v>910102</ns0:v>
      </ns0:c>
      <ns0:c r="C103" s="12" t="inlineStr">
        <ns0:is>
          <ns0:t>사람과 시설</ns0:t>
        </ns0:is>
      </ns0:c>
      <ns0:c r="D103" s="12" t="n">
        <ns0:v>2</ns0:v>
      </ns0:c>
      <ns0:c r="E103" s="12" t="n">
        <ns0:v>2</ns0:v>
      </ns0:c>
      <ns0:c r="F103" s="12" t="inlineStr">
        <ns0:is>
          <ns0:t>독도등대가 바다를 지나는 배에 주는 도움은 무엇인가요?</ns0:t>
        </ns0:is>
      </ns0:c>
      <ns0:c r="G103" s="12" t="inlineStr">
        <ns0:is>
          <ns0:t>배가 닿을 접안 공간을 제공한다</ns0:t>
        </ns0:is>
      </ns0:c>
      <ns0:c r="H103" s="12" t="inlineStr">
        <ns0:is>
          <ns0:t>바닷물을 마실 물로 바꾼다</ns0:t>
        </ns0:is>
      </ns0:c>
      <ns0:c r="I103" s="12" t="inlineStr">
        <ns0:is>
          <ns0:t>빛으로 위치를 알아보게 한다</ns0:t>
        </ns0:is>
      </ns0:c>
      <ns0:c r="J103" s="12" t="inlineStr"/>
      <ns0:c r="K103" s="12" t="n">
        <ns0:v>3</ns0:v>
      </ns0:c>
      <ns0:c r="L103" s="12" t="inlineStr">
        <ns0:is>
          <ns0:t>등대의 빛은 배가 바다에서 위치를 파악하는 항해 표지가 돼요.</ns0:t>
        </ns0:is>
      </ns0:c>
      <ns0:c r="M103" s="12" t="inlineStr">
        <ns0:is>
          <ns0:t>독도등대는 동도에 있으며, 배가 바다에서 위치를 알아보는 데 도움을 주어요.</ns0:t>
        </ns0:is>
      </ns0:c>
      <ns0:c r="N103" s="12" t="inlineStr">
        <ns0:is>
          <ns0:t>dk-lighthouse</ns0:t>
        </ns0:is>
      </ns0:c>
      <ns0:c r="O103" s="12" t="inlineStr">
        <ns0:is>
          <ns0:t>대한민국 외교부 · 독도 주요시설물
https://dokdo.mofa.go.kr/kor/introduce/facility.jsp</ns0:t>
        </ns0:is>
      </ns0:c>
      <ns0:c r="P103" s="13">
        <ns0:f>LEN(F103)+MAX(LEN(G103),LEN(H103),LEN(I103),LEN(J103))</ns0:f>
        <ns0:v>47</ns0:v>
      </ns0:c>
    </ns0:row>
    <ns0:row r="104" ht="113" customHeight="1">
      <ns0:c r="A104" s="10" t="n">
        <ns0:v>920103</ns0:v>
      </ns0:c>
      <ns0:c r="B104" s="10" t="n">
        <ns0:v>910103</ns0:v>
      </ns0:c>
      <ns0:c r="C104" s="10" t="inlineStr">
        <ns0:is>
          <ns0:t>사람과 시설</ns0:t>
        </ns0:is>
      </ns0:c>
      <ns0:c r="D104" s="10" t="n">
        <ns0:v>3</ns0:v>
      </ns0:c>
      <ns0:c r="E104" s="10" t="n">
        <ns0:v>3</ns0:v>
      </ns0:c>
      <ns0:c r="F104" s="10" t="inlineStr">
        <ns0:is>
          <ns0:t>동도에서 빛을 이용해 항해를 돕는 시설의 이름은 무엇인가요?</ns0:t>
        </ns0:is>
      </ns0:c>
      <ns0:c r="G104" s="10" t="inlineStr">
        <ns0:is>
          <ns0:t>독도등대</ns0:t>
        </ns0:is>
      </ns0:c>
      <ns0:c r="H104" s="10" t="inlineStr">
        <ns0:is>
          <ns0:t>접안시설</ns0:t>
        </ns0:is>
      </ns0:c>
      <ns0:c r="I104" s="10" t="inlineStr">
        <ns0:is>
          <ns0:t>담수화 시설</ns0:t>
        </ns0:is>
      </ns0:c>
      <ns0:c r="J104" s="10" t="inlineStr"/>
      <ns0:c r="K104" s="10" t="n">
        <ns0:v>1</ns0:v>
      </ns0:c>
      <ns0:c r="L104" s="10" t="inlineStr">
        <ns0:is>
          <ns0:t>위치와 기능을 함께 읽으면 동도의 독도등대를 찾을 수 있어요.</ns0:t>
        </ns0:is>
      </ns0:c>
      <ns0:c r="M104" s="10" t="inlineStr">
        <ns0:is>
          <ns0:t>독도등대는 동도에 있으며, 배가 바다에서 위치를 알아보는 데 도움을 주어요.</ns0:t>
        </ns0:is>
      </ns0:c>
      <ns0:c r="N104" s="10" t="inlineStr">
        <ns0:is>
          <ns0:t>dk-lighthouse</ns0:t>
        </ns0:is>
      </ns0:c>
      <ns0:c r="O104" s="10" t="inlineStr">
        <ns0:is>
          <ns0:t>대한민국 외교부 · 독도 주요시설물
https://dokdo.mofa.go.kr/kor/introduce/facility.jsp</ns0:t>
        </ns0:is>
      </ns0:c>
      <ns0:c r="P104" s="11">
        <ns0:f>LEN(F104)+MAX(LEN(G104),LEN(H104),LEN(I104),LEN(J104))</ns0:f>
        <ns0:v>39</ns0:v>
      </ns0:c>
    </ns0:row>
    <ns0:row r="105" ht="113" customHeight="1">
      <ns0:c r="A105" s="12" t="n">
        <ns0:v>920104</ns0:v>
      </ns0:c>
      <ns0:c r="B105" s="12" t="n">
        <ns0:v>910104</ns0:v>
      </ns0:c>
      <ns0:c r="C105" s="12" t="inlineStr">
        <ns0:is>
          <ns0:t>사람과 시설</ns0:t>
        </ns0:is>
      </ns0:c>
      <ns0:c r="D105" s="12" t="n">
        <ns0:v>4</ns0:v>
      </ns0:c>
      <ns0:c r="E105" s="12" t="n">
        <ns0:v>3</ns0:v>
      </ns0:c>
      <ns0:c r="F105" s="12" t="inlineStr">
        <ns0:is>
          <ns0:t>독도에서 배의 위치 파악과 섬에 닿는 일을 각각 돕는 시설은 무엇인가요?</ns0:t>
        </ns0:is>
      </ns0:c>
      <ns0:c r="G105" s="12" t="inlineStr">
        <ns0:is>
          <ns0:t>접안시설 → 등대</ns0:t>
        </ns0:is>
      </ns0:c>
      <ns0:c r="H105" s="12" t="inlineStr">
        <ns0:is>
          <ns0:t>등대 → 접안시설</ns0:t>
        </ns0:is>
      </ns0:c>
      <ns0:c r="I105" s="12" t="inlineStr">
        <ns0:is>
          <ns0:t>담수시설 → 주민숙소</ns0:t>
        </ns0:is>
      </ns0:c>
      <ns0:c r="J105" s="12" t="inlineStr"/>
      <ns0:c r="K105" s="12" t="n">
        <ns0:v>2</ns0:v>
      </ns0:c>
      <ns0:c r="L105" s="12" t="inlineStr">
        <ns0:is>
          <ns0:t>등대는 항해 중 위치를 알아보게 하고, 접안시설은 실제로 배가 닿게 해요.</ns0:t>
        </ns0:is>
      </ns0:c>
      <ns0:c r="M105" s="12" t="inlineStr">
        <ns0:is>
          <ns0:t>독도등대는 동도에 있으며, 배가 바다에서 위치를 알아보는 데 도움을 주어요.</ns0:t>
        </ns0:is>
      </ns0:c>
      <ns0:c r="N105" s="12" t="inlineStr">
        <ns0:is>
          <ns0:t>dk-lighthouse</ns0:t>
        </ns0:is>
      </ns0:c>
      <ns0:c r="O105" s="12" t="inlineStr">
        <ns0:is>
          <ns0:t>대한민국 외교부 · 독도 주요시설물
https://dokdo.mofa.go.kr/kor/introduce/facility.jsp</ns0:t>
        </ns0:is>
      </ns0:c>
      <ns0:c r="P105" s="13">
        <ns0:f>LEN(F105)+MAX(LEN(G105),LEN(H105),LEN(I105),LEN(J105))</ns0:f>
        <ns0:v>51</ns0:v>
      </ns0:c>
    </ns0:row>
    <ns0:row r="106" ht="113" customHeight="1">
      <ns0:c r="A106" s="10" t="n">
        <ns0:v>920105</ns0:v>
      </ns0:c>
      <ns0:c r="B106" s="10" t="n">
        <ns0:v>910105</ns0:v>
      </ns0:c>
      <ns0:c r="C106" s="10" t="inlineStr">
        <ns0:is>
          <ns0:t>사람과 시설</ns0:t>
        </ns0:is>
      </ns0:c>
      <ns0:c r="D106" s="10" t="n">
        <ns0:v>1</ns0:v>
      </ns0:c>
      <ns0:c r="E106" s="10" t="n">
        <ns0:v>1</ns0:v>
      </ns0:c>
      <ns0:c r="F106" s="10" t="inlineStr">
        <ns0:is>
          <ns0:t>일반 탐방객이 배에서 내리는 독도 선착장은 어느 큰 섬에 있나요?</ns0:t>
        </ns0:is>
      </ns0:c>
      <ns0:c r="G106" s="10" t="inlineStr">
        <ns0:is>
          <ns0:t>동도</ns0:t>
        </ns0:is>
      </ns0:c>
      <ns0:c r="H106" s="10" t="inlineStr">
        <ns0:is>
          <ns0:t>서도</ns0:t>
        </ns0:is>
      </ns0:c>
      <ns0:c r="I106" s="10" t="inlineStr"/>
      <ns0:c r="J106" s="10" t="inlineStr"/>
      <ns0:c r="K106" s="10" t="n">
        <ns0:v>1</ns0:v>
      </ns0:c>
      <ns0:c r="L106" s="10" t="inlineStr">
        <ns0:is>
          <ns0:t>입도 안내에서 일반 탐방객의 관람 공간은 동도 선착장으로 안내해요.</ns0:t>
        </ns0:is>
      </ns0:c>
      <ns0:c r="M106" s="10" t="inlineStr">
        <ns0:is>
          <ns0:t>독도의 주요 접안시설은 동도에 있으며 배가 섬에 닿는 공간이에요.</ns0:t>
        </ns0:is>
      </ns0:c>
      <ns0:c r="N106" s="10" t="inlineStr">
        <ns0:is>
          <ns0:t>dk-dock</ns0:t>
        </ns0:is>
      </ns0:c>
      <ns0:c r="O106" s="10" t="inlineStr">
        <ns0:is>
          <ns0:t>대한민국 외교부 · 독도 주요시설물
https://dokdo.mofa.go.kr/kor/introduce/facility.jsp
대한민국 외교부 · 주민 및 입도 안내
https://dokdo.mofa.go.kr/kor/introduce/residence.jsp</ns0:t>
        </ns0:is>
      </ns0:c>
      <ns0:c r="P106" s="11">
        <ns0:f>LEN(F106)+MAX(LEN(G106),LEN(H106),LEN(I106),LEN(J106))</ns0:f>
        <ns0:v>38</ns0:v>
      </ns0:c>
    </ns0:row>
    <ns0:row r="107" ht="113" customHeight="1">
      <ns0:c r="A107" s="12" t="n">
        <ns0:v>920106</ns0:v>
      </ns0:c>
      <ns0:c r="B107" s="12" t="n">
        <ns0:v>910106</ns0:v>
      </ns0:c>
      <ns0:c r="C107" s="12" t="inlineStr">
        <ns0:is>
          <ns0:t>사람과 시설</ns0:t>
        </ns0:is>
      </ns0:c>
      <ns0:c r="D107" s="12" t="n">
        <ns0:v>2</ns0:v>
      </ns0:c>
      <ns0:c r="E107" s="12" t="n">
        <ns0:v>2</ns0:v>
      </ns0:c>
      <ns0:c r="F107" s="12" t="inlineStr">
        <ns0:is>
          <ns0:t>독도의 ‘접안시설’은 무엇을 하는 곳인가요?</ns0:t>
        </ns0:is>
      </ns0:c>
      <ns0:c r="G107" s="12" t="inlineStr">
        <ns0:is>
          <ns0:t>헬기가 착륙하는 곳</ns0:t>
        </ns0:is>
      </ns0:c>
      <ns0:c r="H107" s="12" t="inlineStr">
        <ns0:is>
          <ns0:t>밤에 빛으로 위치를 알리는 곳</ns0:t>
        </ns0:is>
      </ns0:c>
      <ns0:c r="I107" s="12" t="inlineStr">
        <ns0:is>
          <ns0:t>배가 섬에 닿고 사람이 내리는 곳</ns0:t>
        </ns0:is>
      </ns0:c>
      <ns0:c r="J107" s="12" t="inlineStr"/>
      <ns0:c r="K107" s="12" t="n">
        <ns0:v>3</ns0:v>
      </ns0:c>
      <ns0:c r="L107" s="12" t="inlineStr">
        <ns0:is>
          <ns0:t>접안은 배를 육지나 시설에 대는 일이에요.</ns0:t>
        </ns0:is>
      </ns0:c>
      <ns0:c r="M107" s="12" t="inlineStr">
        <ns0:is>
          <ns0:t>독도의 주요 접안시설은 동도에 있으며 배가 섬에 닿는 공간이에요.</ns0:t>
        </ns0:is>
      </ns0:c>
      <ns0:c r="N107" s="12" t="inlineStr">
        <ns0:is>
          <ns0:t>dk-dock</ns0:t>
        </ns0:is>
      </ns0:c>
      <ns0:c r="O107" s="12" t="inlineStr">
        <ns0:is>
          <ns0:t>대한민국 외교부 · 독도 주요시설물
https://dokdo.mofa.go.kr/kor/introduce/facility.jsp
대한민국 외교부 · 주민 및 입도 안내
https://dokdo.mofa.go.kr/kor/introduce/residence.jsp</ns0:t>
        </ns0:is>
      </ns0:c>
      <ns0:c r="P107" s="13">
        <ns0:f>LEN(F107)+MAX(LEN(G107),LEN(H107),LEN(I107),LEN(J107))</ns0:f>
        <ns0:v>42</ns0:v>
      </ns0:c>
    </ns0:row>
    <ns0:row r="108" ht="113" customHeight="1">
      <ns0:c r="A108" s="10" t="n">
        <ns0:v>920107</ns0:v>
      </ns0:c>
      <ns0:c r="B108" s="10" t="n">
        <ns0:v>910107</ns0:v>
      </ns0:c>
      <ns0:c r="C108" s="10" t="inlineStr">
        <ns0:is>
          <ns0:t>사람과 시설</ns0:t>
        </ns0:is>
      </ns0:c>
      <ns0:c r="D108" s="10" t="n">
        <ns0:v>3</ns0:v>
      </ns0:c>
      <ns0:c r="E108" s="10" t="n">
        <ns0:v>3</ns0:v>
      </ns0:c>
      <ns0:c r="F108" s="10" t="inlineStr">
        <ns0:is>
          <ns0:t>시설 안내에서 길이 80m로 소개된 동도 시설은 무엇인가요?</ns0:t>
        </ns0:is>
      </ns0:c>
      <ns0:c r="G108" s="10" t="inlineStr">
        <ns0:is>
          <ns0:t>접안시설</ns0:t>
        </ns0:is>
      </ns0:c>
      <ns0:c r="H108" s="10" t="inlineStr">
        <ns0:is>
          <ns0:t>등대</ns0:t>
        </ns0:is>
      </ns0:c>
      <ns0:c r="I108" s="10" t="inlineStr">
        <ns0:is>
          <ns0:t>주민숙소</ns0:t>
        </ns0:is>
      </ns0:c>
      <ns0:c r="J108" s="10" t="inlineStr"/>
      <ns0:c r="K108" s="10" t="n">
        <ns0:v>1</ns0:v>
      </ns0:c>
      <ns0:c r="L108" s="10" t="inlineStr">
        <ns0:is>
          <ns0:t>자료의 80m는 동도 접안시설 길이에 붙어 있어요.</ns0:t>
        </ns0:is>
      </ns0:c>
      <ns0:c r="M108" s="10" t="inlineStr">
        <ns0:is>
          <ns0:t>독도의 주요 접안시설은 동도에 있으며 배가 섬에 닿는 공간이에요.</ns0:t>
        </ns0:is>
      </ns0:c>
      <ns0:c r="N108" s="10" t="inlineStr">
        <ns0:is>
          <ns0:t>dk-dock</ns0:t>
        </ns0:is>
      </ns0:c>
      <ns0:c r="O108" s="10" t="inlineStr">
        <ns0:is>
          <ns0:t>대한민국 외교부 · 독도 주요시설물
https://dokdo.mofa.go.kr/kor/introduce/facility.jsp
대한민국 외교부 · 주민 및 입도 안내
https://dokdo.mofa.go.kr/kor/introduce/residence.jsp</ns0:t>
        </ns0:is>
      </ns0:c>
      <ns0:c r="P108" s="11">
        <ns0:f>LEN(F108)+MAX(LEN(G108),LEN(H108),LEN(I108),LEN(J108))</ns0:f>
        <ns0:v>37</ns0:v>
      </ns0:c>
    </ns0:row>
    <ns0:row r="109" ht="113" customHeight="1">
      <ns0:c r="A109" s="12" t="n">
        <ns0:v>920108</ns0:v>
      </ns0:c>
      <ns0:c r="B109" s="12" t="n">
        <ns0:v>910108</ns0:v>
      </ns0:c>
      <ns0:c r="C109" s="12" t="inlineStr">
        <ns0:is>
          <ns0:t>사람과 시설</ns0:t>
        </ns0:is>
      </ns0:c>
      <ns0:c r="D109" s="12" t="n">
        <ns0:v>4</ns0:v>
      </ns0:c>
      <ns0:c r="E109" s="12" t="n">
        <ns0:v>3</ns0:v>
      </ns0:c>
      <ns0:c r="F109" s="12" t="inlineStr">
        <ns0:is>
          <ns0:t>‘80m 접안시설’과 ‘두 섬 사이 151m’의 측정 대상은 어떻게 다른가요?</ns0:t>
        </ns0:is>
      </ns0:c>
      <ns0:c r="G109" s="12" t="inlineStr">
        <ns0:is>
          <ns0:t>둘 다 동도에서 서도까지 가는 거리</ns0:t>
        </ns0:is>
      </ns0:c>
      <ns0:c r="H109" s="12" t="inlineStr">
        <ns0:is>
          <ns0:t>80m는 시설 길이, 151m는 가장 가까운 해안 사이 거리</ns0:t>
        </ns0:is>
      </ns0:c>
      <ns0:c r="I109" s="12" t="inlineStr">
        <ns0:is>
          <ns0:t>80m는 동도 높이, 151m는 서도 높이</ns0:t>
        </ns0:is>
      </ns0:c>
      <ns0:c r="J109" s="12" t="inlineStr"/>
      <ns0:c r="K109" s="12" t="n">
        <ns0:v>2</ns0:v>
      </ns0:c>
      <ns0:c r="L109" s="12" t="inlineStr">
        <ns0:is>
          <ns0:t>서로 다른 대상을 잰 값이므로 같은 길이라고 생각하거나 연결해서 더하지 않아요.</ns0:t>
        </ns0:is>
      </ns0:c>
      <ns0:c r="M109" s="12" t="inlineStr">
        <ns0:is>
          <ns0:t>독도의 주요 접안시설은 동도에 있으며 배가 섬에 닿는 공간이에요.</ns0:t>
        </ns0:is>
      </ns0:c>
      <ns0:c r="N109" s="12" t="inlineStr">
        <ns0:is>
          <ns0:t>dk-dock</ns0:t>
        </ns0:is>
      </ns0:c>
      <ns0:c r="O109" s="12" t="inlineStr">
        <ns0:is>
          <ns0:t>대한민국 외교부 · 독도 주요시설물
https://dokdo.mofa.go.kr/kor/introduce/facility.jsp
대한민국 외교부 · 주민 및 입도 안내
https://dokdo.mofa.go.kr/kor/introduce/residence.jsp</ns0:t>
        </ns0:is>
      </ns0:c>
      <ns0:c r="P109" s="13">
        <ns0:f>LEN(F109)+MAX(LEN(G109),LEN(H109),LEN(I109),LEN(J109))</ns0:f>
        <ns0:v>76</ns0:v>
      </ns0:c>
    </ns0:row>
    <ns0:row r="110" ht="113" customHeight="1">
      <ns0:c r="A110" s="10" t="n">
        <ns0:v>920109</ns0:v>
      </ns0:c>
      <ns0:c r="B110" s="10" t="n">
        <ns0:v>910109</ns0:v>
      </ns0:c>
      <ns0:c r="C110" s="10" t="inlineStr">
        <ns0:is>
          <ns0:t>사람과 시설</ns0:t>
        </ns0:is>
      </ns0:c>
      <ns0:c r="D110" s="10" t="n">
        <ns0:v>1</ns0:v>
      </ns0:c>
      <ns0:c r="E110" s="10" t="n">
        <ns0:v>1</ns0:v>
      </ns0:c>
      <ns0:c r="F110" s="10" t="inlineStr">
        <ns0:is>
          <ns0:t>독도 주민숙소는 어느 큰 섬에 있나요?</ns0:t>
        </ns0:is>
      </ns0:c>
      <ns0:c r="G110" s="10" t="inlineStr">
        <ns0:is>
          <ns0:t>동도</ns0:t>
        </ns0:is>
      </ns0:c>
      <ns0:c r="H110" s="10" t="inlineStr">
        <ns0:is>
          <ns0:t>서도</ns0:t>
        </ns0:is>
      </ns0:c>
      <ns0:c r="I110" s="10" t="inlineStr"/>
      <ns0:c r="J110" s="10" t="inlineStr"/>
      <ns0:c r="K110" s="10" t="n">
        <ns0:v>2</ns0:v>
      </ns0:c>
      <ns0:c r="L110" s="10" t="inlineStr">
        <ns0:is>
          <ns0:t>주민숙소는 서도에 있는 생활 시설이에요.</ns0:t>
        </ns0:is>
      </ns0:c>
      <ns0:c r="M110" s="10" t="inlineStr">
        <ns0:is>
          <ns0:t>독도의 주민숙소는 서도에 있어요.</ns0:t>
        </ns0:is>
      </ns0:c>
      <ns0:c r="N110" s="10" t="inlineStr">
        <ns0:is>
          <ns0:t>dk-residence</ns0:t>
        </ns0:is>
      </ns0:c>
      <ns0:c r="O110" s="10" t="inlineStr">
        <ns0:is>
          <ns0:t>대한민국 외교부 · 독도 주요시설물
https://dokdo.mofa.go.kr/kor/introduce/facility.jsp
대한민국 해양수산부 · 독도의 주소와 위치
https://www.mof.go.kr/doc/ko/selectDoc.do?bbsSeq=27&amp;docSeq=20937&amp;menuSeq=929</ns0:t>
        </ns0:is>
      </ns0:c>
      <ns0:c r="P110" s="11">
        <ns0:f>LEN(F110)+MAX(LEN(G110),LEN(H110),LEN(I110),LEN(J110))</ns0:f>
        <ns0:v>23</ns0:v>
      </ns0:c>
    </ns0:row>
    <ns0:row r="111" ht="113" customHeight="1">
      <ns0:c r="A111" s="12" t="n">
        <ns0:v>920110</ns0:v>
      </ns0:c>
      <ns0:c r="B111" s="12" t="n">
        <ns0:v>910110</ns0:v>
      </ns0:c>
      <ns0:c r="C111" s="12" t="inlineStr">
        <ns0:is>
          <ns0:t>사람과 시설</ns0:t>
        </ns0:is>
      </ns0:c>
      <ns0:c r="D111" s="12" t="n">
        <ns0:v>2</ns0:v>
      </ns0:c>
      <ns0:c r="E111" s="12" t="n">
        <ns0:v>2</ns0:v>
      </ns0:c>
      <ns0:c r="F111" s="12" t="inlineStr">
        <ns0:is>
          <ns0:t>서도 주민숙소의 주된 기능은 무엇인가요?</ns0:t>
        </ns0:is>
      </ns0:c>
      <ns0:c r="G111" s="12" t="inlineStr">
        <ns0:is>
          <ns0:t>배의 위치를 알리는 항해 표지</ns0:t>
        </ns0:is>
      </ns0:c>
      <ns0:c r="H111" s="12" t="inlineStr">
        <ns0:is>
          <ns0:t>헬기 착륙 공간</ns0:t>
        </ns0:is>
      </ns0:c>
      <ns0:c r="I111" s="12" t="inlineStr">
        <ns0:is>
          <ns0:t>사람이 머무는 생활 공간</ns0:t>
        </ns0:is>
      </ns0:c>
      <ns0:c r="J111" s="12" t="inlineStr"/>
      <ns0:c r="K111" s="12" t="n">
        <ns0:v>3</ns0:v>
      </ns0:c>
      <ns0:c r="L111" s="12" t="inlineStr">
        <ns0:is>
          <ns0:t>이름 그대로 독도에서 사람이 생활하는 공간으로 소개돼요.</ns0:t>
        </ns0:is>
      </ns0:c>
      <ns0:c r="M111" s="12" t="inlineStr">
        <ns0:is>
          <ns0:t>독도의 주민숙소는 서도에 있어요.</ns0:t>
        </ns0:is>
      </ns0:c>
      <ns0:c r="N111" s="12" t="inlineStr">
        <ns0:is>
          <ns0:t>dk-residence</ns0:t>
        </ns0:is>
      </ns0:c>
      <ns0:c r="O111" s="12" t="inlineStr">
        <ns0:is>
          <ns0:t>대한민국 외교부 · 독도 주요시설물
https://dokdo.mofa.go.kr/kor/introduce/facility.jsp
대한민국 해양수산부 · 독도의 주소와 위치
https://www.mof.go.kr/doc/ko/selectDoc.do?bbsSeq=27&amp;docSeq=20937&amp;menuSeq=929</ns0:t>
        </ns0:is>
      </ns0:c>
      <ns0:c r="P111" s="13">
        <ns0:f>LEN(F111)+MAX(LEN(G111),LEN(H111),LEN(I111),LEN(J111))</ns0:f>
        <ns0:v>38</ns0:v>
      </ns0:c>
    </ns0:row>
    <ns0:row r="112" ht="113" customHeight="1">
      <ns0:c r="A112" s="10" t="n">
        <ns0:v>920111</ns0:v>
      </ns0:c>
      <ns0:c r="B112" s="10" t="n">
        <ns0:v>910111</ns0:v>
      </ns0:c>
      <ns0:c r="C112" s="10" t="inlineStr">
        <ns0:is>
          <ns0:t>사람과 시설</ns0:t>
        </ns0:is>
      </ns0:c>
      <ns0:c r="D112" s="10" t="n">
        <ns0:v>3</ns0:v>
      </ns0:c>
      <ns0:c r="E112" s="10" t="n">
        <ns0:v>3</ns0:v>
      </ns0:c>
      <ns0:c r="F112" s="10" t="inlineStr">
        <ns0:is>
          <ns0:t>시설 목록에서 서도에 속하는 항목은 무엇인가요?</ns0:t>
        </ns0:is>
      </ns0:c>
      <ns0:c r="G112" s="10" t="inlineStr">
        <ns0:is>
          <ns0:t>주민숙소</ns0:t>
        </ns0:is>
      </ns0:c>
      <ns0:c r="H112" s="10" t="inlineStr">
        <ns0:is>
          <ns0:t>독도등대</ns0:t>
        </ns0:is>
      </ns0:c>
      <ns0:c r="I112" s="10" t="inlineStr">
        <ns0:is>
          <ns0:t>독도경비대</ns0:t>
        </ns0:is>
      </ns0:c>
      <ns0:c r="J112" s="10" t="inlineStr"/>
      <ns0:c r="K112" s="10" t="n">
        <ns0:v>1</ns0:v>
      </ns0:c>
      <ns0:c r="L112" s="10" t="inlineStr">
        <ns0:is>
          <ns0:t>목록에서 주민숙소의 섬이 서도로 표시돼요.</ns0:t>
        </ns0:is>
      </ns0:c>
      <ns0:c r="M112" s="10" t="inlineStr">
        <ns0:is>
          <ns0:t>독도의 주민숙소는 서도에 있어요.</ns0:t>
        </ns0:is>
      </ns0:c>
      <ns0:c r="N112" s="10" t="inlineStr">
        <ns0:is>
          <ns0:t>dk-residence</ns0:t>
        </ns0:is>
      </ns0:c>
      <ns0:c r="O112" s="10" t="inlineStr">
        <ns0:is>
          <ns0:t>대한민국 외교부 · 독도 주요시설물
https://dokdo.mofa.go.kr/kor/introduce/facility.jsp
대한민국 해양수산부 · 독도의 주소와 위치
https://www.mof.go.kr/doc/ko/selectDoc.do?bbsSeq=27&amp;docSeq=20937&amp;menuSeq=929</ns0:t>
        </ns0:is>
      </ns0:c>
      <ns0:c r="P112" s="11">
        <ns0:f>LEN(F112)+MAX(LEN(G112),LEN(H112),LEN(I112),LEN(J112))</ns0:f>
        <ns0:v>31</ns0:v>
      </ns0:c>
    </ns0:row>
    <ns0:row r="113" ht="113" customHeight="1">
      <ns0:c r="A113" s="12" t="n">
        <ns0:v>920112</ns0:v>
      </ns0:c>
      <ns0:c r="B113" s="12" t="n">
        <ns0:v>910112</ns0:v>
      </ns0:c>
      <ns0:c r="C113" s="12" t="inlineStr">
        <ns0:is>
          <ns0:t>사람과 시설</ns0:t>
        </ns0:is>
      </ns0:c>
      <ns0:c r="D113" s="12" t="n">
        <ns0:v>4</ns0:v>
      </ns0:c>
      <ns0:c r="E113" s="12" t="n">
        <ns0:v>4</ns0:v>
      </ns0:c>
      <ns0:c r="F113" s="12" t="inlineStr">
        <ns0:is>
          <ns0:t>‘독도의 생활 시설은 모두 동도에 있다’는 설명을 고칠 근거는 무엇인가요?</ns0:t>
        </ns0:is>
      </ns0:c>
      <ns0:c r="G113" s="12" t="inlineStr">
        <ns0:is>
          <ns0:t>등대가 동도에 있다</ns0:t>
        </ns0:is>
      </ns0:c>
      <ns0:c r="H113" s="12" t="inlineStr">
        <ns0:is>
          <ns0:t>주민숙소가 서도에 있다</ns0:t>
        </ns0:is>
      </ns0:c>
      <ns0:c r="I113" s="12" t="inlineStr">
        <ns0:is>
          <ns0:t>접안시설이 동도에 있다</ns0:t>
        </ns0:is>
      </ns0:c>
      <ns0:c r="J113" s="12" t="inlineStr"/>
      <ns0:c r="K113" s="12" t="n">
        <ns0:v>2</ns0:v>
      </ns0:c>
      <ns0:c r="L113" s="12" t="inlineStr">
        <ns0:is>
          <ns0:t>서도 생활 시설의 구체적인 사례가 있으므로 ‘모두 동도’라는 설명은 틀려요.</ns0:t>
        </ns0:is>
      </ns0:c>
      <ns0:c r="M113" s="12" t="inlineStr">
        <ns0:is>
          <ns0:t>독도의 주민숙소는 서도에 있어요.</ns0:t>
        </ns0:is>
      </ns0:c>
      <ns0:c r="N113" s="12" t="inlineStr">
        <ns0:is>
          <ns0:t>dk-residence</ns0:t>
        </ns0:is>
      </ns0:c>
      <ns0:c r="O113" s="12" t="inlineStr">
        <ns0:is>
          <ns0:t>대한민국 외교부 · 독도 주요시설물
https://dokdo.mofa.go.kr/kor/introduce/facility.jsp
대한민국 해양수산부 · 독도의 주소와 위치
https://www.mof.go.kr/doc/ko/selectDoc.do?bbsSeq=27&amp;docSeq=20937&amp;menuSeq=929</ns0:t>
        </ns0:is>
      </ns0:c>
      <ns0:c r="P113" s="13">
        <ns0:f>LEN(F113)+MAX(LEN(G113),LEN(H113),LEN(I113),LEN(J113))</ns0:f>
        <ns0:v>53</ns0:v>
      </ns0:c>
    </ns0:row>
    <ns0:row r="114" ht="113" customHeight="1">
      <ns0:c r="A114" s="10" t="n">
        <ns0:v>920113</ns0:v>
      </ns0:c>
      <ns0:c r="B114" s="10" t="n">
        <ns0:v>910113</ns0:v>
      </ns0:c>
      <ns0:c r="C114" s="10" t="inlineStr">
        <ns0:is>
          <ns0:t>사람과 시설</ns0:t>
        </ns0:is>
      </ns0:c>
      <ns0:c r="D114" s="10" t="n">
        <ns0:v>1</ns0:v>
      </ns0:c>
      <ns0:c r="E114" s="10" t="n">
        <ns0:v>1</ns0:v>
      </ns0:c>
      <ns0:c r="F114" s="10" t="inlineStr">
        <ns0:is>
          <ns0:t>독도에서 바닷물을 생활에 쓸 물로 바꾸는 시설은 무엇인가요?</ns0:t>
        </ns0:is>
      </ns0:c>
      <ns0:c r="G114" s="10" t="inlineStr">
        <ns0:is>
          <ns0:t>등대</ns0:t>
        </ns0:is>
      </ns0:c>
      <ns0:c r="H114" s="10" t="inlineStr">
        <ns0:is>
          <ns0:t>접안시설</ns0:t>
        </ns0:is>
      </ns0:c>
      <ns0:c r="I114" s="10" t="inlineStr">
        <ns0:is>
          <ns0:t>담수화 시설</ns0:t>
        </ns0:is>
      </ns0:c>
      <ns0:c r="J114" s="10" t="inlineStr"/>
      <ns0:c r="K114" s="10" t="n">
        <ns0:v>3</ns0:v>
      </ns0:c>
      <ns0:c r="L114" s="10" t="inlineStr">
        <ns0:is>
          <ns0:t>담수화는 바닷물의 소금을 줄이는 처리예요.</ns0:t>
        </ns0:is>
      </ns0:c>
      <ns0:c r="M114" s="10" t="inlineStr">
        <ns0:is>
          <ns0:t>담수화 시설은 바닷물의 소금을 줄여 생활에 쓸 물을 만들어요.</ns0:t>
        </ns0:is>
      </ns0:c>
      <ns0:c r="N114" s="10" t="inlineStr">
        <ns0:is>
          <ns0:t>dk-freshwater</ns0:t>
        </ns0:is>
      </ns0:c>
      <ns0:c r="O114" s="10" t="inlineStr">
        <ns0:is>
          <ns0:t>대한민국 외교부 · 독도 주요시설물
https://dokdo.mofa.go.kr/kor/introduce/facility.jsp
대한민국 한국해양과학기술원 · 독도 지형 및 지질
https://www.dokdo.re.kr/home/cms/cmsCont.do?cntnts_sn=66</ns0:t>
        </ns0:is>
      </ns0:c>
      <ns0:c r="P114" s="11">
        <ns0:f>LEN(F114)+MAX(LEN(G114),LEN(H114),LEN(I114),LEN(J114))</ns0:f>
        <ns0:v>39</ns0:v>
      </ns0:c>
    </ns0:row>
    <ns0:row r="115" ht="113" customHeight="1">
      <ns0:c r="A115" s="12" t="n">
        <ns0:v>920114</ns0:v>
      </ns0:c>
      <ns0:c r="B115" s="12" t="n">
        <ns0:v>910114</ns0:v>
      </ns0:c>
      <ns0:c r="C115" s="12" t="inlineStr">
        <ns0:is>
          <ns0:t>사람과 시설</ns0:t>
        </ns0:is>
      </ns0:c>
      <ns0:c r="D115" s="12" t="n">
        <ns0:v>2</ns0:v>
      </ns0:c>
      <ns0:c r="E115" s="12" t="n">
        <ns0:v>2</ns0:v>
      </ns0:c>
      <ns0:c r="F115" s="12" t="inlineStr">
        <ns0:is>
          <ns0:t>바닷물을 담수화할 때 주로 줄이려는 성분은 무엇인가요?</ns0:t>
        </ns0:is>
      </ns0:c>
      <ns0:c r="G115" s="12" t="inlineStr">
        <ns0:is>
          <ns0:t>소금</ns0:t>
        </ns0:is>
      </ns0:c>
      <ns0:c r="H115" s="12" t="inlineStr">
        <ns0:is>
          <ns0:t>물 자체</ns0:t>
        </ns0:is>
      </ns0:c>
      <ns0:c r="I115" s="12" t="inlineStr">
        <ns0:is>
          <ns0:t>모래만</ns0:t>
        </ns0:is>
      </ns0:c>
      <ns0:c r="J115" s="12" t="inlineStr"/>
      <ns0:c r="K115" s="12" t="n">
        <ns0:v>1</ns0:v>
      </ns0:c>
      <ns0:c r="L115" s="12" t="inlineStr">
        <ns0:is>
          <ns0:t>바닷물에 녹아 있는 소금을 줄여 생활에 쓸 담수를 얻어요.</ns0:t>
        </ns0:is>
      </ns0:c>
      <ns0:c r="M115" s="12" t="inlineStr">
        <ns0:is>
          <ns0:t>담수화 시설은 바닷물의 소금을 줄여 생활에 쓸 물을 만들어요.</ns0:t>
        </ns0:is>
      </ns0:c>
      <ns0:c r="N115" s="12" t="inlineStr">
        <ns0:is>
          <ns0:t>dk-freshwater</ns0:t>
        </ns0:is>
      </ns0:c>
      <ns0:c r="O115" s="12" t="inlineStr">
        <ns0:is>
          <ns0:t>대한민국 외교부 · 독도 주요시설물
https://dokdo.mofa.go.kr/kor/introduce/facility.jsp
대한민국 한국해양과학기술원 · 독도 지형 및 지질
https://www.dokdo.re.kr/home/cms/cmsCont.do?cntnts_sn=66</ns0:t>
        </ns0:is>
      </ns0:c>
      <ns0:c r="P115" s="13">
        <ns0:f>LEN(F115)+MAX(LEN(G115),LEN(H115),LEN(I115),LEN(J115))</ns0:f>
        <ns0:v>34</ns0:v>
      </ns0:c>
    </ns0:row>
    <ns0:row r="116" ht="113" customHeight="1">
      <ns0:c r="A116" s="10" t="n">
        <ns0:v>920115</ns0:v>
      </ns0:c>
      <ns0:c r="B116" s="10" t="n">
        <ns0:v>910115</ns0:v>
      </ns0:c>
      <ns0:c r="C116" s="10" t="inlineStr">
        <ns0:is>
          <ns0:t>사람과 시설</ns0:t>
        </ns0:is>
      </ns0:c>
      <ns0:c r="D116" s="10" t="n">
        <ns0:v>3</ns0:v>
      </ns0:c>
      <ns0:c r="E116" s="10" t="n">
        <ns0:v>3</ns0:v>
      </ns0:c>
      <ns0:c r="F116" s="10" t="inlineStr">
        <ns0:is>
          <ns0:t>독도의 물 공급에서 자연 식수원과 처리 시설을 바르게 짝지은 것은 무엇인가요?</ns0:t>
        </ns0:is>
      </ns0:c>
      <ns0:c r="G116" s="10" t="inlineStr">
        <ns0:is>
          <ns0:t>담수화 시설 — 물골</ns0:t>
        </ns0:is>
      </ns0:c>
      <ns0:c r="H116" s="10" t="inlineStr">
        <ns0:is>
          <ns0:t>물골 — 담수화 시설</ns0:t>
        </ns0:is>
      </ns0:c>
      <ns0:c r="I116" s="10" t="inlineStr">
        <ns0:is>
          <ns0:t>등대 — 접안시설</ns0:t>
        </ns0:is>
      </ns0:c>
      <ns0:c r="J116" s="10" t="inlineStr"/>
      <ns0:c r="K116" s="10" t="n">
        <ns0:v>2</ns0:v>
      </ns0:c>
      <ns0:c r="L116" s="10" t="inlineStr">
        <ns0:is>
          <ns0:t>물골은 자연적으로 떨어지는 물을 얻던 곳이고 담수화 시설은 바닷물을 처리해요.</ns0:t>
        </ns0:is>
      </ns0:c>
      <ns0:c r="M116" s="10" t="inlineStr">
        <ns0:is>
          <ns0:t>담수화 시설은 바닷물의 소금을 줄여 생활에 쓸 물을 만들어요.</ns0:t>
        </ns0:is>
      </ns0:c>
      <ns0:c r="N116" s="10" t="inlineStr">
        <ns0:is>
          <ns0:t>dk-freshwater</ns0:t>
        </ns0:is>
      </ns0:c>
      <ns0:c r="O116" s="10" t="inlineStr">
        <ns0:is>
          <ns0:t>대한민국 외교부 · 독도 주요시설물
https://dokdo.mofa.go.kr/kor/introduce/facility.jsp
대한민국 한국해양과학기술원 · 독도 지형 및 지질
https://www.dokdo.re.kr/home/cms/cmsCont.do?cntnts_sn=66</ns0:t>
        </ns0:is>
      </ns0:c>
      <ns0:c r="P116" s="11">
        <ns0:f>LEN(F116)+MAX(LEN(G116),LEN(H116),LEN(I116),LEN(J116))</ns0:f>
        <ns0:v>54</ns0:v>
      </ns0:c>
    </ns0:row>
    <ns0:row r="117" ht="113" customHeight="1">
      <ns0:c r="A117" s="12" t="n">
        <ns0:v>920116</ns0:v>
      </ns0:c>
      <ns0:c r="B117" s="12" t="n">
        <ns0:v>910116</ns0:v>
      </ns0:c>
      <ns0:c r="C117" s="12" t="inlineStr">
        <ns0:is>
          <ns0:t>사람과 시설</ns0:t>
        </ns0:is>
      </ns0:c>
      <ns0:c r="D117" s="12" t="n">
        <ns0:v>4</ns0:v>
      </ns0:c>
      <ns0:c r="E117" s="12" t="n">
        <ns0:v>3</ns0:v>
      </ns0:c>
      <ns0:c r="F117" s="12" t="inlineStr">
        <ns0:is>
          <ns0:t>바닷물에서 모래만 걸렀다면 독도 생활용 담수를 만든 것인가요?</ns0:t>
        </ns0:is>
      </ns0:c>
      <ns0:c r="G117" s="12" t="inlineStr">
        <ns0:is>
          <ns0:t>네, 맑아 보이면 소금도 모두 사라져요</ns0:t>
        </ns0:is>
      </ns0:c>
      <ns0:c r="H117" s="12" t="inlineStr">
        <ns0:is>
          <ns0:t>네, 물을 차갑게 만들면 모두 담수가 돼요</ns0:t>
        </ns0:is>
      </ns0:c>
      <ns0:c r="I117" s="12" t="inlineStr">
        <ns0:is>
          <ns0:t>아니요, 녹아 있는 소금도 줄여야 해요</ns0:t>
        </ns0:is>
      </ns0:c>
      <ns0:c r="J117" s="12" t="inlineStr"/>
      <ns0:c r="K117" s="12" t="n">
        <ns0:v>3</ns0:v>
      </ns0:c>
      <ns0:c r="L117" s="12" t="inlineStr">
        <ns0:is>
          <ns0:t>눈에 보이는 모래와 물속에 녹아 있는 염분은 다르므로 모래 제거만으로 담수화가 되지 않아요.</ns0:t>
        </ns0:is>
      </ns0:c>
      <ns0:c r="M117" s="12" t="inlineStr">
        <ns0:is>
          <ns0:t>담수화 시설은 바닷물의 소금을 줄여 생활에 쓸 물을 만들어요.</ns0:t>
        </ns0:is>
      </ns0:c>
      <ns0:c r="N117" s="12" t="inlineStr">
        <ns0:is>
          <ns0:t>dk-freshwater</ns0:t>
        </ns0:is>
      </ns0:c>
      <ns0:c r="O117" s="12" t="inlineStr">
        <ns0:is>
          <ns0:t>대한민국 외교부 · 독도 주요시설물
https://dokdo.mofa.go.kr/kor/introduce/facility.jsp
대한민국 한국해양과학기술원 · 독도 지형 및 지질
https://www.dokdo.re.kr/home/cms/cmsCont.do?cntnts_sn=66</ns0:t>
        </ns0:is>
      </ns0:c>
      <ns0:c r="P117" s="13">
        <ns0:f>LEN(F117)+MAX(LEN(G117),LEN(H117),LEN(I117),LEN(J117))</ns0:f>
        <ns0:v>57</ns0:v>
      </ns0:c>
    </ns0:row>
    <ns0:row r="118" ht="113" customHeight="1">
      <ns0:c r="A118" s="10" t="n">
        <ns0:v>920117</ns0:v>
      </ns0:c>
      <ns0:c r="B118" s="10" t="n">
        <ns0:v>910117</ns0:v>
      </ns0:c>
      <ns0:c r="C118" s="10" t="inlineStr">
        <ns0:is>
          <ns0:t>사람과 시설</ns0:t>
        </ns0:is>
      </ns0:c>
      <ns0:c r="D118" s="10" t="n">
        <ns0:v>1</ns0:v>
      </ns0:c>
      <ns0:c r="E118" s="10" t="n">
        <ns0:v>1</ns0:v>
      </ns0:c>
      <ns0:c r="F118" s="10" t="inlineStr">
        <ns0:is>
          <ns0:t>동도 선착장에서 위쪽 시설로 걸어갈 때 이용하는 길은 무엇인가요?</ns0:t>
        </ns0:is>
      </ns0:c>
      <ns0:c r="G118" s="10" t="inlineStr">
        <ns0:is>
          <ns0:t>계단과 길</ns0:t>
        </ns0:is>
      </ns0:c>
      <ns0:c r="H118" s="10" t="inlineStr">
        <ns0:is>
          <ns0:t>화물 운반 케이블</ns0:t>
        </ns0:is>
      </ns0:c>
      <ns0:c r="I118" s="10" t="inlineStr">
        <ns0:is>
          <ns0:t>배가 다니는 항로</ns0:t>
        </ns0:is>
      </ns0:c>
      <ns0:c r="J118" s="10" t="inlineStr"/>
      <ns0:c r="K118" s="10" t="n">
        <ns0:v>1</ns0:v>
      </ns0:c>
      <ns0:c r="L118" s="10" t="inlineStr">
        <ns0:is>
          <ns0:t>동도 선착장에서 위쪽 시설로는 계단과 길을 따라 걸어 올라가요.</ns0:t>
        </ns0:is>
      </ns0:c>
      <ns0:c r="M118" s="10" t="inlineStr">
        <ns0:is>
          <ns0:t>동도 선착장과 상부 시설은 다른 장소이며 길과 운반 시설로 연결돼요.</ns0:t>
        </ns0:is>
      </ns0:c>
      <ns0:c r="N118" s="10" t="inlineStr">
        <ns0:is>
          <ns0:t>dk-routes</ns0:t>
        </ns0:is>
      </ns0:c>
      <ns0:c r="O118" s="10" t="inlineStr">
        <ns0:is>
          <ns0:t>대한민국 외교부 · 독도 주요시설물
https://dokdo.mofa.go.kr/kor/introduce/facility.jsp
대한민국 전북교육청 · 독도 사진 자료
https://www.jbe.go.kr/dokdo/assets/sub/picture.html</ns0:t>
        </ns0:is>
      </ns0:c>
      <ns0:c r="P118" s="11">
        <ns0:f>LEN(F118)+MAX(LEN(G118),LEN(H118),LEN(I118),LEN(J118))</ns0:f>
        <ns0:v>45</ns0:v>
      </ns0:c>
    </ns0:row>
    <ns0:row r="119" ht="113" customHeight="1">
      <ns0:c r="A119" s="12" t="n">
        <ns0:v>920118</ns0:v>
      </ns0:c>
      <ns0:c r="B119" s="12" t="n">
        <ns0:v>910118</ns0:v>
      </ns0:c>
      <ns0:c r="C119" s="12" t="inlineStr">
        <ns0:is>
          <ns0:t>사람과 시설</ns0:t>
        </ns0:is>
      </ns0:c>
      <ns0:c r="D119" s="12" t="n">
        <ns0:v>2</ns0:v>
      </ns0:c>
      <ns0:c r="E119" s="12" t="n">
        <ns0:v>2</ns0:v>
      </ns0:c>
      <ns0:c r="F119" s="12" t="inlineStr">
        <ns0:is>
          <ns0:t>동도 경사면의 계단은 선착장과 어느 곳을 연결하나요?</ns0:t>
        </ns0:is>
      </ns0:c>
      <ns0:c r="G119" s="12" t="inlineStr">
        <ns0:is>
          <ns0:t>서도 주민숙소</ns0:t>
        </ns0:is>
      </ns0:c>
      <ns0:c r="H119" s="12" t="inlineStr">
        <ns0:is>
          <ns0:t>위쪽의 관리 시설</ns0:t>
        </ns0:is>
      </ns0:c>
      <ns0:c r="I119" s="12" t="inlineStr">
        <ns0:is>
          <ns0:t>울릉도 항구</ns0:t>
        </ns0:is>
      </ns0:c>
      <ns0:c r="J119" s="12" t="inlineStr"/>
      <ns0:c r="K119" s="12" t="n">
        <ns0:v>2</ns0:v>
      </ns0:c>
      <ns0:c r="L119" s="12" t="inlineStr">
        <ns0:is>
          <ns0:t>동도는 높낮이가 있어 선착장에서 상부 시설까지 올라가는 길이 필요해요.</ns0:t>
        </ns0:is>
      </ns0:c>
      <ns0:c r="M119" s="12" t="inlineStr">
        <ns0:is>
          <ns0:t>동도 선착장과 상부 시설은 다른 장소이며 길과 운반 시설로 연결돼요.</ns0:t>
        </ns0:is>
      </ns0:c>
      <ns0:c r="N119" s="12" t="inlineStr">
        <ns0:is>
          <ns0:t>dk-routes</ns0:t>
        </ns0:is>
      </ns0:c>
      <ns0:c r="O119" s="12" t="inlineStr">
        <ns0:is>
          <ns0:t>대한민국 외교부 · 독도 주요시설물
https://dokdo.mofa.go.kr/kor/introduce/facility.jsp
대한민국 전북교육청 · 독도 사진 자료
https://www.jbe.go.kr/dokdo/assets/sub/picture.html</ns0:t>
        </ns0:is>
      </ns0:c>
      <ns0:c r="P119" s="13">
        <ns0:f>LEN(F119)+MAX(LEN(G119),LEN(H119),LEN(I119),LEN(J119))</ns0:f>
        <ns0:v>38</ns0:v>
      </ns0:c>
    </ns0:row>
    <ns0:row r="120" ht="113" customHeight="1">
      <ns0:c r="A120" s="10" t="n">
        <ns0:v>920119</ns0:v>
      </ns0:c>
      <ns0:c r="B120" s="10" t="n">
        <ns0:v>910119</ns0:v>
      </ns0:c>
      <ns0:c r="C120" s="10" t="inlineStr">
        <ns0:is>
          <ns0:t>사람과 시설</ns0:t>
        </ns0:is>
      </ns0:c>
      <ns0:c r="D120" s="10" t="n">
        <ns0:v>3</ns0:v>
      </ns0:c>
      <ns0:c r="E120" s="10" t="n">
        <ns0:v>3</ns0:v>
      </ns0:c>
      <ns0:c r="F120" s="10" t="inlineStr">
        <ns0:is>
          <ns0:t>동도 선착장과 경비대 사이 시설로 안내된 것은 무엇인가요?</ns0:t>
        </ns0:is>
      </ns0:c>
      <ns0:c r="G120" s="10" t="inlineStr">
        <ns0:is>
          <ns0:t>철도</ns0:t>
        </ns0:is>
      </ns0:c>
      <ns0:c r="H120" s="10" t="inlineStr">
        <ns0:is>
          <ns0:t>서도까지의 교량</ns0:t>
        </ns0:is>
      </ns0:c>
      <ns0:c r="I120" s="10" t="inlineStr">
        <ns0:is>
          <ns0:t>케이블카</ns0:t>
        </ns0:is>
      </ns0:c>
      <ns0:c r="J120" s="10" t="inlineStr"/>
      <ns0:c r="K120" s="10" t="n">
        <ns0:v>3</ns0:v>
      </ns0:c>
      <ns0:c r="L120" s="10" t="inlineStr">
        <ns0:is>
          <ns0:t>주요 시설 안내에는 선착장과 경비대 사이 케이블카가 나와요.</ns0:t>
        </ns0:is>
      </ns0:c>
      <ns0:c r="M120" s="10" t="inlineStr">
        <ns0:is>
          <ns0:t>동도 선착장과 상부 시설은 다른 장소이며 길과 운반 시설로 연결돼요.</ns0:t>
        </ns0:is>
      </ns0:c>
      <ns0:c r="N120" s="10" t="inlineStr">
        <ns0:is>
          <ns0:t>dk-routes</ns0:t>
        </ns0:is>
      </ns0:c>
      <ns0:c r="O120" s="10" t="inlineStr">
        <ns0:is>
          <ns0:t>대한민국 외교부 · 독도 주요시설물
https://dokdo.mofa.go.kr/kor/introduce/facility.jsp
대한민국 전북교육청 · 독도 사진 자료
https://www.jbe.go.kr/dokdo/assets/sub/picture.html</ns0:t>
        </ns0:is>
      </ns0:c>
      <ns0:c r="P120" s="11">
        <ns0:f>LEN(F120)+MAX(LEN(G120),LEN(H120),LEN(I120),LEN(J120))</ns0:f>
        <ns0:v>40</ns0:v>
      </ns0:c>
    </ns0:row>
    <ns0:row r="121" ht="113" customHeight="1">
      <ns0:c r="A121" s="12" t="n">
        <ns0:v>920120</ns0:v>
      </ns0:c>
      <ns0:c r="B121" s="12" t="n">
        <ns0:v>910120</ns0:v>
      </ns0:c>
      <ns0:c r="C121" s="12" t="inlineStr">
        <ns0:is>
          <ns0:t>사람과 시설</ns0:t>
        </ns0:is>
      </ns0:c>
      <ns0:c r="D121" s="12" t="n">
        <ns0:v>4</ns0:v>
      </ns0:c>
      <ns0:c r="E121" s="12" t="n">
        <ns0:v>3</ns0:v>
      </ns0:c>
      <ns0:c r="F121" s="12" t="inlineStr">
        <ns0:is>
          <ns0:t>동도 선착장부터 정상 시설까지 실제 이동 거리를 알아보려면 무엇을 재야 하나요?</ns0:t>
        </ns0:is>
      </ns0:c>
      <ns0:c r="G121" s="12" t="inlineStr">
        <ns0:is>
          <ns0:t>계단과 굽은 길을 따라 잰 거리</ns0:t>
        </ns0:is>
      </ns0:c>
      <ns0:c r="H121" s="12" t="inlineStr">
        <ns0:is>
          <ns0:t>사진 위 두 점의 직선만</ns0:t>
        </ns0:is>
      </ns0:c>
      <ns0:c r="I121" s="12" t="inlineStr">
        <ns0:is>
          <ns0:t>동도 전체 해안선 길이</ns0:t>
        </ns0:is>
      </ns0:c>
      <ns0:c r="J121" s="12" t="inlineStr"/>
      <ns0:c r="K121" s="12" t="n">
        <ns0:v>1</ns0:v>
      </ns0:c>
      <ns0:c r="L121" s="12" t="inlineStr">
        <ns0:is>
          <ns0:t>실제 이동은 길을 따라가므로 출발점과 끝점을 잇는 직선만 재면 부족해요.</ns0:t>
        </ns0:is>
      </ns0:c>
      <ns0:c r="M121" s="12" t="inlineStr">
        <ns0:is>
          <ns0:t>동도 선착장과 상부 시설은 다른 장소이며 길과 운반 시설로 연결돼요.</ns0:t>
        </ns0:is>
      </ns0:c>
      <ns0:c r="N121" s="12" t="inlineStr">
        <ns0:is>
          <ns0:t>dk-routes</ns0:t>
        </ns0:is>
      </ns0:c>
      <ns0:c r="O121" s="12" t="inlineStr">
        <ns0:is>
          <ns0:t>대한민국 외교부 · 독도 주요시설물
https://dokdo.mofa.go.kr/kor/introduce/facility.jsp
대한민국 전북교육청 · 독도 사진 자료
https://www.jbe.go.kr/dokdo/assets/sub/picture.html</ns0:t>
        </ns0:is>
      </ns0:c>
      <ns0:c r="P121" s="13">
        <ns0:f>LEN(F121)+MAX(LEN(G121),LEN(H121),LEN(I121),LEN(J121))</ns0:f>
        <ns0:v>61</ns0:v>
      </ns0:c>
    </ns0:row>
    <ns0:row r="122" ht="113" customHeight="1">
      <ns0:c r="A122" s="10" t="n">
        <ns0:v>920121</ns0:v>
      </ns0:c>
      <ns0:c r="B122" s="10" t="n">
        <ns0:v>910121</ns0:v>
      </ns0:c>
      <ns0:c r="C122" s="10" t="inlineStr">
        <ns0:is>
          <ns0:t>옛 기록의 두 섬</ns0:t>
        </ns0:is>
      </ns0:c>
      <ns0:c r="D122" s="10" t="n">
        <ns0:v>1</ns0:v>
      </ns0:c>
      <ns0:c r="E122" s="10" t="n">
        <ns0:v>1</ns0:v>
      </ns0:c>
      <ns0:c r="F122" s="10" t="inlineStr">
        <ns0:is>
          <ns0:t>우산·무릉 두 섬을 기록한 조선의 지리 기록은 무엇인가요?</ns0:t>
        </ns0:is>
      </ns0:c>
      <ns0:c r="G122" s="10" t="inlineStr">
        <ns0:is>
          <ns0:t>대한제국 칙령 제41호</ns0:t>
        </ns0:is>
      </ns0:c>
      <ns0:c r="H122" s="10" t="inlineStr">
        <ns0:is>
          <ns0:t>『세종실록』 지리지</ns0:t>
        </ns0:is>
      </ns0:c>
      <ns0:c r="I122" s="10" t="inlineStr">
        <ns0:is>
          <ns0:t>일본 태정관지령</ns0:t>
        </ns0:is>
      </ns0:c>
      <ns0:c r="J122" s="10" t="inlineStr"/>
      <ns0:c r="K122" s="10" t="n">
        <ns0:v>2</ns0:v>
      </ns0:c>
      <ns0:c r="L122" s="10" t="inlineStr">
        <ns0:is>
          <ns0:t>이 기록은 조선의 지역 정보를 설명하며 우산·무릉 두 섬을 적고 있어요.</ns0:t>
        </ns0:is>
      </ns0:c>
      <ns0:c r="M122" s="10" t="inlineStr">
        <ns0:is>
          <ns0:t>『세종실록』 지리지의 우산·무릉은 대한민국 외교부 해설에서 독도·울릉도로 풀이돼요.</ns0:t>
        </ns0:is>
      </ns0:c>
      <ns0:c r="N122" s="10" t="inlineStr">
        <ns0:is>
          <ns0:t>dk-sejong-record</ns0:t>
        </ns0:is>
      </ns0:c>
      <ns0:c r="O122" s="10" t="inlineStr">
        <ns0:is>
          <ns0:t>대한민국 외교부 자료실 · 세종실록 지리지(1454)
https://dokdo.mofa.go.kr/kor/pds/part06_view02.jsp</ns0:t>
        </ns0:is>
      </ns0:c>
      <ns0:c r="P122" s="11">
        <ns0:f>LEN(F122)+MAX(LEN(G122),LEN(H122),LEN(I122),LEN(J122))</ns0:f>
        <ns0:v>44</ns0:v>
      </ns0:c>
    </ns0:row>
    <ns0:row r="123" ht="113" customHeight="1">
      <ns0:c r="A123" s="12" t="n">
        <ns0:v>920122</ns0:v>
      </ns0:c>
      <ns0:c r="B123" s="12" t="n">
        <ns0:v>910122</ns0:v>
      </ns0:c>
      <ns0:c r="C123" s="12" t="inlineStr">
        <ns0:is>
          <ns0:t>옛 기록의 두 섬</ns0:t>
        </ns0:is>
      </ns0:c>
      <ns0:c r="D123" s="12" t="n">
        <ns0:v>2</ns0:v>
      </ns0:c>
      <ns0:c r="E123" s="12" t="n">
        <ns0:v>2</ns0:v>
      </ns0:c>
      <ns0:c r="F123" s="12" t="inlineStr">
        <ns0:is>
          <ns0:t>『세종실록』 지리지의 ‘무릉’은 오늘날 어느 섬으로 풀이되나요?</ns0:t>
        </ns0:is>
      </ns0:c>
      <ns0:c r="G123" s="12" t="inlineStr">
        <ns0:is>
          <ns0:t>독도</ns0:t>
        </ns0:is>
      </ns0:c>
      <ns0:c r="H123" s="12" t="inlineStr">
        <ns0:is>
          <ns0:t>제주도</ns0:t>
        </ns0:is>
      </ns0:c>
      <ns0:c r="I123" s="12" t="inlineStr">
        <ns0:is>
          <ns0:t>울릉도</ns0:t>
        </ns0:is>
      </ns0:c>
      <ns0:c r="J123" s="12" t="inlineStr"/>
      <ns0:c r="K123" s="12" t="n">
        <ns0:v>3</ns0:v>
      </ns0:c>
      <ns0:c r="L123" s="12" t="inlineStr">
        <ns0:is>
          <ns0:t>지명 해설에서는 무릉을 울릉도, 우산을 독도로 풀이해요.</ns0:t>
        </ns0:is>
      </ns0:c>
      <ns0:c r="M123" s="12" t="inlineStr">
        <ns0:is>
          <ns0:t>『세종실록』 지리지의 우산·무릉은 대한민국 외교부 해설에서 독도·울릉도로 풀이돼요.</ns0:t>
        </ns0:is>
      </ns0:c>
      <ns0:c r="N123" s="12" t="inlineStr">
        <ns0:is>
          <ns0:t>dk-sejong-record</ns0:t>
        </ns0:is>
      </ns0:c>
      <ns0:c r="O123" s="12" t="inlineStr">
        <ns0:is>
          <ns0:t>대한민국 외교부 자료실 · 세종실록 지리지(1454)
https://dokdo.mofa.go.kr/kor/pds/part06_view02.jsp</ns0:t>
        </ns0:is>
      </ns0:c>
      <ns0:c r="P123" s="13">
        <ns0:f>LEN(F123)+MAX(LEN(G123),LEN(H123),LEN(I123),LEN(J123))</ns0:f>
        <ns0:v>38</ns0:v>
      </ns0:c>
    </ns0:row>
    <ns0:row r="124" ht="113" customHeight="1">
      <ns0:c r="A124" s="10" t="n">
        <ns0:v>920123</ns0:v>
      </ns0:c>
      <ns0:c r="B124" s="10" t="n">
        <ns0:v>910123</ns0:v>
      </ns0:c>
      <ns0:c r="C124" s="10" t="inlineStr">
        <ns0:is>
          <ns0:t>옛 기록의 두 섬</ns0:t>
        </ns0:is>
      </ns0:c>
      <ns0:c r="D124" s="10" t="n">
        <ns0:v>3</ns0:v>
      </ns0:c>
      <ns0:c r="E124" s="10" t="n">
        <ns0:v>3</ns0:v>
      </ns0:c>
      <ns0:c r="F124" s="10" t="inlineStr">
        <ns0:is>
          <ns0:t>『세종실록』 지리지는 두 섬을 볼 수 있는 때를 어떻게 설명하나요?</ns0:t>
        </ns0:is>
      </ns0:c>
      <ns0:c r="G124" s="10" t="inlineStr">
        <ns0:is>
          <ns0:t>날씨가 맑을 때</ns0:t>
        </ns0:is>
      </ns0:c>
      <ns0:c r="H124" s="10" t="inlineStr">
        <ns0:is>
          <ns0:t>안개가 짙을 때</ns0:t>
        </ns0:is>
      </ns0:c>
      <ns0:c r="I124" s="10" t="inlineStr">
        <ns0:is>
          <ns0:t>밤이면 언제나</ns0:t>
        </ns0:is>
      </ns0:c>
      <ns0:c r="J124" s="10" t="inlineStr"/>
      <ns0:c r="K124" s="10" t="n">
        <ns0:v>1</ns0:v>
      </ns0:c>
      <ns0:c r="L124" s="10" t="inlineStr">
        <ns0:is>
          <ns0:t>역문의 ‘풍일이 청명하면’은 날씨가 맑을 때라는 뜻이에요.</ns0:t>
        </ns0:is>
      </ns0:c>
      <ns0:c r="M124" s="10" t="inlineStr">
        <ns0:is>
          <ns0:t>『세종실록』 지리지의 우산·무릉은 대한민국 외교부 해설에서 독도·울릉도로 풀이돼요.</ns0:t>
        </ns0:is>
      </ns0:c>
      <ns0:c r="N124" s="10" t="inlineStr">
        <ns0:is>
          <ns0:t>dk-sejong-record</ns0:t>
        </ns0:is>
      </ns0:c>
      <ns0:c r="O124" s="10" t="inlineStr">
        <ns0:is>
          <ns0:t>대한민국 외교부 자료실 · 세종실록 지리지(1454)
https://dokdo.mofa.go.kr/kor/pds/part06_view02.jsp</ns0:t>
        </ns0:is>
      </ns0:c>
      <ns0:c r="P124" s="11">
        <ns0:f>LEN(F124)+MAX(LEN(G124),LEN(H124),LEN(I124),LEN(J124))</ns0:f>
        <ns0:v>45</ns0:v>
      </ns0:c>
    </ns0:row>
    <ns0:row r="125" ht="113" customHeight="1">
      <ns0:c r="A125" s="12" t="n">
        <ns0:v>920124</ns0:v>
      </ns0:c>
      <ns0:c r="B125" s="12" t="n">
        <ns0:v>910124</ns0:v>
      </ns0:c>
      <ns0:c r="C125" s="12" t="inlineStr">
        <ns0:is>
          <ns0:t>옛 기록의 두 섬</ns0:t>
        </ns0:is>
      </ns0:c>
      <ns0:c r="D125" s="12" t="n">
        <ns0:v>4</ns0:v>
      </ns0:c>
      <ns0:c r="E125" s="12" t="n">
        <ns0:v>3</ns0:v>
      </ns0:c>
      <ns0:c r="F125" s="12" t="inlineStr">
        <ns0:is>
          <ns0:t>지명 대응표에 따라 ‘우산·무릉’을 현대 지명 순서로 바꾸면 무엇인가요?</ns0:t>
        </ns0:is>
      </ns0:c>
      <ns0:c r="G125" s="12" t="inlineStr">
        <ns0:is>
          <ns0:t>울릉도·독도</ns0:t>
        </ns0:is>
      </ns0:c>
      <ns0:c r="H125" s="12" t="inlineStr">
        <ns0:is>
          <ns0:t>독도·울릉도</ns0:t>
        </ns0:is>
      </ns0:c>
      <ns0:c r="I125" s="12" t="inlineStr">
        <ns0:is>
          <ns0:t>독도·죽도</ns0:t>
        </ns0:is>
      </ns0:c>
      <ns0:c r="J125" s="12" t="inlineStr"/>
      <ns0:c r="K125" s="12" t="n">
        <ns0:v>2</ns0:v>
      </ns0:c>
      <ns0:c r="L125" s="12" t="inlineStr">
        <ns0:is>
          <ns0:t>대응표에서 우산은 독도, 무릉은 울릉도이므로 이 순서예요.</ns0:t>
        </ns0:is>
      </ns0:c>
      <ns0:c r="M125" s="12" t="inlineStr">
        <ns0:is>
          <ns0:t>『세종실록』 지리지의 우산·무릉은 대한민국 외교부 해설에서 독도·울릉도로 풀이돼요.</ns0:t>
        </ns0:is>
      </ns0:c>
      <ns0:c r="N125" s="12" t="inlineStr">
        <ns0:is>
          <ns0:t>dk-sejong-record</ns0:t>
        </ns0:is>
      </ns0:c>
      <ns0:c r="O125" s="12" t="inlineStr">
        <ns0:is>
          <ns0:t>대한민국 외교부 자료실 · 세종실록 지리지(1454)
https://dokdo.mofa.go.kr/kor/pds/part06_view02.jsp</ns0:t>
        </ns0:is>
      </ns0:c>
      <ns0:c r="P125" s="13">
        <ns0:f>LEN(F125)+MAX(LEN(G125),LEN(H125),LEN(I125),LEN(J125))</ns0:f>
        <ns0:v>46</ns0:v>
      </ns0:c>
    </ns0:row>
    <ns0:row r="126" ht="113" customHeight="1">
      <ns0:c r="A126" s="10" t="n">
        <ns0:v>920125</ns0:v>
      </ns0:c>
      <ns0:c r="B126" s="10" t="n">
        <ns0:v>910125</ns0:v>
      </ns0:c>
      <ns0:c r="C126" s="10" t="inlineStr">
        <ns0:is>
          <ns0:t>옛 기록의 두 섬</ns0:t>
        </ns0:is>
      </ns0:c>
      <ns0:c r="D126" s="10" t="n">
        <ns0:v>1</ns0:v>
      </ns0:c>
      <ns0:c r="E126" s="10" t="n">
        <ns0:v>1</ns0:v>
      </ns0:c>
      <ns0:c r="F126" s="10" t="inlineStr">
        <ns0:is>
          <ns0:t>『세종실록』 지리지를 만든 나라는 어디인가요?</ns0:t>
        </ns0:is>
      </ns0:c>
      <ns0:c r="G126" s="10" t="inlineStr">
        <ns0:is>
          <ns0:t>에도 시대 일본</ns0:t>
        </ns0:is>
      </ns0:c>
      <ns0:c r="H126" s="10" t="inlineStr">
        <ns0:is>
          <ns0:t>대한제국</ns0:t>
        </ns0:is>
      </ns0:c>
      <ns0:c r="I126" s="10" t="inlineStr">
        <ns0:is>
          <ns0:t>조선</ns0:t>
        </ns0:is>
      </ns0:c>
      <ns0:c r="J126" s="10" t="inlineStr"/>
      <ns0:c r="K126" s="10" t="n">
        <ns0:v>3</ns0:v>
      </ns0:c>
      <ns0:c r="L126" s="10" t="inlineStr">
        <ns0:is>
          <ns0:t>『세종실록』은 조선의 왕과 시대를 기록한 실록이고 지리지도 그 기록에 포함돼요.</ns0:t>
        </ns0:is>
      </ns0:c>
      <ns0:c r="M126" s="10" t="inlineStr">
        <ns0:is>
          <ns0:t>조선의 지리 기록은 당시 나라가 지역과 섬을 어떻게 파악했는지 보여주는 역사 자료예요.</ns0:t>
        </ns0:is>
      </ns0:c>
      <ns0:c r="N126" s="10" t="inlineStr">
        <ns0:is>
          <ns0:t>dk-official-geography</ns0:t>
        </ns0:is>
      </ns0:c>
      <ns0:c r="O126" s="10" t="inlineStr">
        <ns0:is>
          <ns0:t>대한민국 외교부 자료실 · 세종실록 지리지(1454)
https://dokdo.mofa.go.kr/kor/pds/part06_view02.jsp</ns0:t>
        </ns0:is>
      </ns0:c>
      <ns0:c r="P126" s="11">
        <ns0:f>LEN(F126)+MAX(LEN(G126),LEN(H126),LEN(I126),LEN(J126))</ns0:f>
        <ns0:v>33</ns0:v>
      </ns0:c>
    </ns0:row>
    <ns0:row r="127" ht="113" customHeight="1">
      <ns0:c r="A127" s="12" t="n">
        <ns0:v>920126</ns0:v>
      </ns0:c>
      <ns0:c r="B127" s="12" t="n">
        <ns0:v>910126</ns0:v>
      </ns0:c>
      <ns0:c r="C127" s="12" t="inlineStr">
        <ns0:is>
          <ns0:t>옛 기록의 두 섬</ns0:t>
        </ns0:is>
      </ns0:c>
      <ns0:c r="D127" s="12" t="n">
        <ns0:v>2</ns0:v>
      </ns0:c>
      <ns0:c r="E127" s="12" t="n">
        <ns0:v>2</ns0:v>
      </ns0:c>
      <ns0:c r="F127" s="12" t="inlineStr">
        <ns0:is>
          <ns0:t>『세종실록』의 ‘지리지’는 주로 무엇을 설명한 부분인가요?</ns0:t>
        </ns0:is>
      </ns0:c>
      <ns0:c r="G127" s="12" t="inlineStr">
        <ns0:is>
          <ns0:t>지역과 지리 정보</ns0:t>
        </ns0:is>
      </ns0:c>
      <ns0:c r="H127" s="12" t="inlineStr">
        <ns0:is>
          <ns0:t>배가 따를 항해 금지 명령만</ns0:t>
        </ns0:is>
      </ns0:c>
      <ns0:c r="I127" s="12" t="inlineStr">
        <ns0:is>
          <ns0:t>1900년 행정 개편 명령</ns0:t>
        </ns0:is>
      </ns0:c>
      <ns0:c r="J127" s="12" t="inlineStr"/>
      <ns0:c r="K127" s="12" t="n">
        <ns0:v>1</ns0:v>
      </ns0:c>
      <ns0:c r="L127" s="12" t="inlineStr">
        <ns0:is>
          <ns0:t>지리지는 지역의 위치와 산·강·섬 등 지리 정보를 설명해요.</ns0:t>
        </ns0:is>
      </ns0:c>
      <ns0:c r="M127" s="12" t="inlineStr">
        <ns0:is>
          <ns0:t>조선의 지리 기록은 당시 나라가 지역과 섬을 어떻게 파악했는지 보여주는 역사 자료예요.</ns0:t>
        </ns0:is>
      </ns0:c>
      <ns0:c r="N127" s="12" t="inlineStr">
        <ns0:is>
          <ns0:t>dk-official-geography</ns0:t>
        </ns0:is>
      </ns0:c>
      <ns0:c r="O127" s="12" t="inlineStr">
        <ns0:is>
          <ns0:t>대한민국 외교부 자료실 · 세종실록 지리지(1454)
https://dokdo.mofa.go.kr/kor/pds/part06_view02.jsp</ns0:t>
        </ns0:is>
      </ns0:c>
      <ns0:c r="P127" s="13">
        <ns0:f>LEN(F127)+MAX(LEN(G127),LEN(H127),LEN(I127),LEN(J127))</ns0:f>
        <ns0:v>47</ns0:v>
      </ns0:c>
    </ns0:row>
    <ns0:row r="128" ht="113" customHeight="1">
      <ns0:c r="A128" s="10" t="n">
        <ns0:v>920127</ns0:v>
      </ns0:c>
      <ns0:c r="B128" s="10" t="n">
        <ns0:v>910127</ns0:v>
      </ns0:c>
      <ns0:c r="C128" s="10" t="inlineStr">
        <ns0:is>
          <ns0:t>옛 기록의 두 섬</ns0:t>
        </ns0:is>
      </ns0:c>
      <ns0:c r="D128" s="10" t="n">
        <ns0:v>3</ns0:v>
      </ns0:c>
      <ns0:c r="E128" s="10" t="n">
        <ns0:v>3</ns0:v>
      </ns0:c>
      <ns0:c r="F128" s="10" t="inlineStr">
        <ns0:is>
          <ns0:t>『세종실록』 지리지의 두 섬 기록에서 확인할 수 있는 사실은 무엇인가요?</ns0:t>
        </ns0:is>
      </ns0:c>
      <ns0:c r="G128" s="10" t="inlineStr">
        <ns0:is>
          <ns0:t>1900년 칙령이 이때 발표되었다</ns0:t>
        </ns0:is>
      </ns0:c>
      <ns0:c r="H128" s="10" t="inlineStr">
        <ns0:is>
          <ns0:t>조선의 지리 기록에 우산·무릉이 등장한다</ns0:t>
        </ns0:is>
      </ns0:c>
      <ns0:c r="I128" s="10" t="inlineStr">
        <ns0:is>
          <ns0:t>현재 섬의 모든 건물이 당시에도 있었다</ns0:t>
        </ns0:is>
      </ns0:c>
      <ns0:c r="J128" s="10" t="inlineStr"/>
      <ns0:c r="K128" s="10" t="n">
        <ns0:v>2</ns0:v>
      </ns0:c>
      <ns0:c r="L128" s="10" t="inlineStr">
        <ns0:is>
          <ns0:t>두 이름이 적혀 있다는 것은 제시된 원자료에서 직접 확인하는 내용이에요.</ns0:t>
        </ns0:is>
      </ns0:c>
      <ns0:c r="M128" s="10" t="inlineStr">
        <ns0:is>
          <ns0:t>조선의 지리 기록은 당시 나라가 지역과 섬을 어떻게 파악했는지 보여주는 역사 자료예요.</ns0:t>
        </ns0:is>
      </ns0:c>
      <ns0:c r="N128" s="10" t="inlineStr">
        <ns0:is>
          <ns0:t>dk-official-geography</ns0:t>
        </ns0:is>
      </ns0:c>
      <ns0:c r="O128" s="10" t="inlineStr">
        <ns0:is>
          <ns0:t>대한민국 외교부 자료실 · 세종실록 지리지(1454)
https://dokdo.mofa.go.kr/kor/pds/part06_view02.jsp</ns0:t>
        </ns0:is>
      </ns0:c>
      <ns0:c r="P128" s="11">
        <ns0:f>LEN(F128)+MAX(LEN(G128),LEN(H128),LEN(I128),LEN(J128))</ns0:f>
        <ns0:v>62</ns0:v>
      </ns0:c>
    </ns0:row>
    <ns0:row r="129" ht="113" customHeight="1">
      <ns0:c r="A129" s="12" t="n">
        <ns0:v>920128</ns0:v>
      </ns0:c>
      <ns0:c r="B129" s="12" t="n">
        <ns0:v>910128</ns0:v>
      </ns0:c>
      <ns0:c r="C129" s="12" t="inlineStr">
        <ns0:is>
          <ns0:t>옛 기록의 두 섬</ns0:t>
        </ns0:is>
      </ns0:c>
      <ns0:c r="D129" s="12" t="n">
        <ns0:v>4</ns0:v>
      </ns0:c>
      <ns0:c r="E129" s="12" t="n">
        <ns0:v>3</ns0:v>
      </ns0:c>
      <ns0:c r="F129" s="12" t="inlineStr">
        <ns0:is>
          <ns0:t>『세종실록』 지리지로 독도 관련 역사를 설명할 때 어떤 정보를 먼저 밝혀야 하나요?</ns0:t>
        </ns0:is>
      </ns0:c>
      <ns0:c r="G129" s="12" t="inlineStr">
        <ns0:is>
          <ns0:t>현대 기관이 공개했으니 현대에 작성됐다는 설명</ns0:t>
        </ns0:is>
      </ns0:c>
      <ns0:c r="H129" s="12" t="inlineStr">
        <ns0:is>
          <ns0:t>섬 이름만 보고 현재 지도와 완전히 같은 자료라는 설명</ns0:t>
        </ns0:is>
      </ns0:c>
      <ns0:c r="I129" s="12" t="inlineStr">
        <ns0:is>
          <ns0:t>조선의 지리 기록이라는 성격과 기록된 시기</ns0:t>
        </ns0:is>
      </ns0:c>
      <ns0:c r="J129" s="12" t="inlineStr"/>
      <ns0:c r="K129" s="12" t="n">
        <ns0:v>3</ns0:v>
      </ns0:c>
      <ns0:c r="L129" s="12" t="inlineStr">
        <ns0:is>
          <ns0:t>누가 언제 어떤 종류의 기록을 만들었는지 밝혀야 당시의 자료로 읽을 수 있어요.</ns0:t>
        </ns0:is>
      </ns0:c>
      <ns0:c r="M129" s="12" t="inlineStr">
        <ns0:is>
          <ns0:t>조선의 지리 기록은 당시 나라가 지역과 섬을 어떻게 파악했는지 보여주는 역사 자료예요.</ns0:t>
        </ns0:is>
      </ns0:c>
      <ns0:c r="N129" s="12" t="inlineStr">
        <ns0:is>
          <ns0:t>dk-official-geography</ns0:t>
        </ns0:is>
      </ns0:c>
      <ns0:c r="O129" s="12" t="inlineStr">
        <ns0:is>
          <ns0:t>대한민국 외교부 자료실 · 세종실록 지리지(1454)
https://dokdo.mofa.go.kr/kor/pds/part06_view02.jsp</ns0:t>
        </ns0:is>
      </ns0:c>
      <ns0:c r="P129" s="13">
        <ns0:f>LEN(F129)+MAX(LEN(G129),LEN(H129),LEN(I129),LEN(J129))</ns0:f>
        <ns0:v>76</ns0:v>
      </ns0:c>
    </ns0:row>
    <ns0:row r="130" ht="113" customHeight="1">
      <ns0:c r="A130" s="10" t="n">
        <ns0:v>920129</ns0:v>
      </ns0:c>
      <ns0:c r="B130" s="10" t="n">
        <ns0:v>910129</ns0:v>
      </ns0:c>
      <ns0:c r="C130" s="10" t="inlineStr">
        <ns0:is>
          <ns0:t>옛 기록의 두 섬</ns0:t>
        </ns0:is>
      </ns0:c>
      <ns0:c r="D130" s="10" t="n">
        <ns0:v>1</ns0:v>
      </ns0:c>
      <ns0:c r="E130" s="10" t="n">
        <ns0:v>1</ns0:v>
      </ns0:c>
      <ns0:c r="F130" s="10" t="inlineStr">
        <ns0:is>
          <ns0:t>1693년 울릉도에서 박어둔과 함께 일본으로 끌려간 사람은 누구인가요?</ns0:t>
        </ns0:is>
      </ns0:c>
      <ns0:c r="G130" s="10" t="inlineStr">
        <ns0:is>
          <ns0:t>안용복</ns0:t>
        </ns0:is>
      </ns0:c>
      <ns0:c r="H130" s="10" t="inlineStr">
        <ns0:is>
          <ns0:t>심흥택</ns0:t>
        </ns0:is>
      </ns0:c>
      <ns0:c r="I130" s="10" t="inlineStr">
        <ns0:is>
          <ns0:t>이사부</ns0:t>
        </ns0:is>
      </ns0:c>
      <ns0:c r="J130" s="10" t="inlineStr"/>
      <ns0:c r="K130" s="10" t="n">
        <ns0:v>1</ns0:v>
      </ns0:c>
      <ns0:c r="L130" s="10" t="inlineStr">
        <ns0:is>
          <ns0:t>1693년 사건의 두 조선 어민은 안용복과 박어둔이에요.</ns0:t>
        </ns0:is>
      </ns0:c>
      <ns0:c r="M130" s="10" t="inlineStr">
        <ns0:is>
          <ns0:t>안용복과 박어둔은 1693년 울릉도에서 어업 중 일본으로 끌려갔고, 이 사건은 울릉도 관련 교섭의 계기가 되었어요.</ns0:t>
        </ns0:is>
      </ns0:c>
      <ns0:c r="N130" s="10" t="inlineStr">
        <ns0:is>
          <ns0:t>dk-an-1693</ns0:t>
        </ns0:is>
      </ns0:c>
      <ns0:c r="O130" s="10" t="inlineStr">
        <ns0:is>
          <ns0:t>대한민국 외교부 · 안용복의 활동과 기록
https://dokdo.mofa.go.kr/kor/include/print_faq.jsp?class_faq=q5
대한민국 외교부 · 독도 연표
https://dokdo.mofa.go.kr/m/kor/dokdo/reason_list.jsp</ns0:t>
        </ns0:is>
      </ns0:c>
      <ns0:c r="P130" s="11">
        <ns0:f>LEN(F130)+MAX(LEN(G130),LEN(H130),LEN(I130),LEN(J130))</ns0:f>
        <ns0:v>42</ns0:v>
      </ns0:c>
    </ns0:row>
    <ns0:row r="131" ht="113" customHeight="1">
      <ns0:c r="A131" s="12" t="n">
        <ns0:v>920130</ns0:v>
      </ns0:c>
      <ns0:c r="B131" s="12" t="n">
        <ns0:v>910130</ns0:v>
      </ns0:c>
      <ns0:c r="C131" s="12" t="inlineStr">
        <ns0:is>
          <ns0:t>옛 기록의 두 섬</ns0:t>
        </ns0:is>
      </ns0:c>
      <ns0:c r="D131" s="12" t="n">
        <ns0:v>2</ns0:v>
      </ns0:c>
      <ns0:c r="E131" s="12" t="n">
        <ns0:v>1</ns0:v>
      </ns0:c>
      <ns0:c r="F131" s="12" t="inlineStr">
        <ns0:is>
          <ns0:t>1693년 안용복과 박어둔이 어업을 하던 섬은 어디인가요?</ns0:t>
        </ns0:is>
      </ns0:c>
      <ns0:c r="G131" s="12" t="inlineStr">
        <ns0:is>
          <ns0:t>제주도</ns0:t>
        </ns0:is>
      </ns0:c>
      <ns0:c r="H131" s="12" t="inlineStr">
        <ns0:is>
          <ns0:t>울릉도</ns0:t>
        </ns0:is>
      </ns0:c>
      <ns0:c r="I131" s="12" t="inlineStr">
        <ns0:is>
          <ns0:t>오키섬</ns0:t>
        </ns0:is>
      </ns0:c>
      <ns0:c r="J131" s="12" t="inlineStr"/>
      <ns0:c r="K131" s="12" t="n">
        <ns0:v>2</ns0:v>
      </ns0:c>
      <ns0:c r="L131" s="12" t="inlineStr">
        <ns0:is>
          <ns0:t>두 사람은 울릉도에서 어업을 하다가 일본으로 끌려갔어요.</ns0:t>
        </ns0:is>
      </ns0:c>
      <ns0:c r="M131" s="12" t="inlineStr">
        <ns0:is>
          <ns0:t>안용복과 박어둔은 1693년 울릉도에서 어업 중 일본으로 끌려갔고, 이 사건은 울릉도 관련 교섭의 계기가 되었어요.</ns0:t>
        </ns0:is>
      </ns0:c>
      <ns0:c r="N131" s="12" t="inlineStr">
        <ns0:is>
          <ns0:t>dk-an-1693</ns0:t>
        </ns0:is>
      </ns0:c>
      <ns0:c r="O131" s="12" t="inlineStr">
        <ns0:is>
          <ns0:t>대한민국 외교부 · 안용복의 활동과 기록
https://dokdo.mofa.go.kr/kor/include/print_faq.jsp?class_faq=q5
대한민국 외교부 · 독도 연표
https://dokdo.mofa.go.kr/m/kor/dokdo/reason_list.jsp</ns0:t>
        </ns0:is>
      </ns0:c>
      <ns0:c r="P131" s="13">
        <ns0:f>LEN(F131)+MAX(LEN(G131),LEN(H131),LEN(I131),LEN(J131))</ns0:f>
        <ns0:v>35</ns0:v>
      </ns0:c>
    </ns0:row>
    <ns0:row r="132" ht="113" customHeight="1">
      <ns0:c r="A132" s="10" t="n">
        <ns0:v>920131</ns0:v>
      </ns0:c>
      <ns0:c r="B132" s="10" t="n">
        <ns0:v>910131</ns0:v>
      </ns0:c>
      <ns0:c r="C132" s="10" t="inlineStr">
        <ns0:is>
          <ns0:t>옛 기록의 두 섬</ns0:t>
        </ns0:is>
      </ns0:c>
      <ns0:c r="D132" s="10" t="n">
        <ns0:v>3</ns0:v>
      </ns0:c>
      <ns0:c r="E132" s="10" t="n">
        <ns0:v>3</ns0:v>
      </ns0:c>
      <ns0:c r="F132" s="10" t="inlineStr">
        <ns0:is>
          <ns0:t>1693년 두 어민 사건 뒤 교섭의 대상이 된 섬은 어디인가요?</ns0:t>
        </ns0:is>
      </ns0:c>
      <ns0:c r="G132" s="10" t="inlineStr">
        <ns0:is>
          <ns0:t>제주도</ns0:t>
        </ns0:is>
      </ns0:c>
      <ns0:c r="H132" s="10" t="inlineStr">
        <ns0:is>
          <ns0:t>대마도 자체</ns0:t>
        </ns0:is>
      </ns0:c>
      <ns0:c r="I132" s="10" t="inlineStr">
        <ns0:is>
          <ns0:t>울릉도</ns0:t>
        </ns0:is>
      </ns0:c>
      <ns0:c r="J132" s="10" t="inlineStr"/>
      <ns0:c r="K132" s="10" t="n">
        <ns0:v>3</ns0:v>
      </ns0:c>
      <ns0:c r="L132" s="10" t="inlineStr">
        <ns0:is>
          <ns0:t>사건이 일어난 울릉도의 소속과 도해 문제를 두고 교섭이 이어졌어요.</ns0:t>
        </ns0:is>
      </ns0:c>
      <ns0:c r="M132" s="10" t="inlineStr">
        <ns0:is>
          <ns0:t>안용복과 박어둔은 1693년 울릉도에서 어업 중 일본으로 끌려갔고, 이 사건은 울릉도 관련 교섭의 계기가 되었어요.</ns0:t>
        </ns0:is>
      </ns0:c>
      <ns0:c r="N132" s="10" t="inlineStr">
        <ns0:is>
          <ns0:t>dk-an-1693</ns0:t>
        </ns0:is>
      </ns0:c>
      <ns0:c r="O132" s="10" t="inlineStr">
        <ns0:is>
          <ns0:t>대한민국 외교부 · 안용복의 활동과 기록
https://dokdo.mofa.go.kr/kor/include/print_faq.jsp?class_faq=q5
대한민국 외교부 · 독도 연표
https://dokdo.mofa.go.kr/m/kor/dokdo/reason_list.jsp</ns0:t>
        </ns0:is>
      </ns0:c>
      <ns0:c r="P132" s="11">
        <ns0:f>LEN(F132)+MAX(LEN(G132),LEN(H132),LEN(I132),LEN(J132))</ns0:f>
        <ns0:v>41</ns0:v>
      </ns0:c>
    </ns0:row>
    <ns0:row r="133" ht="113" customHeight="1">
      <ns0:c r="A133" s="12" t="n">
        <ns0:v>920132</ns0:v>
      </ns0:c>
      <ns0:c r="B133" s="12" t="n">
        <ns0:v>910132</ns0:v>
      </ns0:c>
      <ns0:c r="C133" s="12" t="inlineStr">
        <ns0:is>
          <ns0:t>옛 기록의 두 섬</ns0:t>
        </ns0:is>
      </ns0:c>
      <ns0:c r="D133" s="12" t="n">
        <ns0:v>4</ns0:v>
      </ns0:c>
      <ns0:c r="E133" s="12" t="n">
        <ns0:v>3</ns0:v>
      </ns0:c>
      <ns0:c r="F133" s="12" t="inlineStr">
        <ns0:is>
          <ns0:t>안용복의 1693년 사건과 1696년 활동을 구분한 것은 무엇인가요?</ns0:t>
        </ns0:is>
      </ns0:c>
      <ns0:c r="G133" s="12" t="inlineStr">
        <ns0:is>
          <ns0:t>1693년: 일본으로 끌려감 / 1696년: 다시 일본에 감</ns0:t>
        </ns0:is>
      </ns0:c>
      <ns0:c r="H133" s="12" t="inlineStr">
        <ns0:is>
          <ns0:t>1693년: 다시 일본에 감 / 1696년: 처음 끌려감</ns0:t>
        </ns0:is>
      </ns0:c>
      <ns0:c r="I133" s="12" t="inlineStr">
        <ns0:is>
          <ns0:t>두 기록 모두 1693년 첫 사건만 가리킴</ns0:t>
        </ns0:is>
      </ns0:c>
      <ns0:c r="J133" s="12" t="inlineStr"/>
      <ns0:c r="K133" s="12" t="n">
        <ns0:v>1</ns0:v>
      </ns0:c>
      <ns0:c r="L133" s="12" t="inlineStr">
        <ns0:is>
          <ns0:t>자료에 제시된 두 해의 경위를 그대로 구분했어요.</ns0:t>
        </ns0:is>
      </ns0:c>
      <ns0:c r="M133" s="12" t="inlineStr">
        <ns0:is>
          <ns0:t>안용복과 박어둔은 1693년 울릉도에서 어업 중 일본으로 끌려갔고, 이 사건은 울릉도 관련 교섭의 계기가 되었어요.</ns0:t>
        </ns0:is>
      </ns0:c>
      <ns0:c r="N133" s="12" t="inlineStr">
        <ns0:is>
          <ns0:t>dk-an-1693</ns0:t>
        </ns0:is>
      </ns0:c>
      <ns0:c r="O133" s="12" t="inlineStr">
        <ns0:is>
          <ns0:t>대한민국 외교부 · 안용복의 활동과 기록
https://dokdo.mofa.go.kr/kor/include/print_faq.jsp?class_faq=q5
대한민국 외교부 · 독도 연표
https://dokdo.mofa.go.kr/m/kor/dokdo/reason_list.jsp</ns0:t>
        </ns0:is>
      </ns0:c>
      <ns0:c r="P133" s="13">
        <ns0:f>LEN(F133)+MAX(LEN(G133),LEN(H133),LEN(I133),LEN(J133))</ns0:f>
        <ns0:v>71</ns0:v>
      </ns0:c>
    </ns0:row>
    <ns0:row r="134" ht="113" customHeight="1">
      <ns0:c r="A134" s="10" t="n">
        <ns0:v>920133</ns0:v>
      </ns0:c>
      <ns0:c r="B134" s="10" t="n">
        <ns0:v>910133</ns0:v>
      </ns0:c>
      <ns0:c r="C134" s="10" t="inlineStr">
        <ns0:is>
          <ns0:t>옛 기록의 두 섬</ns0:t>
        </ns0:is>
      </ns0:c>
      <ns0:c r="D134" s="10" t="n">
        <ns0:v>1</ns0:v>
      </ns0:c>
      <ns0:c r="E134" s="10" t="n">
        <ns0:v>1</ns0:v>
      </ns0:c>
      <ns0:c r="F134" s="10" t="inlineStr">
        <ns0:is>
          <ns0:t>안용복의 활동을 기록한 조선의 실록은 무엇인가요?</ns0:t>
        </ns0:is>
      </ns0:c>
      <ns0:c r="G134" s="10" t="inlineStr">
        <ns0:is>
          <ns0:t>『세종실록』</ns0:t>
        </ns0:is>
      </ns0:c>
      <ns0:c r="H134" s="10" t="inlineStr">
        <ns0:is>
          <ns0:t>『숙종실록』</ns0:t>
        </ns0:is>
      </ns0:c>
      <ns0:c r="I134" s="10" t="inlineStr">
        <ns0:is>
          <ns0:t>1900년 관보</ns0:t>
        </ns0:is>
      </ns0:c>
      <ns0:c r="J134" s="10" t="inlineStr"/>
      <ns0:c r="K134" s="10" t="n">
        <ns0:v>2</ns0:v>
      </ns0:c>
      <ns0:c r="L134" s="10" t="inlineStr">
        <ns0:is>
          <ns0:t>안용복은 숙종 때 활동했으며 관련 진술이 『숙종실록』에 기록돼요.</ns0:t>
        </ns0:is>
      </ns0:c>
      <ns0:c r="M134" s="10" t="inlineStr">
        <ns0:is>
          <ns0:t>안용복의 1696년 활동은 조선의 기록과 일본 오키섬 조사 기록을 함께 대조해 살펴볼 수 있어요.</ns0:t>
        </ns0:is>
      </ns0:c>
      <ns0:c r="N134" s="10" t="inlineStr">
        <ns0:is>
          <ns0:t>dk-an-records</ns0:t>
        </ns0:is>
      </ns0:c>
      <ns0:c r="O134" s="10" t="inlineStr">
        <ns0:is>
          <ns0:t>대한민국 외교부 · 안용복의 활동과 기록
https://dokdo.mofa.go.kr/kor/include/print_faq.jsp?class_faq=q5</ns0:t>
        </ns0:is>
      </ns0:c>
      <ns0:c r="P134" s="11">
        <ns0:f>LEN(F134)+MAX(LEN(G134),LEN(H134),LEN(I134),LEN(J134))</ns0:f>
        <ns0:v>35</ns0:v>
      </ns0:c>
    </ns0:row>
    <ns0:row r="135" ht="113" customHeight="1">
      <ns0:c r="A135" s="12" t="n">
        <ns0:v>920134</ns0:v>
      </ns0:c>
      <ns0:c r="B135" s="12" t="n">
        <ns0:v>910134</ns0:v>
      </ns0:c>
      <ns0:c r="C135" s="12" t="inlineStr">
        <ns0:is>
          <ns0:t>옛 기록의 두 섬</ns0:t>
        </ns0:is>
      </ns0:c>
      <ns0:c r="D135" s="12" t="n">
        <ns0:v>2</ns0:v>
      </ns0:c>
      <ns0:c r="E135" s="12" t="n">
        <ns0:v>1</ns0:v>
      </ns0:c>
      <ns0:c r="F135" s="12" t="inlineStr">
        <ns0:is>
          <ns0:t>1696년 안용복 일행을 조사한 일본 측 기록은 어느 섬과 관련되나요?</ns0:t>
        </ns0:is>
      </ns0:c>
      <ns0:c r="G135" s="12" t="inlineStr">
        <ns0:is>
          <ns0:t>제주도</ns0:t>
        </ns0:is>
      </ns0:c>
      <ns0:c r="H135" s="12" t="inlineStr">
        <ns0:is>
          <ns0:t>울릉도</ns0:t>
        </ns0:is>
      </ns0:c>
      <ns0:c r="I135" s="12" t="inlineStr">
        <ns0:is>
          <ns0:t>오키섬</ns0:t>
        </ns0:is>
      </ns0:c>
      <ns0:c r="J135" s="12" t="inlineStr"/>
      <ns0:c r="K135" s="12" t="n">
        <ns0:v>3</ns0:v>
      </ns0:c>
      <ns0:c r="L135" s="12" t="inlineStr">
        <ns0:is>
          <ns0:t>대한민국 외교부는 오키섬에서 조사한 기록을 관련 일본 자료로 소개해요.</ns0:t>
        </ns0:is>
      </ns0:c>
      <ns0:c r="M135" s="12" t="inlineStr">
        <ns0:is>
          <ns0:t>안용복의 1696년 활동은 조선의 기록과 일본 오키섬 조사 기록을 함께 대조해 살펴볼 수 있어요.</ns0:t>
        </ns0:is>
      </ns0:c>
      <ns0:c r="N135" s="12" t="inlineStr">
        <ns0:is>
          <ns0:t>dk-an-records</ns0:t>
        </ns0:is>
      </ns0:c>
      <ns0:c r="O135" s="12" t="inlineStr">
        <ns0:is>
          <ns0:t>대한민국 외교부 · 안용복의 활동과 기록
https://dokdo.mofa.go.kr/kor/include/print_faq.jsp?class_faq=q5</ns0:t>
        </ns0:is>
      </ns0:c>
      <ns0:c r="P135" s="13">
        <ns0:f>LEN(F135)+MAX(LEN(G135),LEN(H135),LEN(I135),LEN(J135))</ns0:f>
        <ns0:v>42</ns0:v>
      </ns0:c>
    </ns0:row>
    <ns0:row r="136" ht="113" customHeight="1">
      <ns0:c r="A136" s="10" t="n">
        <ns0:v>920135</ns0:v>
      </ns0:c>
      <ns0:c r="B136" s="10" t="n">
        <ns0:v>910135</ns0:v>
      </ns0:c>
      <ns0:c r="C136" s="10" t="inlineStr">
        <ns0:is>
          <ns0:t>옛 기록의 두 섬</ns0:t>
        </ns0:is>
      </ns0:c>
      <ns0:c r="D136" s="10" t="n">
        <ns0:v>3</ns0:v>
      </ns0:c>
      <ns0:c r="E136" s="10" t="n">
        <ns0:v>3</ns0:v>
      </ns0:c>
      <ns0:c r="F136" s="10" t="inlineStr">
        <ns0:is>
          <ns0:t>1696년 안용복 활동을 양쪽 기록으로 비교할 때 짝지을 자료는 무엇인가요?</ns0:t>
        </ns0:is>
      </ns0:c>
      <ns0:c r="G136" s="10" t="inlineStr">
        <ns0:is>
          <ns0:t>『숙종실록』과 1696년 오키섬 조사 기록</ns0:t>
        </ns0:is>
      </ns0:c>
      <ns0:c r="H136" s="10" t="inlineStr">
        <ns0:is>
          <ns0:t>1900년 칙령 제41호와 1906년 지령 제3호</ns0:t>
        </ns0:is>
      </ns0:c>
      <ns0:c r="I136" s="10" t="inlineStr">
        <ns0:is>
          <ns0:t>『세종실록』 지리지와 1877년 태정관지령</ns0:t>
        </ns0:is>
      </ns0:c>
      <ns0:c r="J136" s="10" t="inlineStr"/>
      <ns0:c r="K136" s="10" t="n">
        <ns0:v>1</ns0:v>
      </ns0:c>
      <ns0:c r="L136" s="10" t="inlineStr">
        <ns0:is>
          <ns0:t>두 자료는 각각 조선과 일본에서 안용복의 해당 활동을 기록해요.</ns0:t>
        </ns0:is>
      </ns0:c>
      <ns0:c r="M136" s="10" t="inlineStr">
        <ns0:is>
          <ns0:t>안용복의 1696년 활동은 조선의 기록과 일본 오키섬 조사 기록을 함께 대조해 살펴볼 수 있어요.</ns0:t>
        </ns0:is>
      </ns0:c>
      <ns0:c r="N136" s="10" t="inlineStr">
        <ns0:is>
          <ns0:t>dk-an-records</ns0:t>
        </ns0:is>
      </ns0:c>
      <ns0:c r="O136" s="10" t="inlineStr">
        <ns0:is>
          <ns0:t>대한민국 외교부 · 안용복의 활동과 기록
https://dokdo.mofa.go.kr/kor/include/print_faq.jsp?class_faq=q5</ns0:t>
        </ns0:is>
      </ns0:c>
      <ns0:c r="P136" s="11">
        <ns0:f>LEN(F136)+MAX(LEN(G136),LEN(H136),LEN(I136),LEN(J136))</ns0:f>
        <ns0:v>69</ns0:v>
      </ns0:c>
    </ns0:row>
    <ns0:row r="137" ht="113" customHeight="1">
      <ns0:c r="A137" s="12" t="n">
        <ns0:v>920136</ns0:v>
      </ns0:c>
      <ns0:c r="B137" s="12" t="n">
        <ns0:v>910136</ns0:v>
      </ns0:c>
      <ns0:c r="C137" s="12" t="inlineStr">
        <ns0:is>
          <ns0:t>옛 기록의 두 섬</ns0:t>
        </ns0:is>
      </ns0:c>
      <ns0:c r="D137" s="12" t="n">
        <ns0:v>4</ns0:v>
      </ns0:c>
      <ns0:c r="E137" s="12" t="n">
        <ns0:v>3</ns0:v>
      </ns0:c>
      <ns0:c r="F137" s="12" t="inlineStr">
        <ns0:is>
          <ns0:t>두 안용복 기록에서 같은 사건을 대조하려면 무엇을 먼저 맞춰야 하나요?</ns0:t>
        </ns0:is>
      </ns0:c>
      <ns0:c r="G137" s="12" t="inlineStr">
        <ns0:is>
          <ns0:t>인물 이름만 맞추고 방문 연도는 제외</ns0:t>
        </ns0:is>
      </ns0:c>
      <ns0:c r="H137" s="12" t="inlineStr">
        <ns0:is>
          <ns0:t>인물·시기·방문 장소</ns0:t>
        </ns0:is>
      </ns0:c>
      <ns0:c r="I137" s="12" t="inlineStr">
        <ns0:is>
          <ns0:t>방문 장소만 맞추고 인물과 시기는 제외</ns0:t>
        </ns0:is>
      </ns0:c>
      <ns0:c r="J137" s="12" t="inlineStr"/>
      <ns0:c r="K137" s="12" t="n">
        <ns0:v>2</ns0:v>
      </ns0:c>
      <ns0:c r="L137" s="12" t="inlineStr">
        <ns0:is>
          <ns0:t>두 기록이 같은 활동을 다루는지 먼저 확인해야 내용을 대조할 수 있어요.</ns0:t>
        </ns0:is>
      </ns0:c>
      <ns0:c r="M137" s="12" t="inlineStr">
        <ns0:is>
          <ns0:t>안용복의 1696년 활동은 조선의 기록과 일본 오키섬 조사 기록을 함께 대조해 살펴볼 수 있어요.</ns0:t>
        </ns0:is>
      </ns0:c>
      <ns0:c r="N137" s="12" t="inlineStr">
        <ns0:is>
          <ns0:t>dk-an-records</ns0:t>
        </ns0:is>
      </ns0:c>
      <ns0:c r="O137" s="12" t="inlineStr">
        <ns0:is>
          <ns0:t>대한민국 외교부 · 안용복의 활동과 기록
https://dokdo.mofa.go.kr/kor/include/print_faq.jsp?class_faq=q5</ns0:t>
        </ns0:is>
      </ns0:c>
      <ns0:c r="P137" s="13">
        <ns0:f>LEN(F137)+MAX(LEN(G137),LEN(H137),LEN(I137),LEN(J137))</ns0:f>
        <ns0:v>60</ns0:v>
      </ns0:c>
    </ns0:row>
    <ns0:row r="138" ht="113" customHeight="1">
      <ns0:c r="A138" s="10" t="n">
        <ns0:v>920137</ns0:v>
      </ns0:c>
      <ns0:c r="B138" s="10" t="n">
        <ns0:v>910137</ns0:v>
      </ns0:c>
      <ns0:c r="C138" s="10" t="inlineStr">
        <ns0:is>
          <ns0:t>옛 기록의 두 섬</ns0:t>
        </ns0:is>
      </ns0:c>
      <ns0:c r="D138" s="10" t="n">
        <ns0:v>1</ns0:v>
      </ns0:c>
      <ns0:c r="E138" s="10" t="n">
        <ns0:v>1</ns0:v>
      </ns0:c>
      <ns0:c r="F138" s="10" t="inlineStr">
        <ns0:is>
          <ns0:t>1696년 일본 에도 막부의 울릉도 도해금지령은 어느 달에 내려졌나요?</ns0:t>
        </ns0:is>
      </ns0:c>
      <ns0:c r="G138" s="10" t="inlineStr">
        <ns0:is>
          <ns0:t>5월</ns0:t>
        </ns0:is>
      </ns0:c>
      <ns0:c r="H138" s="10" t="inlineStr">
        <ns0:is>
          <ns0:t>10월</ns0:t>
        </ns0:is>
      </ns0:c>
      <ns0:c r="I138" s="10" t="inlineStr">
        <ns0:is>
          <ns0:t>1월</ns0:t>
        </ns0:is>
      </ns0:c>
      <ns0:c r="J138" s="10" t="inlineStr"/>
      <ns0:c r="K138" s="10" t="n">
        <ns0:v>3</ns0:v>
      </ns0:c>
      <ns0:c r="L138" s="10" t="inlineStr">
        <ns0:is>
          <ns0:t>연표에는 울릉도 도해금지령이 1696년 1월에 나와요.</ns0:t>
        </ns0:is>
      </ns0:c>
      <ns0:c r="M138" s="10" t="inlineStr">
        <ns0:is>
          <ns0:t>1696년 1월 울릉도 도해금지령이 먼저이고, 안용복의 5월 일본 도해는 그 뒤예요.</ns0:t>
        </ns0:is>
      </ns0:c>
      <ns0:c r="N138" s="10" t="inlineStr">
        <ns0:is>
          <ns0:t>dk-an-chronology</ns0:t>
        </ns0:is>
      </ns0:c>
      <ns0:c r="O138" s="10" t="inlineStr">
        <ns0:is>
          <ns0:t>대한민국 외교부 · 독도 연표
https://dokdo.mofa.go.kr/m/kor/dokdo/reason_list.jsp
대한민국 외교부 · 울릉도 도해금지령(1696)
https://dokdo.mofa.go.kr/kor/pds/part05_view06.jsp</ns0:t>
        </ns0:is>
      </ns0:c>
      <ns0:c r="P138" s="11">
        <ns0:f>LEN(F138)+MAX(LEN(G138),LEN(H138),LEN(I138),LEN(J138))</ns0:f>
        <ns0:v>42</ns0:v>
      </ns0:c>
    </ns0:row>
    <ns0:row r="139" ht="113" customHeight="1">
      <ns0:c r="A139" s="12" t="n">
        <ns0:v>920138</ns0:v>
      </ns0:c>
      <ns0:c r="B139" s="12" t="n">
        <ns0:v>910138</ns0:v>
      </ns0:c>
      <ns0:c r="C139" s="12" t="inlineStr">
        <ns0:is>
          <ns0:t>옛 기록의 두 섬</ns0:t>
        </ns0:is>
      </ns0:c>
      <ns0:c r="D139" s="12" t="n">
        <ns0:v>2</ns0:v>
      </ns0:c>
      <ns0:c r="E139" s="12" t="n">
        <ns0:v>2</ns0:v>
      </ns0:c>
      <ns0:c r="F139" s="12" t="inlineStr">
        <ns0:is>
          <ns0:t>1696년에 먼저 일어난 것은 무엇인가요?</ns0:t>
        </ns0:is>
      </ns0:c>
      <ns0:c r="G139" s="12" t="inlineStr">
        <ns0:is>
          <ns0:t>울릉도 도해금지령</ns0:t>
        </ns0:is>
      </ns0:c>
      <ns0:c r="H139" s="12" t="inlineStr">
        <ns0:is>
          <ns0:t>안용복의 5월 일본 도해</ns0:t>
        </ns0:is>
      </ns0:c>
      <ns0:c r="I139" s="12" t="inlineStr"/>
      <ns0:c r="J139" s="12" t="inlineStr"/>
      <ns0:c r="K139" s="12" t="n">
        <ns0:v>1</ns0:v>
      </ns0:c>
      <ns0:c r="L139" s="12" t="inlineStr">
        <ns0:is>
          <ns0:t>1월의 금지령이 5월의 도해보다 먼저예요.</ns0:t>
        </ns0:is>
      </ns0:c>
      <ns0:c r="M139" s="12" t="inlineStr">
        <ns0:is>
          <ns0:t>1696년 1월 울릉도 도해금지령이 먼저이고, 안용복의 5월 일본 도해는 그 뒤예요.</ns0:t>
        </ns0:is>
      </ns0:c>
      <ns0:c r="N139" s="12" t="inlineStr">
        <ns0:is>
          <ns0:t>dk-an-chronology</ns0:t>
        </ns0:is>
      </ns0:c>
      <ns0:c r="O139" s="12" t="inlineStr">
        <ns0:is>
          <ns0:t>대한민국 외교부 · 독도 연표
https://dokdo.mofa.go.kr/m/kor/dokdo/reason_list.jsp
대한민국 외교부 · 울릉도 도해금지령(1696)
https://dokdo.mofa.go.kr/kor/pds/part05_view06.jsp</ns0:t>
        </ns0:is>
      </ns0:c>
      <ns0:c r="P139" s="13">
        <ns0:f>LEN(F139)+MAX(LEN(G139),LEN(H139),LEN(I139),LEN(J139))</ns0:f>
        <ns0:v>36</ns0:v>
      </ns0:c>
    </ns0:row>
    <ns0:row r="140" ht="113" customHeight="1">
      <ns0:c r="A140" s="10" t="n">
        <ns0:v>920139</ns0:v>
      </ns0:c>
      <ns0:c r="B140" s="10" t="n">
        <ns0:v>910139</ns0:v>
      </ns0:c>
      <ns0:c r="C140" s="10" t="inlineStr">
        <ns0:is>
          <ns0:t>옛 기록의 두 섬</ns0:t>
        </ns0:is>
      </ns0:c>
      <ns0:c r="D140" s="10" t="n">
        <ns0:v>3</ns0:v>
      </ns0:c>
      <ns0:c r="E140" s="10" t="n">
        <ns0:v>3</ns0:v>
      </ns0:c>
      <ns0:c r="F140" s="10" t="inlineStr">
        <ns0:is>
          <ns0:t>안용복의 5월 도해보다 앞선 사건을 연표에서 고르면 무엇인가요?</ns0:t>
        </ns0:is>
      </ns0:c>
      <ns0:c r="G140" s="10" t="inlineStr">
        <ns0:is>
          <ns0:t>1월 일본 에도 막부의 금지령</ns0:t>
        </ns0:is>
      </ns0:c>
      <ns0:c r="H140" s="10" t="inlineStr">
        <ns0:is>
          <ns0:t>1900년 대한제국 칙령 제41호</ns0:t>
        </ns0:is>
      </ns0:c>
      <ns0:c r="I140" s="10" t="inlineStr">
        <ns0:is>
          <ns0:t>1906년 심흥택 보고</ns0:t>
        </ns0:is>
      </ns0:c>
      <ns0:c r="J140" s="10" t="inlineStr"/>
      <ns0:c r="K140" s="10" t="n">
        <ns0:v>1</ns0:v>
      </ns0:c>
      <ns0:c r="L140" s="10" t="inlineStr">
        <ns0:is>
          <ns0:t>같은 해이지만 1월이 5월보다 앞서므로 금지령이 먼저예요.</ns0:t>
        </ns0:is>
      </ns0:c>
      <ns0:c r="M140" s="10" t="inlineStr">
        <ns0:is>
          <ns0:t>1696년 1월 울릉도 도해금지령이 먼저이고, 안용복의 5월 일본 도해는 그 뒤예요.</ns0:t>
        </ns0:is>
      </ns0:c>
      <ns0:c r="N140" s="10" t="inlineStr">
        <ns0:is>
          <ns0:t>dk-an-chronology</ns0:t>
        </ns0:is>
      </ns0:c>
      <ns0:c r="O140" s="10" t="inlineStr">
        <ns0:is>
          <ns0:t>대한민국 외교부 · 독도 연표
https://dokdo.mofa.go.kr/m/kor/dokdo/reason_list.jsp
대한민국 외교부 · 울릉도 도해금지령(1696)
https://dokdo.mofa.go.kr/kor/pds/part05_view06.jsp</ns0:t>
        </ns0:is>
      </ns0:c>
      <ns0:c r="P140" s="11">
        <ns0:f>LEN(F140)+MAX(LEN(G140),LEN(H140),LEN(I140),LEN(J140))</ns0:f>
        <ns0:v>53</ns0:v>
      </ns0:c>
    </ns0:row>
    <ns0:row r="141" ht="113" customHeight="1">
      <ns0:c r="A141" s="12" t="n">
        <ns0:v>920140</ns0:v>
      </ns0:c>
      <ns0:c r="B141" s="12" t="n">
        <ns0:v>910140</ns0:v>
      </ns0:c>
      <ns0:c r="C141" s="12" t="inlineStr">
        <ns0:is>
          <ns0:t>옛 기록의 두 섬</ns0:t>
        </ns0:is>
      </ns0:c>
      <ns0:c r="D141" s="12" t="n">
        <ns0:v>4</ns0:v>
      </ns0:c>
      <ns0:c r="E141" s="12" t="n">
        <ns0:v>4</ns0:v>
      </ns0:c>
      <ns0:c r="F141" s="12" t="inlineStr">
        <ns0:is>
          <ns0:t>‘1696년 5월 도해 때문에 그해 1월 금지령이 내려졌다’는 설명은 왜 틀렸나요?</ns0:t>
        </ns0:is>
      </ns0:c>
      <ns0:c r="G141" s="12" t="inlineStr">
        <ns0:is>
          <ns0:t>두 사건이 같은 달 같은 날이어서</ns0:t>
        </ns0:is>
      </ns0:c>
      <ns0:c r="H141" s="12" t="inlineStr">
        <ns0:is>
          <ns0:t>원인이라고 한 사건이 금지령보다 뒤에 일어나서</ns0:t>
        </ns0:is>
      </ns0:c>
      <ns0:c r="I141" s="12" t="inlineStr">
        <ns0:is>
          <ns0:t>금지령이 1900년에 내려졌기 때문에</ns0:t>
        </ns0:is>
      </ns0:c>
      <ns0:c r="J141" s="12" t="inlineStr"/>
      <ns0:c r="K141" s="12" t="n">
        <ns0:v>2</ns0:v>
      </ns0:c>
      <ns0:c r="L141" s="12" t="inlineStr">
        <ns0:is>
          <ns0:t>이 연표의 순서로는 나중의 5월 사건이 앞선 1월 명령을 일으켰다고 할 수 없어요.</ns0:t>
        </ns0:is>
      </ns0:c>
      <ns0:c r="M141" s="12" t="inlineStr">
        <ns0:is>
          <ns0:t>1696년 1월 울릉도 도해금지령이 먼저이고, 안용복의 5월 일본 도해는 그 뒤예요.</ns0:t>
        </ns0:is>
      </ns0:c>
      <ns0:c r="N141" s="12" t="inlineStr">
        <ns0:is>
          <ns0:t>dk-an-chronology</ns0:t>
        </ns0:is>
      </ns0:c>
      <ns0:c r="O141" s="12" t="inlineStr">
        <ns0:is>
          <ns0:t>대한민국 외교부 · 독도 연표
https://dokdo.mofa.go.kr/m/kor/dokdo/reason_list.jsp
대한민국 외교부 · 울릉도 도해금지령(1696)
https://dokdo.mofa.go.kr/kor/pds/part05_view06.jsp</ns0:t>
        </ns0:is>
      </ns0:c>
      <ns0:c r="P141" s="13">
        <ns0:f>LEN(F141)+MAX(LEN(G141),LEN(H141),LEN(I141),LEN(J141))</ns0:f>
        <ns0:v>71</ns0:v>
      </ns0:c>
    </ns0:row>
    <ns0:row r="142" ht="113" customHeight="1">
      <ns0:c r="A142" s="10" t="n">
        <ns0:v>920141</ns0:v>
      </ns0:c>
      <ns0:c r="B142" s="10" t="n">
        <ns0:v>910141</ns0:v>
      </ns0:c>
      <ns0:c r="C142" s="10" t="inlineStr">
        <ns0:is>
          <ns0:t>칙령 제41호 읽기</ns0:t>
        </ns0:is>
      </ns0:c>
      <ns0:c r="D142" s="10" t="n">
        <ns0:v>1</ns0:v>
      </ns0:c>
      <ns0:c r="E142" s="10" t="n">
        <ns0:v>1</ns0:v>
      </ns0:c>
      <ns0:c r="F142" s="10" t="inlineStr">
        <ns0:is>
          <ns0:t>1900년 울릉도를 울도로 이름 바꾼 명령은 무엇인가요?</ns0:t>
        </ns0:is>
      </ns0:c>
      <ns0:c r="G142" s="10" t="inlineStr">
        <ns0:is>
          <ns0:t>대한제국 칙령 제41호</ns0:t>
        </ns0:is>
      </ns0:c>
      <ns0:c r="H142" s="10" t="inlineStr">
        <ns0:is>
          <ns0:t>울릉도 도해금지령</ns0:t>
        </ns0:is>
      </ns0:c>
      <ns0:c r="I142" s="10" t="inlineStr">
        <ns0:is>
          <ns0:t>태정관지령</ns0:t>
        </ns0:is>
      </ns0:c>
      <ns0:c r="J142" s="10" t="inlineStr">
        <ns0:is>
          <ns0:t>지령 제3호</ns0:t>
        </ns0:is>
      </ns0:c>
      <ns0:c r="K142" s="10" t="n">
        <ns0:v>1</ns0:v>
      </ns0:c>
      <ns0:c r="L142" s="10" t="inlineStr">
        <ns0:is>
          <ns0:t>칙령 제41호 제1조에 이름과 행정 책임자 변경이 나와요.</ns0:t>
        </ns0:is>
      </ns0:c>
      <ns0:c r="M142" s="10" t="inlineStr">
        <ns0:is>
          <ns0:t>1900년 대한제국 칙령 제41호는 울릉도를 울도로 바꾸고 행정 체계를 정했어요.</ns0:t>
        </ns0:is>
      </ns0:c>
      <ns0:c r="N142" s="10" t="inlineStr">
        <ns0:is>
          <ns0:t>dk-decree-name</ns0:t>
        </ns0:is>
      </ns0:c>
      <ns0:c r="O142" s="10" t="inlineStr">
        <ns0:is>
          <ns0:t>대한민국 외교부 자료실 · 대한제국 칙령 제41호
https://dokdo.mofa.go.kr/kor/pds/part02_view02.jsp</ns0:t>
        </ns0:is>
      </ns0:c>
      <ns0:c r="P142" s="11">
        <ns0:f>LEN(F142)+MAX(LEN(G142),LEN(H142),LEN(I142),LEN(J142))</ns0:f>
        <ns0:v>43</ns0:v>
      </ns0:c>
    </ns0:row>
    <ns0:row r="143" ht="113" customHeight="1">
      <ns0:c r="A143" s="12" t="n">
        <ns0:v>920142</ns0:v>
      </ns0:c>
      <ns0:c r="B143" s="12" t="n">
        <ns0:v>910142</ns0:v>
      </ns0:c>
      <ns0:c r="C143" s="12" t="inlineStr">
        <ns0:is>
          <ns0:t>칙령 제41호 읽기</ns0:t>
        </ns0:is>
      </ns0:c>
      <ns0:c r="D143" s="12" t="n">
        <ns0:v>2</ns0:v>
      </ns0:c>
      <ns0:c r="E143" s="12" t="n">
        <ns0:v>1</ns0:v>
      </ns0:c>
      <ns0:c r="F143" s="12" t="inlineStr">
        <ns0:is>
          <ns0:t>칙령 제41호에서 울릉도의 행정 이름을 무엇으로 바꾸었나요?</ns0:t>
        </ns0:is>
      </ns0:c>
      <ns0:c r="G143" s="12" t="inlineStr">
        <ns0:is>
          <ns0:t>우산국</ns0:t>
        </ns0:is>
      </ns0:c>
      <ns0:c r="H143" s="12" t="inlineStr">
        <ns0:is>
          <ns0:t>오키군</ns0:t>
        </ns0:is>
      </ns0:c>
      <ns0:c r="I143" s="12" t="inlineStr">
        <ns0:is>
          <ns0:t>울도</ns0:t>
        </ns0:is>
      </ns0:c>
      <ns0:c r="J143" s="12" t="inlineStr"/>
      <ns0:c r="K143" s="12" t="n">
        <ns0:v>3</ns0:v>
      </ns0:c>
      <ns0:c r="L143" s="12" t="inlineStr">
        <ns0:is>
          <ns0:t>제1조는 울릉도를 울도로 개칭한다고 규정해요.</ns0:t>
        </ns0:is>
      </ns0:c>
      <ns0:c r="M143" s="12" t="inlineStr">
        <ns0:is>
          <ns0:t>1900년 대한제국 칙령 제41호는 울릉도를 울도로 바꾸고 행정 체계를 정했어요.</ns0:t>
        </ns0:is>
      </ns0:c>
      <ns0:c r="N143" s="12" t="inlineStr">
        <ns0:is>
          <ns0:t>dk-decree-name</ns0:t>
        </ns0:is>
      </ns0:c>
      <ns0:c r="O143" s="12" t="inlineStr">
        <ns0:is>
          <ns0:t>대한민국 외교부 자료실 · 대한제국 칙령 제41호
https://dokdo.mofa.go.kr/kor/pds/part02_view02.jsp</ns0:t>
        </ns0:is>
      </ns0:c>
      <ns0:c r="P143" s="13">
        <ns0:f>LEN(F143)+MAX(LEN(G143),LEN(H143),LEN(I143),LEN(J143))</ns0:f>
        <ns0:v>36</ns0:v>
      </ns0:c>
    </ns0:row>
    <ns0:row r="144" ht="113" customHeight="1">
      <ns0:c r="A144" s="10" t="n">
        <ns0:v>920143</ns0:v>
      </ns0:c>
      <ns0:c r="B144" s="10" t="n">
        <ns0:v>910143</ns0:v>
      </ns0:c>
      <ns0:c r="C144" s="10" t="inlineStr">
        <ns0:is>
          <ns0:t>칙령 제41호 읽기</ns0:t>
        </ns0:is>
      </ns0:c>
      <ns0:c r="D144" s="10" t="n">
        <ns0:v>3</ns0:v>
      </ns0:c>
      <ns0:c r="E144" s="10" t="n">
        <ns0:v>3</ns0:v>
      </ns0:c>
      <ns0:c r="F144" s="10" t="inlineStr">
        <ns0:is>
          <ns0:t>제시된 칙령 제1조의 이름 변경 전후를 바르게 연결한 것은 무엇인가요?</ns0:t>
        </ns0:is>
      </ns0:c>
      <ns0:c r="G144" s="10" t="inlineStr">
        <ns0:is>
          <ns0:t>울릉도 → 울도</ns0:t>
        </ns0:is>
      </ns0:c>
      <ns0:c r="H144" s="10" t="inlineStr">
        <ns0:is>
          <ns0:t>울도 → 울릉도</ns0:t>
        </ns0:is>
      </ns0:c>
      <ns0:c r="I144" s="10" t="inlineStr">
        <ns0:is>
          <ns0:t>독도 → 죽도</ns0:t>
        </ns0:is>
      </ns0:c>
      <ns0:c r="J144" s="10" t="inlineStr"/>
      <ns0:c r="K144" s="10" t="n">
        <ns0:v>1</ns0:v>
      </ns0:c>
      <ns0:c r="L144" s="10" t="inlineStr">
        <ns0:is>
          <ns0:t>원문의 앞 이름과 바꾼 뒤 이름을 이 순서로 연결해요.</ns0:t>
        </ns0:is>
      </ns0:c>
      <ns0:c r="M144" s="10" t="inlineStr">
        <ns0:is>
          <ns0:t>1900년 대한제국 칙령 제41호는 울릉도를 울도로 바꾸고 행정 체계를 정했어요.</ns0:t>
        </ns0:is>
      </ns0:c>
      <ns0:c r="N144" s="10" t="inlineStr">
        <ns0:is>
          <ns0:t>dk-decree-name</ns0:t>
        </ns0:is>
      </ns0:c>
      <ns0:c r="O144" s="10" t="inlineStr">
        <ns0:is>
          <ns0:t>대한민국 외교부 자료실 · 대한제국 칙령 제41호
https://dokdo.mofa.go.kr/kor/pds/part02_view02.jsp</ns0:t>
        </ns0:is>
      </ns0:c>
      <ns0:c r="P144" s="11">
        <ns0:f>LEN(F144)+MAX(LEN(G144),LEN(H144),LEN(I144),LEN(J144))</ns0:f>
        <ns0:v>47</ns0:v>
      </ns0:c>
    </ns0:row>
    <ns0:row r="145" ht="113" customHeight="1">
      <ns0:c r="A145" s="12" t="n">
        <ns0:v>920144</ns0:v>
      </ns0:c>
      <ns0:c r="B145" s="12" t="n">
        <ns0:v>910144</ns0:v>
      </ns0:c>
      <ns0:c r="C145" s="12" t="inlineStr">
        <ns0:is>
          <ns0:t>칙령 제41호 읽기</ns0:t>
        </ns0:is>
      </ns0:c>
      <ns0:c r="D145" s="12" t="n">
        <ns0:v>4</ns0:v>
      </ns0:c>
      <ns0:c r="E145" s="12" t="n">
        <ns0:v>3</ns0:v>
      </ns0:c>
      <ns0:c r="F145" s="12" t="inlineStr">
        <ns0:is>
          <ns0:t>칙령 제41호 제1조에서 함께 바뀐 두 항목은 무엇인가요?</ns0:t>
        </ns0:is>
      </ns0:c>
      <ns0:c r="G145" s="12" t="inlineStr">
        <ns0:is>
          <ns0:t>관할 섬 목록과 군청 위치</ns0:t>
        </ns0:is>
      </ns0:c>
      <ns0:c r="H145" s="12" t="inlineStr">
        <ns0:is>
          <ns0:t>행정 이름과 책임 관리의 직책</ns0:t>
        </ns0:is>
      </ns0:c>
      <ns0:c r="I145" s="12" t="inlineStr">
        <ns0:is>
          <ns0:t>군수의 봉급과 세금 부담</ns0:t>
        </ns0:is>
      </ns0:c>
      <ns0:c r="J145" s="12" t="inlineStr"/>
      <ns0:c r="K145" s="12" t="n">
        <ns0:v>2</ns0:v>
      </ns0:c>
      <ns0:c r="L145" s="12" t="inlineStr">
        <ns0:is>
          <ns0:t>제1조는 울릉도에서 울도로, 도감에서 군수로 바꾸는 내용을 담아요.</ns0:t>
        </ns0:is>
      </ns0:c>
      <ns0:c r="M145" s="12" t="inlineStr">
        <ns0:is>
          <ns0:t>1900년 대한제국 칙령 제41호는 울릉도를 울도로 바꾸고 행정 체계를 정했어요.</ns0:t>
        </ns0:is>
      </ns0:c>
      <ns0:c r="N145" s="12" t="inlineStr">
        <ns0:is>
          <ns0:t>dk-decree-name</ns0:t>
        </ns0:is>
      </ns0:c>
      <ns0:c r="O145" s="12" t="inlineStr">
        <ns0:is>
          <ns0:t>대한민국 외교부 자료실 · 대한제국 칙령 제41호
https://dokdo.mofa.go.kr/kor/pds/part02_view02.jsp</ns0:t>
        </ns0:is>
      </ns0:c>
      <ns0:c r="P145" s="13">
        <ns0:f>LEN(F145)+MAX(LEN(G145),LEN(H145),LEN(I145),LEN(J145))</ns0:f>
        <ns0:v>48</ns0:v>
      </ns0:c>
    </ns0:row>
    <ns0:row r="146" ht="113" customHeight="1">
      <ns0:c r="A146" s="10" t="n">
        <ns0:v>920145</ns0:v>
      </ns0:c>
      <ns0:c r="B146" s="10" t="n">
        <ns0:v>910145</ns0:v>
      </ns0:c>
      <ns0:c r="C146" s="10" t="inlineStr">
        <ns0:is>
          <ns0:t>칙령 제41호 읽기</ns0:t>
        </ns0:is>
      </ns0:c>
      <ns0:c r="D146" s="10" t="n">
        <ns0:v>1</ns0:v>
      </ns0:c>
      <ns0:c r="E146" s="10" t="n">
        <ns0:v>1</ns0:v>
      </ns0:c>
      <ns0:c r="F146" s="10" t="inlineStr">
        <ns0:is>
          <ns0:t>칙령 제41호는 울릉도의 도감을 어떤 관리로 바꾸도록 했나요?</ns0:t>
        </ns0:is>
      </ns0:c>
      <ns0:c r="G146" s="10" t="inlineStr">
        <ns0:is>
          <ns0:t>관찰사</ns0:t>
        </ns0:is>
      </ns0:c>
      <ns0:c r="H146" s="10" t="inlineStr">
        <ns0:is>
          <ns0:t>내부대신</ns0:t>
        </ns0:is>
      </ns0:c>
      <ns0:c r="I146" s="10" t="inlineStr">
        <ns0:is>
          <ns0:t>군수</ns0:t>
        </ns0:is>
      </ns0:c>
      <ns0:c r="J146" s="10" t="inlineStr"/>
      <ns0:c r="K146" s="10" t="n">
        <ns0:v>3</ns0:v>
      </ns0:c>
      <ns0:c r="L146" s="10" t="inlineStr">
        <ns0:is>
          <ns0:t>제1조가 도감을 대신하도록 정한 행정 직책이에요.</ns0:t>
        </ns0:is>
      </ns0:c>
      <ns0:c r="M146" s="10" t="inlineStr">
        <ns0:is>
          <ns0:t>칙령 제41호는 도감을 군수로 바꾸도록 했고 군수는 군의 행정을 맡는 관리예요.</ns0:t>
        </ns0:is>
      </ns0:c>
      <ns0:c r="N146" s="10" t="inlineStr">
        <ns0:is>
          <ns0:t>dk-county-head</ns0:t>
        </ns0:is>
      </ns0:c>
      <ns0:c r="O146" s="10" t="inlineStr">
        <ns0:is>
          <ns0:t>대한민국 외교부 자료실 · 대한제국 칙령 제41호
https://dokdo.mofa.go.kr/kor/pds/part02_view02.jsp</ns0:t>
        </ns0:is>
      </ns0:c>
      <ns0:c r="P146" s="11">
        <ns0:f>LEN(F146)+MAX(LEN(G146),LEN(H146),LEN(I146),LEN(J146))</ns0:f>
        <ns0:v>38</ns0:v>
      </ns0:c>
    </ns0:row>
    <ns0:row r="147" ht="113" customHeight="1">
      <ns0:c r="A147" s="12" t="n">
        <ns0:v>920146</ns0:v>
      </ns0:c>
      <ns0:c r="B147" s="12" t="n">
        <ns0:v>910146</ns0:v>
      </ns0:c>
      <ns0:c r="C147" s="12" t="inlineStr">
        <ns0:is>
          <ns0:t>칙령 제41호 읽기</ns0:t>
        </ns0:is>
      </ns0:c>
      <ns0:c r="D147" s="12" t="n">
        <ns0:v>2</ns0:v>
      </ns0:c>
      <ns0:c r="E147" s="12" t="n">
        <ns0:v>2</ns0:v>
      </ns0:c>
      <ns0:c r="F147" s="12" t="inlineStr">
        <ns0:is>
          <ns0:t>‘울도군수’에서 군수는 무엇을 맡는 관리인가요?</ns0:t>
        </ns0:is>
      </ns0:c>
      <ns0:c r="G147" s="12" t="inlineStr">
        <ns0:is>
          <ns0:t>군의 행정</ns0:t>
        </ns0:is>
      </ns0:c>
      <ns0:c r="H147" s="12" t="inlineStr">
        <ns0:is>
          <ns0:t>배 한 척의 운항</ns0:t>
        </ns0:is>
      </ns0:c>
      <ns0:c r="I147" s="12" t="inlineStr">
        <ns0:is>
          <ns0:t>등대 한 곳의 불빛 관리</ns0:t>
        </ns0:is>
      </ns0:c>
      <ns0:c r="J147" s="12" t="inlineStr"/>
      <ns0:c r="K147" s="12" t="n">
        <ns0:v>1</ns0:v>
      </ns0:c>
      <ns0:c r="L147" s="12" t="inlineStr">
        <ns0:is>
          <ns0:t>군수는 군이라는 행정 구역의 일을 맡는 관리예요.</ns0:t>
        </ns0:is>
      </ns0:c>
      <ns0:c r="M147" s="12" t="inlineStr">
        <ns0:is>
          <ns0:t>칙령 제41호는 도감을 군수로 바꾸도록 했고 군수는 군의 행정을 맡는 관리예요.</ns0:t>
        </ns0:is>
      </ns0:c>
      <ns0:c r="N147" s="12" t="inlineStr">
        <ns0:is>
          <ns0:t>dk-county-head</ns0:t>
        </ns0:is>
      </ns0:c>
      <ns0:c r="O147" s="12" t="inlineStr">
        <ns0:is>
          <ns0:t>대한민국 외교부 자료실 · 대한제국 칙령 제41호
https://dokdo.mofa.go.kr/kor/pds/part02_view02.jsp</ns0:t>
        </ns0:is>
      </ns0:c>
      <ns0:c r="P147" s="13">
        <ns0:f>LEN(F147)+MAX(LEN(G147),LEN(H147),LEN(I147),LEN(J147))</ns0:f>
        <ns0:v>39</ns0:v>
      </ns0:c>
    </ns0:row>
    <ns0:row r="148" ht="113" customHeight="1">
      <ns0:c r="A148" s="10" t="n">
        <ns0:v>920147</ns0:v>
      </ns0:c>
      <ns0:c r="B148" s="10" t="n">
        <ns0:v>910147</ns0:v>
      </ns0:c>
      <ns0:c r="C148" s="10" t="inlineStr">
        <ns0:is>
          <ns0:t>칙령 제41호 읽기</ns0:t>
        </ns0:is>
      </ns0:c>
      <ns0:c r="D148" s="10" t="n">
        <ns0:v>3</ns0:v>
      </ns0:c>
      <ns0:c r="E148" s="10" t="n">
        <ns0:v>3</ns0:v>
      </ns0:c>
      <ns0:c r="F148" s="10" t="inlineStr">
        <ns0:is>
          <ns0:t>칙령 제41호 제1조의 직책 변경 방향은 무엇인가요?</ns0:t>
        </ns0:is>
      </ns0:c>
      <ns0:c r="G148" s="10" t="inlineStr">
        <ns0:is>
          <ns0:t>군수 → 도감</ns0:t>
        </ns0:is>
      </ns0:c>
      <ns0:c r="H148" s="10" t="inlineStr">
        <ns0:is>
          <ns0:t>도감 → 군수</ns0:t>
        </ns0:is>
      </ns0:c>
      <ns0:c r="I148" s="10" t="inlineStr">
        <ns0:is>
          <ns0:t>도감 → 관찰사</ns0:t>
        </ns0:is>
      </ns0:c>
      <ns0:c r="J148" s="10" t="inlineStr"/>
      <ns0:c r="K148" s="10" t="n">
        <ns0:v>2</ns0:v>
      </ns0:c>
      <ns0:c r="L148" s="10" t="inlineStr">
        <ns0:is>
          <ns0:t>도감을 군수로 바꾼다는 구절과 같아요.</ns0:t>
        </ns0:is>
      </ns0:c>
      <ns0:c r="M148" s="10" t="inlineStr">
        <ns0:is>
          <ns0:t>칙령 제41호는 도감을 군수로 바꾸도록 했고 군수는 군의 행정을 맡는 관리예요.</ns0:t>
        </ns0:is>
      </ns0:c>
      <ns0:c r="N148" s="10" t="inlineStr">
        <ns0:is>
          <ns0:t>dk-county-head</ns0:t>
        </ns0:is>
      </ns0:c>
      <ns0:c r="O148" s="10" t="inlineStr">
        <ns0:is>
          <ns0:t>대한민국 외교부 자료실 · 대한제국 칙령 제41호
https://dokdo.mofa.go.kr/kor/pds/part02_view02.jsp</ns0:t>
        </ns0:is>
      </ns0:c>
      <ns0:c r="P148" s="11">
        <ns0:f>LEN(F148)+MAX(LEN(G148),LEN(H148),LEN(I148),LEN(J148))</ns0:f>
        <ns0:v>37</ns0:v>
      </ns0:c>
    </ns0:row>
    <ns0:row r="149" ht="113" customHeight="1">
      <ns0:c r="A149" s="12" t="n">
        <ns0:v>920148</ns0:v>
      </ns0:c>
      <ns0:c r="B149" s="12" t="n">
        <ns0:v>910148</ns0:v>
      </ns0:c>
      <ns0:c r="C149" s="12" t="inlineStr">
        <ns0:is>
          <ns0:t>칙령 제41호 읽기</ns0:t>
        </ns0:is>
      </ns0:c>
      <ns0:c r="D149" s="12" t="n">
        <ns0:v>4</ns0:v>
      </ns0:c>
      <ns0:c r="E149" s="12" t="n">
        <ns0:v>2</ns0:v>
      </ns0:c>
      <ns0:c r="F149" s="12" t="inlineStr">
        <ns0:is>
          <ns0:t>울도군수가 관할 구역의 상황을 상부에 보고하는 일은 어떤 역할과 연결되나요?</ns0:t>
        </ns0:is>
      </ns0:c>
      <ns0:c r="G149" s="12" t="inlineStr">
        <ns0:is>
          <ns0:t>강원도 전체의 행정을 맡는 역할</ns0:t>
        </ns0:is>
      </ns0:c>
      <ns0:c r="H149" s="12" t="inlineStr">
        <ns0:is>
          <ns0:t>나라 전체의 칙령을 내리는 역할</ns0:t>
        </ns0:is>
      </ns0:c>
      <ns0:c r="I149" s="12" t="inlineStr">
        <ns0:is>
          <ns0:t>관할 구역의 상황을 관리하고 보고하는 역할</ns0:t>
        </ns0:is>
      </ns0:c>
      <ns0:c r="J149" s="12" t="inlineStr"/>
      <ns0:c r="K149" s="12" t="n">
        <ns0:v>3</ns0:v>
      </ns0:c>
      <ns0:c r="L149" s="12" t="inlineStr">
        <ns0:is>
          <ns0:t>군의 행정 책임과 지역 상황 보고가 연결돼요.</ns0:t>
        </ns0:is>
      </ns0:c>
      <ns0:c r="M149" s="12" t="inlineStr">
        <ns0:is>
          <ns0:t>칙령 제41호는 도감을 군수로 바꾸도록 했고 군수는 군의 행정을 맡는 관리예요.</ns0:t>
        </ns0:is>
      </ns0:c>
      <ns0:c r="N149" s="12" t="inlineStr">
        <ns0:is>
          <ns0:t>dk-county-head</ns0:t>
        </ns0:is>
      </ns0:c>
      <ns0:c r="O149" s="12" t="inlineStr">
        <ns0:is>
          <ns0:t>대한민국 외교부 자료실 · 대한제국 칙령 제41호
https://dokdo.mofa.go.kr/kor/pds/part02_view02.jsp</ns0:t>
        </ns0:is>
      </ns0:c>
      <ns0:c r="P149" s="13">
        <ns0:f>LEN(F149)+MAX(LEN(G149),LEN(H149),LEN(I149),LEN(J149))</ns0:f>
        <ns0:v>65</ns0:v>
      </ns0:c>
    </ns0:row>
    <ns0:row r="150" ht="113" customHeight="1">
      <ns0:c r="A150" s="10" t="n">
        <ns0:v>920149</ns0:v>
      </ns0:c>
      <ns0:c r="B150" s="10" t="n">
        <ns0:v>910149</ns0:v>
      </ns0:c>
      <ns0:c r="C150" s="10" t="inlineStr">
        <ns0:is>
          <ns0:t>칙령 제41호 읽기</ns0:t>
        </ns0:is>
      </ns0:c>
      <ns0:c r="D150" s="10" t="n">
        <ns0:v>1</ns0:v>
      </ns0:c>
      <ns0:c r="E150" s="10" t="n">
        <ns0:v>1</ns0:v>
      </ns0:c>
      <ns0:c r="F150" s="10" t="inlineStr">
        <ns0:is>
          <ns0:t>칙령 제41호 제2조에 적힌 관할 섬 이름은 무엇인가요?</ns0:t>
        </ns0:is>
      </ns0:c>
      <ns0:c r="G150" s="10" t="inlineStr">
        <ns0:is>
          <ns0:t>석도</ns0:t>
        </ns0:is>
      </ns0:c>
      <ns0:c r="H150" s="10" t="inlineStr">
        <ns0:is>
          <ns0:t>오키섬</ns0:t>
        </ns0:is>
      </ns0:c>
      <ns0:c r="I150" s="10" t="inlineStr">
        <ns0:is>
          <ns0:t>제주도</ns0:t>
        </ns0:is>
      </ns0:c>
      <ns0:c r="J150" s="10" t="inlineStr"/>
      <ns0:c r="K150" s="10" t="n">
        <ns0:v>1</ns0:v>
      </ns0:c>
      <ns0:c r="L150" s="10" t="inlineStr">
        <ns0:is>
          <ns0:t>제2조는 울릉전도·죽도·석도를 관할한다고 적고 있어요.</ns0:t>
        </ns0:is>
      </ns0:c>
      <ns0:c r="M150" s="10" t="inlineStr">
        <ns0:is>
          <ns0:t>칙령 제41호 제2조는 울릉전도·죽도·석도를 관할로 적었고, 대한민국 외교부는 석도를 독도로 풀이해요.</ns0:t>
        </ns0:is>
      </ns0:c>
      <ns0:c r="N150" s="10" t="inlineStr">
        <ns0:is>
          <ns0:t>dk-territory</ns0:t>
        </ns0:is>
      </ns0:c>
      <ns0:c r="O150" s="10" t="inlineStr">
        <ns0:is>
          <ns0:t>대한민국 외교부 자료실 · 대한제국 칙령 제41호
https://dokdo.mofa.go.kr/kor/pds/part02_view02.jsp
대한민국 외교부 · 칙령 제41호와 독도 관할 해설
https://dokdo.mofa.go.kr/kor/include/print_faq.jsp?class_faq=q8</ns0:t>
        </ns0:is>
      </ns0:c>
      <ns0:c r="P150" s="11">
        <ns0:f>LEN(F150)+MAX(LEN(G150),LEN(H150),LEN(I150),LEN(J150))</ns0:f>
        <ns0:v>34</ns0:v>
      </ns0:c>
    </ns0:row>
    <ns0:row r="151" ht="113" customHeight="1">
      <ns0:c r="A151" s="12" t="n">
        <ns0:v>920150</ns0:v>
      </ns0:c>
      <ns0:c r="B151" s="12" t="n">
        <ns0:v>910150</ns0:v>
      </ns0:c>
      <ns0:c r="C151" s="12" t="inlineStr">
        <ns0:is>
          <ns0:t>칙령 제41호 읽기</ns0:t>
        </ns0:is>
      </ns0:c>
      <ns0:c r="D151" s="12" t="n">
        <ns0:v>2</ns0:v>
      </ns0:c>
      <ns0:c r="E151" s="12" t="n">
        <ns0:v>2</ns0:v>
      </ns0:c>
      <ns0:c r="F151" s="12" t="inlineStr">
        <ns0:is>
          <ns0:t>칙령 제41호에 적힌 ‘석도’는 오늘날 어느 섬으로 풀이되나요?</ns0:t>
        </ns0:is>
      </ns0:c>
      <ns0:c r="G151" s="12" t="inlineStr">
        <ns0:is>
          <ns0:t>울릉도</ns0:t>
        </ns0:is>
      </ns0:c>
      <ns0:c r="H151" s="12" t="inlineStr">
        <ns0:is>
          <ns0:t>독도</ns0:t>
        </ns0:is>
      </ns0:c>
      <ns0:c r="I151" s="12" t="inlineStr">
        <ns0:is>
          <ns0:t>오키섬</ns0:t>
        </ns0:is>
      </ns0:c>
      <ns0:c r="J151" s="12" t="inlineStr"/>
      <ns0:c r="K151" s="12" t="n">
        <ns0:v>2</ns0:v>
      </ns0:c>
      <ns0:c r="L151" s="12" t="inlineStr">
        <ns0:is>
          <ns0:t>대한민국 외교부는 제2조의 석도를 독도로 풀이하며 울도군 관할에 독도를 명시한 자료로 설명해요.</ns0:t>
        </ns0:is>
      </ns0:c>
      <ns0:c r="M151" s="12" t="inlineStr">
        <ns0:is>
          <ns0:t>칙령 제41호 제2조는 울릉전도·죽도·석도를 관할로 적었고, 대한민국 외교부는 석도를 독도로 풀이해요.</ns0:t>
        </ns0:is>
      </ns0:c>
      <ns0:c r="N151" s="12" t="inlineStr">
        <ns0:is>
          <ns0:t>dk-territory</ns0:t>
        </ns0:is>
      </ns0:c>
      <ns0:c r="O151" s="12" t="inlineStr">
        <ns0:is>
          <ns0:t>대한민국 외교부 자료실 · 대한제국 칙령 제41호
https://dokdo.mofa.go.kr/kor/pds/part02_view02.jsp
대한민국 외교부 · 칙령 제41호와 독도 관할 해설
https://dokdo.mofa.go.kr/kor/include/print_faq.jsp?class_faq=q8</ns0:t>
        </ns0:is>
      </ns0:c>
      <ns0:c r="P151" s="13">
        <ns0:f>LEN(F151)+MAX(LEN(G151),LEN(H151),LEN(I151),LEN(J151))</ns0:f>
        <ns0:v>38</ns0:v>
      </ns0:c>
    </ns0:row>
    <ns0:row r="152" ht="113" customHeight="1">
      <ns0:c r="A152" s="10" t="n">
        <ns0:v>920151</ns0:v>
      </ns0:c>
      <ns0:c r="B152" s="10" t="n">
        <ns0:v>910151</ns0:v>
      </ns0:c>
      <ns0:c r="C152" s="10" t="inlineStr">
        <ns0:is>
          <ns0:t>칙령 제41호 읽기</ns0:t>
        </ns0:is>
      </ns0:c>
      <ns0:c r="D152" s="10" t="n">
        <ns0:v>3</ns0:v>
      </ns0:c>
      <ns0:c r="E152" s="10" t="n">
        <ns0:v>3</ns0:v>
      </ns0:c>
      <ns0:c r="F152" s="10" t="inlineStr">
        <ns0:is>
          <ns0:t>칙령 제41호의 관할 구역을 빠짐없이 적은 것은 무엇인가요?</ns0:t>
        </ns0:is>
      </ns0:c>
      <ns0:c r="G152" s="10" t="inlineStr">
        <ns0:is>
          <ns0:t>울릉전도·죽도</ns0:t>
        </ns0:is>
      </ns0:c>
      <ns0:c r="H152" s="10" t="inlineStr">
        <ns0:is>
          <ns0:t>울릉전도·석도·오키섬</ns0:t>
        </ns0:is>
      </ns0:c>
      <ns0:c r="I152" s="10" t="inlineStr">
        <ns0:is>
          <ns0:t>울릉전도·죽도·석도</ns0:t>
        </ns0:is>
      </ns0:c>
      <ns0:c r="J152" s="10" t="inlineStr"/>
      <ns0:c r="K152" s="10" t="n">
        <ns0:v>3</ns0:v>
      </ns0:c>
      <ns0:c r="L152" s="10" t="inlineStr">
        <ns0:is>
          <ns0:t>제2조의 세 지명을 모두 포함해요.</ns0:t>
        </ns0:is>
      </ns0:c>
      <ns0:c r="M152" s="10" t="inlineStr">
        <ns0:is>
          <ns0:t>칙령 제41호 제2조는 울릉전도·죽도·석도를 관할로 적었고, 대한민국 외교부는 석도를 독도로 풀이해요.</ns0:t>
        </ns0:is>
      </ns0:c>
      <ns0:c r="N152" s="10" t="inlineStr">
        <ns0:is>
          <ns0:t>dk-territory</ns0:t>
        </ns0:is>
      </ns0:c>
      <ns0:c r="O152" s="10" t="inlineStr">
        <ns0:is>
          <ns0:t>대한민국 외교부 자료실 · 대한제국 칙령 제41호
https://dokdo.mofa.go.kr/kor/pds/part02_view02.jsp
대한민국 외교부 · 칙령 제41호와 독도 관할 해설
https://dokdo.mofa.go.kr/kor/include/print_faq.jsp?class_faq=q8</ns0:t>
        </ns0:is>
      </ns0:c>
      <ns0:c r="P152" s="11">
        <ns0:f>LEN(F152)+MAX(LEN(G152),LEN(H152),LEN(I152),LEN(J152))</ns0:f>
        <ns0:v>44</ns0:v>
      </ns0:c>
    </ns0:row>
    <ns0:row r="153" ht="113" customHeight="1">
      <ns0:c r="A153" s="12" t="n">
        <ns0:v>920152</ns0:v>
      </ns0:c>
      <ns0:c r="B153" s="12" t="n">
        <ns0:v>910152</ns0:v>
      </ns0:c>
      <ns0:c r="C153" s="12" t="inlineStr">
        <ns0:is>
          <ns0:t>칙령 제41호 읽기</ns0:t>
        </ns0:is>
      </ns0:c>
      <ns0:c r="D153" s="12" t="n">
        <ns0:v>4</ns0:v>
      </ns0:c>
      <ns0:c r="E153" s="12" t="n">
        <ns0:v>3</ns0:v>
      </ns0:c>
      <ns0:c r="F153" s="12" t="inlineStr">
        <ns0:is>
          <ns0:t>칙령 제41호를 ‘울릉도 한 섬만 관리한 문서’로 설명할 때 빠지는 내용은 무엇인가요?</ns0:t>
        </ns0:is>
      </ns0:c>
      <ns0:c r="G153" s="12" t="inlineStr">
        <ns0:is>
          <ns0:t>죽도와 석도도 관할 목록에 있다는 점</ns0:t>
        </ns0:is>
      </ns0:c>
      <ns0:c r="H153" s="12" t="inlineStr">
        <ns0:is>
          <ns0:t>오키섬이 관할 목록에 있다는 점</ns0:t>
        </ns0:is>
      </ns0:c>
      <ns0:c r="I153" s="12" t="inlineStr">
        <ns0:is>
          <ns0:t>제주도가 관할 목록에 있다는 점</ns0:t>
        </ns0:is>
      </ns0:c>
      <ns0:c r="J153" s="12" t="inlineStr"/>
      <ns0:c r="K153" s="12" t="n">
        <ns0:v>1</ns0:v>
      </ns0:c>
      <ns0:c r="L153" s="12" t="inlineStr">
        <ns0:is>
          <ns0:t>울릉전도 다음에 적힌 두 지명도 빼지 않고 읽어야 해요.</ns0:t>
        </ns0:is>
      </ns0:c>
      <ns0:c r="M153" s="12" t="inlineStr">
        <ns0:is>
          <ns0:t>칙령 제41호 제2조는 울릉전도·죽도·석도를 관할로 적었고, 대한민국 외교부는 석도를 독도로 풀이해요.</ns0:t>
        </ns0:is>
      </ns0:c>
      <ns0:c r="N153" s="12" t="inlineStr">
        <ns0:is>
          <ns0:t>dk-territory</ns0:t>
        </ns0:is>
      </ns0:c>
      <ns0:c r="O153" s="12" t="inlineStr">
        <ns0:is>
          <ns0:t>대한민국 외교부 자료실 · 대한제국 칙령 제41호
https://dokdo.mofa.go.kr/kor/pds/part02_view02.jsp
대한민국 외교부 · 칙령 제41호와 독도 관할 해설
https://dokdo.mofa.go.kr/kor/include/print_faq.jsp?class_faq=q8</ns0:t>
        </ns0:is>
      </ns0:c>
      <ns0:c r="P153" s="13">
        <ns0:f>LEN(F153)+MAX(LEN(G153),LEN(H153),LEN(I153),LEN(J153))</ns0:f>
        <ns0:v>68</ns0:v>
      </ns0:c>
    </ns0:row>
    <ns0:row r="154" ht="113" customHeight="1">
      <ns0:c r="A154" s="10" t="n">
        <ns0:v>920153</ns0:v>
      </ns0:c>
      <ns0:c r="B154" s="10" t="n">
        <ns0:v>910153</ns0:v>
      </ns0:c>
      <ns0:c r="C154" s="10" t="inlineStr">
        <ns0:is>
          <ns0:t>칙령 제41호 읽기</ns0:t>
        </ns0:is>
      </ns0:c>
      <ns0:c r="D154" s="10" t="n">
        <ns0:v>1</ns0:v>
      </ns0:c>
      <ns0:c r="E154" s="10" t="n">
        <ns0:v>1</ns0:v>
      </ns0:c>
      <ns0:c r="F154" s="10" t="inlineStr">
        <ns0:is>
          <ns0:t>대한제국 칙령 제41호에 적힌 날짜는 언제인가요?</ns0:t>
        </ns0:is>
      </ns0:c>
      <ns0:c r="G154" s="10" t="inlineStr">
        <ns0:is>
          <ns0:t>1900년 10월 27일</ns0:t>
        </ns0:is>
      </ns0:c>
      <ns0:c r="H154" s="10" t="inlineStr">
        <ns0:is>
          <ns0:t>1900년 10월 25일</ns0:t>
        </ns0:is>
      </ns0:c>
      <ns0:c r="I154" s="10" t="inlineStr">
        <ns0:is>
          <ns0:t>1906년 5월 10일</ns0:t>
        </ns0:is>
      </ns0:c>
      <ns0:c r="J154" s="10" t="inlineStr"/>
      <ns0:c r="K154" s="10" t="n">
        <ns0:v>2</ns0:v>
      </ns0:c>
      <ns0:c r="L154" s="10" t="inlineStr">
        <ns0:is>
          <ns0:t>칙령 문서의 날짜는 10월 25일이에요.</ns0:t>
        </ns0:is>
      </ns0:c>
      <ns0:c r="M154" s="10" t="inlineStr">
        <ns0:is>
          <ns0:t>칙령 제41호는 1900년 10월 25일자 문서이며 관보에는 10월 27일 실렸어요.</ns0:t>
        </ns0:is>
      </ns0:c>
      <ns0:c r="N154" s="10" t="inlineStr">
        <ns0:is>
          <ns0:t>dk-gazette-date</ns0:t>
        </ns0:is>
      </ns0:c>
      <ns0:c r="O154" s="10" t="inlineStr">
        <ns0:is>
          <ns0:t>대한민국 외교부 자료실 · 대한제국 칙령 제41호
https://dokdo.mofa.go.kr/kor/pds/part02_view02.jsp
대한민국 외교부 자료실 · 관보(1900.10.27)
https://dokdo.mofa.go.kr/kor/pds/part02_view03.jsp</ns0:t>
        </ns0:is>
      </ns0:c>
      <ns0:c r="P154" s="11">
        <ns0:f>LEN(F154)+MAX(LEN(G154),LEN(H154),LEN(I154),LEN(J154))</ns0:f>
        <ns0:v>40</ns0:v>
      </ns0:c>
    </ns0:row>
    <ns0:row r="155" ht="113" customHeight="1">
      <ns0:c r="A155" s="12" t="n">
        <ns0:v>920154</ns0:v>
      </ns0:c>
      <ns0:c r="B155" s="12" t="n">
        <ns0:v>910154</ns0:v>
      </ns0:c>
      <ns0:c r="C155" s="12" t="inlineStr">
        <ns0:is>
          <ns0:t>칙령 제41호 읽기</ns0:t>
        </ns0:is>
      </ns0:c>
      <ns0:c r="D155" s="12" t="n">
        <ns0:v>2</ns0:v>
      </ns0:c>
      <ns0:c r="E155" s="12" t="n">
        <ns0:v>2</ns0:v>
      </ns0:c>
      <ns0:c r="F155" s="12" t="inlineStr">
        <ns0:is>
          <ns0:t>칙령이 실린 대한제국 관보의 역할은 무엇인가요?</ns0:t>
        </ns0:is>
      </ns0:c>
      <ns0:c r="G155" s="12" t="inlineStr">
        <ns0:is>
          <ns0:t>새 행정 개편안을 상부에 제안</ns0:t>
        </ns0:is>
      </ns0:c>
      <ns0:c r="H155" s="12" t="inlineStr">
        <ns0:is>
          <ns0:t>현지 상황을 상부에만 보고</ns0:t>
        </ns0:is>
      </ns0:c>
      <ns0:c r="I155" s="12" t="inlineStr">
        <ns0:is>
          <ns0:t>결정된 명령을 공식적으로 알림</ns0:t>
        </ns0:is>
      </ns0:c>
      <ns0:c r="J155" s="12" t="inlineStr"/>
      <ns0:c r="K155" s="12" t="n">
        <ns0:v>3</ns0:v>
      </ns0:c>
      <ns0:c r="L155" s="12" t="inlineStr">
        <ns0:is>
          <ns0:t>관보는 칙령 등 국가의 공식 내용을 공표하는 기록이에요.</ns0:t>
        </ns0:is>
      </ns0:c>
      <ns0:c r="M155" s="12" t="inlineStr">
        <ns0:is>
          <ns0:t>칙령 제41호는 1900년 10월 25일자 문서이며 관보에는 10월 27일 실렸어요.</ns0:t>
        </ns0:is>
      </ns0:c>
      <ns0:c r="N155" s="12" t="inlineStr">
        <ns0:is>
          <ns0:t>dk-gazette-date</ns0:t>
        </ns0:is>
      </ns0:c>
      <ns0:c r="O155" s="12" t="inlineStr">
        <ns0:is>
          <ns0:t>대한민국 외교부 자료실 · 대한제국 칙령 제41호
https://dokdo.mofa.go.kr/kor/pds/part02_view02.jsp
대한민국 외교부 자료실 · 관보(1900.10.27)
https://dokdo.mofa.go.kr/kor/pds/part02_view03.jsp</ns0:t>
        </ns0:is>
      </ns0:c>
      <ns0:c r="P155" s="13">
        <ns0:f>LEN(F155)+MAX(LEN(G155),LEN(H155),LEN(I155),LEN(J155))</ns0:f>
        <ns0:v>42</ns0:v>
      </ns0:c>
    </ns0:row>
    <ns0:row r="156" ht="113" customHeight="1">
      <ns0:c r="A156" s="10" t="n">
        <ns0:v>920155</ns0:v>
      </ns0:c>
      <ns0:c r="B156" s="10" t="n">
        <ns0:v>910155</ns0:v>
      </ns0:c>
      <ns0:c r="C156" s="10" t="inlineStr">
        <ns0:is>
          <ns0:t>칙령 제41호 읽기</ns0:t>
        </ns0:is>
      </ns0:c>
      <ns0:c r="D156" s="10" t="n">
        <ns0:v>3</ns0:v>
      </ns0:c>
      <ns0:c r="E156" s="10" t="n">
        <ns0:v>3</ns0:v>
      </ns0:c>
      <ns0:c r="F156" s="10" t="inlineStr">
        <ns0:is>
          <ns0:t>칙령 제41호가 관보에 실린 날짜는 언제인가요?</ns0:t>
        </ns0:is>
      </ns0:c>
      <ns0:c r="G156" s="10" t="inlineStr">
        <ns0:is>
          <ns0:t>1900년 10월 27일</ns0:t>
        </ns0:is>
      </ns0:c>
      <ns0:c r="H156" s="10" t="inlineStr">
        <ns0:is>
          <ns0:t>1900년 10월 25일</ns0:t>
        </ns0:is>
      </ns0:c>
      <ns0:c r="I156" s="10" t="inlineStr">
        <ns0:is>
          <ns0:t>1900년 10월 22일</ns0:t>
        </ns0:is>
      </ns0:c>
      <ns0:c r="J156" s="10" t="inlineStr"/>
      <ns0:c r="K156" s="10" t="n">
        <ns0:v>1</ns0:v>
      </ns0:c>
      <ns0:c r="L156" s="10" t="inlineStr">
        <ns0:is>
          <ns0:t>제시된 기록에서 관보 게재 날짜는 10월 27일이에요.</ns0:t>
        </ns0:is>
      </ns0:c>
      <ns0:c r="M156" s="10" t="inlineStr">
        <ns0:is>
          <ns0:t>칙령 제41호는 1900년 10월 25일자 문서이며 관보에는 10월 27일 실렸어요.</ns0:t>
        </ns0:is>
      </ns0:c>
      <ns0:c r="N156" s="10" t="inlineStr">
        <ns0:is>
          <ns0:t>dk-gazette-date</ns0:t>
        </ns0:is>
      </ns0:c>
      <ns0:c r="O156" s="10" t="inlineStr">
        <ns0:is>
          <ns0:t>대한민국 외교부 자료실 · 대한제국 칙령 제41호
https://dokdo.mofa.go.kr/kor/pds/part02_view02.jsp
대한민국 외교부 자료실 · 관보(1900.10.27)
https://dokdo.mofa.go.kr/kor/pds/part02_view03.jsp</ns0:t>
        </ns0:is>
      </ns0:c>
      <ns0:c r="P156" s="11">
        <ns0:f>LEN(F156)+MAX(LEN(G156),LEN(H156),LEN(I156),LEN(J156))</ns0:f>
        <ns0:v>39</ns0:v>
      </ns0:c>
    </ns0:row>
    <ns0:row r="157" ht="113" customHeight="1">
      <ns0:c r="A157" s="12" t="n">
        <ns0:v>920156</ns0:v>
      </ns0:c>
      <ns0:c r="B157" s="12" t="n">
        <ns0:v>910156</ns0:v>
      </ns0:c>
      <ns0:c r="C157" s="12" t="inlineStr">
        <ns0:is>
          <ns0:t>칙령 제41호 읽기</ns0:t>
        </ns0:is>
      </ns0:c>
      <ns0:c r="D157" s="12" t="n">
        <ns0:v>4</ns0:v>
      </ns0:c>
      <ns0:c r="E157" s="12" t="n">
        <ns0:v>3</ns0:v>
      </ns0:c>
      <ns0:c r="F157" s="12" t="inlineStr">
        <ns0:is>
          <ns0:t>칙령 날짜가 25일이고 관보 날짜가 27일인 까닭은 무엇인가요?</ns0:t>
        </ns0:is>
      </ns0:c>
      <ns0:c r="G157" s="12" t="inlineStr">
        <ns0:is>
          <ns0:t>서로 다른 두 칙령이기 때문</ns0:t>
        </ns0:is>
      </ns0:c>
      <ns0:c r="H157" s="12" t="inlineStr">
        <ns0:is>
          <ns0:t>문서 날짜와 공식 게재 날짜가 다르기 때문</ns0:t>
        </ns0:is>
      </ns0:c>
      <ns0:c r="I157" s="12" t="inlineStr">
        <ns0:is>
          <ns0:t>둘 중 하나가 반드시 오기이기 때문</ns0:t>
        </ns0:is>
      </ns0:c>
      <ns0:c r="J157" s="12" t="inlineStr"/>
      <ns0:c r="K157" s="12" t="n">
        <ns0:v>2</ns0:v>
      </ns0:c>
      <ns0:c r="L157" s="12" t="inlineStr">
        <ns0:is>
          <ns0:t>같은 칙령이라도 문서에 적힌 날짜와 관보에 실린 날짜는 구분해요.</ns0:t>
        </ns0:is>
      </ns0:c>
      <ns0:c r="M157" s="12" t="inlineStr">
        <ns0:is>
          <ns0:t>칙령 제41호는 1900년 10월 25일자 문서이며 관보에는 10월 27일 실렸어요.</ns0:t>
        </ns0:is>
      </ns0:c>
      <ns0:c r="N157" s="12" t="inlineStr">
        <ns0:is>
          <ns0:t>dk-gazette-date</ns0:t>
        </ns0:is>
      </ns0:c>
      <ns0:c r="O157" s="12" t="inlineStr">
        <ns0:is>
          <ns0:t>대한민국 외교부 자료실 · 대한제국 칙령 제41호
https://dokdo.mofa.go.kr/kor/pds/part02_view02.jsp
대한민국 외교부 자료실 · 관보(1900.10.27)
https://dokdo.mofa.go.kr/kor/pds/part02_view03.jsp</ns0:t>
        </ns0:is>
      </ns0:c>
      <ns0:c r="P157" s="13">
        <ns0:f>LEN(F157)+MAX(LEN(G157),LEN(H157),LEN(I157),LEN(J157))</ns0:f>
        <ns0:v>58</ns0:v>
      </ns0:c>
    </ns0:row>
    <ns0:row r="158" ht="158" customHeight="1">
      <ns0:c r="A158" s="10" t="n">
        <ns0:v>920157</ns0:v>
      </ns0:c>
      <ns0:c r="B158" s="10" t="n">
        <ns0:v>910157</ns0:v>
      </ns0:c>
      <ns0:c r="C158" s="10" t="inlineStr">
        <ns0:is>
          <ns0:t>칙령 제41호 읽기</ns0:t>
        </ns0:is>
      </ns0:c>
      <ns0:c r="D158" s="10" t="n">
        <ns0:v>1</ns0:v>
      </ns0:c>
      <ns0:c r="E158" s="10" t="n">
        <ns0:v>1</ns0:v>
      </ns0:c>
      <ns0:c r="F158" s="10" t="inlineStr">
        <ns0:is>
          <ns0:t>1900년 울도 행정 개편안을 올린 문서를 무엇이라고 하나요?</ns0:t>
        </ns0:is>
      </ns0:c>
      <ns0:c r="G158" s="10" t="inlineStr">
        <ns0:is>
          <ns0:t>도해금지령</ns0:t>
        </ns0:is>
      </ns0:c>
      <ns0:c r="H158" s="10" t="inlineStr">
        <ns0:is>
          <ns0:t>태정관지령</ns0:t>
        </ns0:is>
      </ns0:c>
      <ns0:c r="I158" s="10" t="inlineStr">
        <ns0:is>
          <ns0:t>청의서</ns0:t>
        </ns0:is>
      </ns0:c>
      <ns0:c r="J158" s="10" t="inlineStr"/>
      <ns0:c r="K158" s="10" t="n">
        <ns0:v>3</ns0:v>
      </ns0:c>
      <ns0:c r="L158" s="10" t="inlineStr">
        <ns0:is>
          <ns0:t>청의서는 안건을 올려 검토를 요청하는 문서예요.</ns0:t>
        </ns0:is>
      </ns0:c>
      <ns0:c r="M158" s="10" t="inlineStr">
        <ns0:is>
          <ns0:t>울도 행정 개편은 청의서의 제안, 칙령, 관보 게재의 순서로 확인할 수 있어요.</ns0:t>
        </ns0:is>
      </ns0:c>
      <ns0:c r="N158" s="10" t="inlineStr">
        <ns0:is>
          <ns0:t>dk-proposal-order</ns0:t>
        </ns0:is>
      </ns0:c>
      <ns0:c r="O158" s="10" t="inlineStr">
        <ns0:is>
          <ns0:t>대한민국 외교부 자료실 · 의정부 청의서(1900.10.22)
https://dokdo.mofa.go.kr/kor/pds/part02_view01.jsp
대한민국 외교부 자료실 · 대한제국 칙령 제41호
https://dokdo.mofa.go.kr/kor/pds/part02_view02.jsp
대한민국 외교부 자료실 · 관보(1900.10.27)
https://dokdo.mofa.go.kr/kor/pds/part02_view03.jsp</ns0:t>
        </ns0:is>
      </ns0:c>
      <ns0:c r="P158" s="11">
        <ns0:f>LEN(F158)+MAX(LEN(G158),LEN(H158),LEN(I158),LEN(J158))</ns0:f>
        <ns0:v>39</ns0:v>
      </ns0:c>
    </ns0:row>
    <ns0:row r="159" ht="158" customHeight="1">
      <ns0:c r="A159" s="12" t="n">
        <ns0:v>920158</ns0:v>
      </ns0:c>
      <ns0:c r="B159" s="12" t="n">
        <ns0:v>910158</ns0:v>
      </ns0:c>
      <ns0:c r="C159" s="12" t="inlineStr">
        <ns0:is>
          <ns0:t>칙령 제41호 읽기</ns0:t>
        </ns0:is>
      </ns0:c>
      <ns0:c r="D159" s="12" t="n">
        <ns0:v>2</ns0:v>
      </ns0:c>
      <ns0:c r="E159" s="12" t="n">
        <ns0:v>2</ns0:v>
      </ns0:c>
      <ns0:c r="F159" s="12" t="inlineStr">
        <ns0:is>
          <ns0:t>청의서와 칙령의 역할을 바르게 짝지은 것은 무엇인가요?</ns0:t>
        </ns0:is>
      </ns0:c>
      <ns0:c r="G159" s="12" t="inlineStr">
        <ns0:is>
          <ns0:t>청의서: 제안 / 칙령: 황제의 명령</ns0:t>
        </ns0:is>
      </ns0:c>
      <ns0:c r="H159" s="12" t="inlineStr">
        <ns0:is>
          <ns0:t>청의서: 황제의 명령 / 칙령: 제안</ns0:t>
        </ns0:is>
      </ns0:c>
      <ns0:c r="I159" s="12" t="inlineStr">
        <ns0:is>
          <ns0:t>청의서: 관보 게재 / 칙령: 현지 보고</ns0:t>
        </ns0:is>
      </ns0:c>
      <ns0:c r="J159" s="12" t="inlineStr"/>
      <ns0:c r="K159" s="12" t="n">
        <ns0:v>1</ns0:v>
      </ns0:c>
      <ns0:c r="L159" s="12" t="inlineStr">
        <ns0:is>
          <ns0:t>제안과 명령이라는 문서의 역할이 다릅니다.</ns0:t>
        </ns0:is>
      </ns0:c>
      <ns0:c r="M159" s="12" t="inlineStr">
        <ns0:is>
          <ns0:t>울도 행정 개편은 청의서의 제안, 칙령, 관보 게재의 순서로 확인할 수 있어요.</ns0:t>
        </ns0:is>
      </ns0:c>
      <ns0:c r="N159" s="12" t="inlineStr">
        <ns0:is>
          <ns0:t>dk-proposal-order</ns0:t>
        </ns0:is>
      </ns0:c>
      <ns0:c r="O159" s="12" t="inlineStr">
        <ns0:is>
          <ns0:t>대한민국 외교부 자료실 · 의정부 청의서(1900.10.22)
https://dokdo.mofa.go.kr/kor/pds/part02_view01.jsp
대한민국 외교부 자료실 · 대한제국 칙령 제41호
https://dokdo.mofa.go.kr/kor/pds/part02_view02.jsp
대한민국 외교부 자료실 · 관보(1900.10.27)
https://dokdo.mofa.go.kr/kor/pds/part02_view03.jsp</ns0:t>
        </ns0:is>
      </ns0:c>
      <ns0:c r="P159" s="13">
        <ns0:f>LEN(F159)+MAX(LEN(G159),LEN(H159),LEN(I159),LEN(J159))</ns0:f>
        <ns0:v>52</ns0:v>
      </ns0:c>
    </ns0:row>
    <ns0:row r="160" ht="158" customHeight="1">
      <ns0:c r="A160" s="10" t="n">
        <ns0:v>920159</ns0:v>
      </ns0:c>
      <ns0:c r="B160" s="10" t="n">
        <ns0:v>910159</ns0:v>
      </ns0:c>
      <ns0:c r="C160" s="10" t="inlineStr">
        <ns0:is>
          <ns0:t>칙령 제41호 읽기</ns0:t>
        </ns0:is>
      </ns0:c>
      <ns0:c r="D160" s="10" t="n">
        <ns0:v>3</ns0:v>
      </ns0:c>
      <ns0:c r="E160" s="10" t="n">
        <ns0:v>3</ns0:v>
      </ns0:c>
      <ns0:c r="F160" s="10" t="inlineStr">
        <ns0:is>
          <ns0:t>1900년 세 문서를 날짜순으로 놓으면 무엇인가요?</ns0:t>
        </ns0:is>
      </ns0:c>
      <ns0:c r="G160" s="10" t="inlineStr">
        <ns0:is>
          <ns0:t>관보 게재 → 청의서 → 칙령</ns0:t>
        </ns0:is>
      </ns0:c>
      <ns0:c r="H160" s="10" t="inlineStr">
        <ns0:is>
          <ns0:t>청의서 → 칙령 → 관보 게재</ns0:t>
        </ns0:is>
      </ns0:c>
      <ns0:c r="I160" s="10" t="inlineStr">
        <ns0:is>
          <ns0:t>칙령 → 관보 게재 → 청의서</ns0:t>
        </ns0:is>
      </ns0:c>
      <ns0:c r="J160" s="10" t="inlineStr"/>
      <ns0:c r="K160" s="10" t="n">
        <ns0:v>2</ns0:v>
      </ns0:c>
      <ns0:c r="L160" s="10" t="inlineStr">
        <ns0:is>
          <ns0:t>22일, 25일, 27일 순서로 이어져요.</ns0:t>
        </ns0:is>
      </ns0:c>
      <ns0:c r="M160" s="10" t="inlineStr">
        <ns0:is>
          <ns0:t>울도 행정 개편은 청의서의 제안, 칙령, 관보 게재의 순서로 확인할 수 있어요.</ns0:t>
        </ns0:is>
      </ns0:c>
      <ns0:c r="N160" s="10" t="inlineStr">
        <ns0:is>
          <ns0:t>dk-proposal-order</ns0:t>
        </ns0:is>
      </ns0:c>
      <ns0:c r="O160" s="10" t="inlineStr">
        <ns0:is>
          <ns0:t>대한민국 외교부 자료실 · 의정부 청의서(1900.10.22)
https://dokdo.mofa.go.kr/kor/pds/part02_view01.jsp
대한민국 외교부 자료실 · 대한제국 칙령 제41호
https://dokdo.mofa.go.kr/kor/pds/part02_view02.jsp
대한민국 외교부 자료실 · 관보(1900.10.27)
https://dokdo.mofa.go.kr/kor/pds/part02_view03.jsp</ns0:t>
        </ns0:is>
      </ns0:c>
      <ns0:c r="P160" s="11">
        <ns0:f>LEN(F160)+MAX(LEN(G160),LEN(H160),LEN(I160),LEN(J160))</ns0:f>
        <ns0:v>44</ns0:v>
      </ns0:c>
    </ns0:row>
    <ns0:row r="161" ht="158" customHeight="1">
      <ns0:c r="A161" s="12" t="n">
        <ns0:v>920160</ns0:v>
      </ns0:c>
      <ns0:c r="B161" s="12" t="n">
        <ns0:v>910160</ns0:v>
      </ns0:c>
      <ns0:c r="C161" s="12" t="inlineStr">
        <ns0:is>
          <ns0:t>칙령 제41호 읽기</ns0:t>
        </ns0:is>
      </ns0:c>
      <ns0:c r="D161" s="12" t="n">
        <ns0:v>4</ns0:v>
      </ns0:c>
      <ns0:c r="E161" s="12" t="n">
        <ns0:v>4</ns0:v>
      </ns0:c>
      <ns0:c r="F161" s="12" t="inlineStr">
        <ns0:is>
          <ns0:t>‘행정 개편을 제안했다’는 자료와 ‘명령이 공표됐다’는 자료를 구분해야 하는 이유는 무엇인가요?</ns0:t>
        </ns0:is>
      </ns0:c>
      <ns0:c r="G161" s="12" t="inlineStr">
        <ns0:is>
          <ns0:t>청의서에는 날짜를 적을 수 없기 때문</ns0:t>
        </ns0:is>
      </ns0:c>
      <ns0:c r="H161" s="12" t="inlineStr">
        <ns0:is>
          <ns0:t>관보는 개인의 의견만 싣기 때문</ns0:t>
        </ns0:is>
      </ns0:c>
      <ns0:c r="I161" s="12" t="inlineStr">
        <ns0:is>
          <ns0:t>제안 단계와 명령을 알린 단계가 다르기 때문</ns0:t>
        </ns0:is>
      </ns0:c>
      <ns0:c r="J161" s="12" t="inlineStr"/>
      <ns0:c r="K161" s="12" t="n">
        <ns0:v>3</ns0:v>
      </ns0:c>
      <ns0:c r="L161" s="12" t="inlineStr">
        <ns0:is>
          <ns0:t>청의서만으로 공표까지 마쳤다고 할 수 없어요. 칙령과 관보를 함께 확인해요.</ns0:t>
        </ns0:is>
      </ns0:c>
      <ns0:c r="M161" s="12" t="inlineStr">
        <ns0:is>
          <ns0:t>울도 행정 개편은 청의서의 제안, 칙령, 관보 게재의 순서로 확인할 수 있어요.</ns0:t>
        </ns0:is>
      </ns0:c>
      <ns0:c r="N161" s="12" t="inlineStr">
        <ns0:is>
          <ns0:t>dk-proposal-order</ns0:t>
        </ns0:is>
      </ns0:c>
      <ns0:c r="O161" s="12" t="inlineStr">
        <ns0:is>
          <ns0:t>대한민국 외교부 자료실 · 의정부 청의서(1900.10.22)
https://dokdo.mofa.go.kr/kor/pds/part02_view01.jsp
대한민국 외교부 자료실 · 대한제국 칙령 제41호
https://dokdo.mofa.go.kr/kor/pds/part02_view02.jsp
대한민국 외교부 자료실 · 관보(1900.10.27)
https://dokdo.mofa.go.kr/kor/pds/part02_view03.jsp</ns0:t>
        </ns0:is>
      </ns0:c>
      <ns0:c r="P161" s="13">
        <ns0:f>LEN(F161)+MAX(LEN(G161),LEN(H161),LEN(I161),LEN(J161))</ns0:f>
        <ns0:v>77</ns0:v>
      </ns0:c>
    </ns0:row>
    <ns0:row r="162" ht="113" customHeight="1">
      <ns0:c r="A162" s="10" t="n">
        <ns0:v>920161</ns0:v>
      </ns0:c>
      <ns0:c r="B162" s="10" t="n">
        <ns0:v>910161</ns0:v>
      </ns0:c>
      <ns0:c r="C162" s="10" t="inlineStr">
        <ns0:is>
          <ns0:t>1906년의 보고와 대응</ns0:t>
        </ns0:is>
      </ns0:c>
      <ns0:c r="D162" s="10" t="n">
        <ns0:v>1</ns0:v>
      </ns0:c>
      <ns0:c r="E162" s="10" t="n">
        <ns0:v>1</ns0:v>
      </ns0:c>
      <ns0:c r="F162" s="10" t="inlineStr">
        <ns0:is>
          <ns0:t>1906년 독도 상황을 보고한 울도군수는 누구인가요?</ns0:t>
        </ns0:is>
      </ns0:c>
      <ns0:c r="G162" s="10" t="inlineStr">
        <ns0:is>
          <ns0:t>안용복</ns0:t>
        </ns0:is>
      </ns0:c>
      <ns0:c r="H162" s="10" t="inlineStr">
        <ns0:is>
          <ns0:t>심흥택</ns0:t>
        </ns0:is>
      </ns0:c>
      <ns0:c r="I162" s="10" t="inlineStr">
        <ns0:is>
          <ns0:t>박어둔</ns0:t>
        </ns0:is>
      </ns0:c>
      <ns0:c r="J162" s="10" t="inlineStr">
        <ns0:is>
          <ns0:t>이사부</ns0:t>
        </ns0:is>
      </ns0:c>
      <ns0:c r="K162" s="10" t="n">
        <ns0:v>2</ns0:v>
      </ns0:c>
      <ns0:c r="L162" s="10" t="inlineStr">
        <ns0:is>
          <ns0:t>1906년 보고의 작성자는 울도군수 심흥택이에요.</ns0:t>
        </ns0:is>
      </ns0:c>
      <ns0:c r="M162" s="10" t="inlineStr">
        <ns0:is>
          <ns0:t>심흥택은 울도군수로서 1906년 독도와 관련해 들은 상황을 상부에 보고했어요.</ns0:t>
        </ns0:is>
      </ns0:c>
      <ns0:c r="N162" s="10" t="inlineStr">
        <ns0:is>
          <ns0:t>dk-shim-role</ns0:t>
        </ns0:is>
      </ns0:c>
      <ns0:c r="O162" s="10" t="inlineStr">
        <ns0:is>
          <ns0:t>대한민국 외교부 자료실 · 심흥택 보고서(1906)
https://dokdo.mofa.go.kr/kor/pds/part02_view04.jsp</ns0:t>
        </ns0:is>
      </ns0:c>
      <ns0:c r="P162" s="11">
        <ns0:f>LEN(F162)+MAX(LEN(G162),LEN(H162),LEN(I162),LEN(J162))</ns0:f>
        <ns0:v>32</ns0:v>
      </ns0:c>
    </ns0:row>
    <ns0:row r="163" ht="113" customHeight="1">
      <ns0:c r="A163" s="12" t="n">
        <ns0:v>920162</ns0:v>
      </ns0:c>
      <ns0:c r="B163" s="12" t="n">
        <ns0:v>910162</ns0:v>
      </ns0:c>
      <ns0:c r="C163" s="12" t="inlineStr">
        <ns0:is>
          <ns0:t>1906년의 보고와 대응</ns0:t>
        </ns0:is>
      </ns0:c>
      <ns0:c r="D163" s="12" t="n">
        <ns0:v>2</ns0:v>
      </ns0:c>
      <ns0:c r="E163" s="12" t="n">
        <ns0:v>1</ns0:v>
      </ns0:c>
      <ns0:c r="F163" s="12" t="inlineStr">
        <ns0:is>
          <ns0:t>심흥택이 1906년 맡고 있던 직책은 무엇인가요?</ns0:t>
        </ns0:is>
      </ns0:c>
      <ns0:c r="G163" s="12" t="inlineStr">
        <ns0:is>
          <ns0:t>울도군수</ns0:t>
        </ns0:is>
      </ns0:c>
      <ns0:c r="H163" s="12" t="inlineStr">
        <ns0:is>
          <ns0:t>일본 내무대신</ns0:t>
        </ns0:is>
      </ns0:c>
      <ns0:c r="I163" s="12" t="inlineStr">
        <ns0:is>
          <ns0:t>독도등대지기</ns0:t>
        </ns0:is>
      </ns0:c>
      <ns0:c r="J163" s="12" t="inlineStr"/>
      <ns0:c r="K163" s="12" t="n">
        <ns0:v>1</ns0:v>
      </ns0:c>
      <ns0:c r="L163" s="12" t="inlineStr">
        <ns0:is>
          <ns0:t>심흥택은 울도군의 행정을 맡는 군수였어요.</ns0:t>
        </ns0:is>
      </ns0:c>
      <ns0:c r="M163" s="12" t="inlineStr">
        <ns0:is>
          <ns0:t>심흥택은 울도군수로서 1906년 독도와 관련해 들은 상황을 상부에 보고했어요.</ns0:t>
        </ns0:is>
      </ns0:c>
      <ns0:c r="N163" s="12" t="inlineStr">
        <ns0:is>
          <ns0:t>dk-shim-role</ns0:t>
        </ns0:is>
      </ns0:c>
      <ns0:c r="O163" s="12" t="inlineStr">
        <ns0:is>
          <ns0:t>대한민국 외교부 자료실 · 심흥택 보고서(1906)
https://dokdo.mofa.go.kr/kor/pds/part02_view04.jsp</ns0:t>
        </ns0:is>
      </ns0:c>
      <ns0:c r="P163" s="13">
        <ns0:f>LEN(F163)+MAX(LEN(G163),LEN(H163),LEN(I163),LEN(J163))</ns0:f>
        <ns0:v>34</ns0:v>
      </ns0:c>
    </ns0:row>
    <ns0:row r="164" ht="113" customHeight="1">
      <ns0:c r="A164" s="10" t="n">
        <ns0:v>920163</ns0:v>
      </ns0:c>
      <ns0:c r="B164" s="10" t="n">
        <ns0:v>910163</ns0:v>
      </ns0:c>
      <ns0:c r="C164" s="10" t="inlineStr">
        <ns0:is>
          <ns0:t>1906년의 보고와 대응</ns0:t>
        </ns0:is>
      </ns0:c>
      <ns0:c r="D164" s="10" t="n">
        <ns0:v>3</ns0:v>
      </ns0:c>
      <ns0:c r="E164" s="10" t="n">
        <ns0:v>3</ns0:v>
      </ns0:c>
      <ns0:c r="F164" s="10" t="inlineStr">
        <ns0:is>
          <ns0:t>심흥택의 보고가 상부로 전달된 흐름은 무엇인가요?</ns0:t>
        </ns0:is>
      </ns0:c>
      <ns0:c r="G164" s="10" t="inlineStr">
        <ns0:is>
          <ns0:t>중앙정부 → 일본 어민 → 울도군수</ns0:t>
        </ns0:is>
      </ns0:c>
      <ns0:c r="H164" s="10" t="inlineStr">
        <ns0:is>
          <ns0:t>울도군수 → 강원도 행정기관 → 중앙정부</ns0:t>
        </ns0:is>
      </ns0:c>
      <ns0:c r="I164" s="10" t="inlineStr">
        <ns0:is>
          <ns0:t>일본 태정관 → 일본 내무성 → 울도군수</ns0:t>
        </ns0:is>
      </ns0:c>
      <ns0:c r="J164" s="10" t="inlineStr"/>
      <ns0:c r="K164" s="10" t="n">
        <ns0:v>2</ns0:v>
      </ns0:c>
      <ns0:c r="L164" s="10" t="inlineStr">
        <ns0:is>
          <ns0:t>현지 보고가 지방 상부를 거쳐 중앙에 전달되는 흐름이에요.</ns0:t>
        </ns0:is>
      </ns0:c>
      <ns0:c r="M164" s="10" t="inlineStr">
        <ns0:is>
          <ns0:t>심흥택은 울도군수로서 1906년 독도와 관련해 들은 상황을 상부에 보고했어요.</ns0:t>
        </ns0:is>
      </ns0:c>
      <ns0:c r="N164" s="10" t="inlineStr">
        <ns0:is>
          <ns0:t>dk-shim-role</ns0:t>
        </ns0:is>
      </ns0:c>
      <ns0:c r="O164" s="10" t="inlineStr">
        <ns0:is>
          <ns0:t>대한민국 외교부 자료실 · 심흥택 보고서(1906)
https://dokdo.mofa.go.kr/kor/pds/part02_view04.jsp</ns0:t>
        </ns0:is>
      </ns0:c>
      <ns0:c r="P164" s="11">
        <ns0:f>LEN(F164)+MAX(LEN(G164),LEN(H164),LEN(I164),LEN(J164))</ns0:f>
        <ns0:v>49</ns0:v>
      </ns0:c>
    </ns0:row>
    <ns0:row r="165" ht="113" customHeight="1">
      <ns0:c r="A165" s="12" t="n">
        <ns0:v>920164</ns0:v>
      </ns0:c>
      <ns0:c r="B165" s="12" t="n">
        <ns0:v>910164</ns0:v>
      </ns0:c>
      <ns0:c r="C165" s="12" t="inlineStr">
        <ns0:is>
          <ns0:t>1906년의 보고와 대응</ns0:t>
        </ns0:is>
      </ns0:c>
      <ns0:c r="D165" s="12" t="n">
        <ns0:v>4</ns0:v>
      </ns0:c>
      <ns0:c r="E165" s="12" t="n">
        <ns0:v>3</ns0:v>
      </ns0:c>
      <ns0:c r="F165" s="12" t="inlineStr">
        <ns0:is>
          <ns0:t>심흥택의 보고를 지역 행정 활동의 자료로 볼 수 있는 이유는 무엇인가요?</ns0:t>
        </ns0:is>
      </ns0:c>
      <ns0:c r="G165" s="12" t="inlineStr">
        <ns0:is>
          <ns0:t>일본 어민의 개인 여행기이기 때문</ns0:t>
        </ns0:is>
      </ns0:c>
      <ns0:c r="H165" s="12" t="inlineStr">
        <ns0:is>
          <ns0:t>국제재판소가 내린 판결이기 때문</ns0:t>
        </ns0:is>
      </ns0:c>
      <ns0:c r="I165" s="12" t="inlineStr">
        <ns0:is>
          <ns0:t>울도군수가 관할 섬의 상황을 상부에 알렸기 때문</ns0:t>
        </ns0:is>
      </ns0:c>
      <ns0:c r="J165" s="12" t="inlineStr"/>
      <ns0:c r="K165" s="12" t="n">
        <ns0:v>3</ns0:v>
      </ns0:c>
      <ns0:c r="L165" s="12" t="inlineStr">
        <ns0:is>
          <ns0:t>작성자의 직책과 보고 대상이 관할 지역의 행정 책임을 보여줘요.</ns0:t>
        </ns0:is>
      </ns0:c>
      <ns0:c r="M165" s="12" t="inlineStr">
        <ns0:is>
          <ns0:t>심흥택은 울도군수로서 1906년 독도와 관련해 들은 상황을 상부에 보고했어요.</ns0:t>
        </ns0:is>
      </ns0:c>
      <ns0:c r="N165" s="12" t="inlineStr">
        <ns0:is>
          <ns0:t>dk-shim-role</ns0:t>
        </ns0:is>
      </ns0:c>
      <ns0:c r="O165" s="12" t="inlineStr">
        <ns0:is>
          <ns0:t>대한민국 외교부 자료실 · 심흥택 보고서(1906)
https://dokdo.mofa.go.kr/kor/pds/part02_view04.jsp</ns0:t>
        </ns0:is>
      </ns0:c>
      <ns0:c r="P165" s="13">
        <ns0:f>LEN(F165)+MAX(LEN(G165),LEN(H165),LEN(I165),LEN(J165))</ns0:f>
        <ns0:v>66</ns0:v>
      </ns0:c>
    </ns0:row>
    <ns0:row r="166" ht="113" customHeight="1">
      <ns0:c r="A166" s="10" t="n">
        <ns0:v>920165</ns0:v>
      </ns0:c>
      <ns0:c r="B166" s="10" t="n">
        <ns0:v>910165</ns0:v>
      </ns0:c>
      <ns0:c r="C166" s="10" t="inlineStr">
        <ns0:is>
          <ns0:t>1906년의 보고와 대응</ns0:t>
        </ns0:is>
      </ns0:c>
      <ns0:c r="D166" s="10" t="n">
        <ns0:v>1</ns0:v>
      </ns0:c>
      <ns0:c r="E166" s="10" t="n">
        <ns0:v>1</ns0:v>
      </ns0:c>
      <ns0:c r="F166" s="10" t="inlineStr">
        <ns0:is>
          <ns0:t>심흥택 보고에서 ‘본군 소속 독도’의 본군은 어느 군인가요?</ns0:t>
        </ns0:is>
      </ns0:c>
      <ns0:c r="G166" s="10" t="inlineStr">
        <ns0:is>
          <ns0:t>울도군</ns0:t>
        </ns0:is>
      </ns0:c>
      <ns0:c r="H166" s="10" t="inlineStr">
        <ns0:is>
          <ns0:t>일본 오키군</ns0:t>
        </ns0:is>
      </ns0:c>
      <ns0:c r="I166" s="10" t="inlineStr">
        <ns0:is>
          <ns0:t>제주군</ns0:t>
        </ns0:is>
      </ns0:c>
      <ns0:c r="J166" s="10" t="inlineStr"/>
      <ns0:c r="K166" s="10" t="n">
        <ns0:v>1</ns0:v>
      </ns0:c>
      <ns0:c r="L166" s="10" t="inlineStr">
        <ns0:is>
          <ns0:t>보고 작성자가 울도군수이므로 본군은 자신이 맡은 울도군이에요.</ns0:t>
        </ns0:is>
      </ns0:c>
      <ns0:c r="M166" s="10" t="inlineStr">
        <ns0:is>
          <ns0:t>심흥택 보고의 ‘본군 소속 독도’는 독도를 울도군에 속한 섬으로 인식했음을 보여줘요.</ns0:t>
        </ns0:is>
      </ns0:c>
      <ns0:c r="N166" s="10" t="inlineStr">
        <ns0:is>
          <ns0:t>dk-county-affiliation</ns0:t>
        </ns0:is>
      </ns0:c>
      <ns0:c r="O166" s="10" t="inlineStr">
        <ns0:is>
          <ns0:t>대한민국 외교부 자료실 · 심흥택 보고서(1906)
https://dokdo.mofa.go.kr/kor/pds/part02_view04.jsp</ns0:t>
        </ns0:is>
      </ns0:c>
      <ns0:c r="P166" s="11">
        <ns0:f>LEN(F166)+MAX(LEN(G166),LEN(H166),LEN(I166),LEN(J166))</ns0:f>
        <ns0:v>39</ns0:v>
      </ns0:c>
    </ns0:row>
    <ns0:row r="167" ht="113" customHeight="1">
      <ns0:c r="A167" s="12" t="n">
        <ns0:v>920166</ns0:v>
      </ns0:c>
      <ns0:c r="B167" s="12" t="n">
        <ns0:v>910166</ns0:v>
      </ns0:c>
      <ns0:c r="C167" s="12" t="inlineStr">
        <ns0:is>
          <ns0:t>1906년의 보고와 대응</ns0:t>
        </ns0:is>
      </ns0:c>
      <ns0:c r="D167" s="12" t="n">
        <ns0:v>2</ns0:v>
      </ns0:c>
      <ns0:c r="E167" s="12" t="n">
        <ns0:v>2</ns0:v>
      </ns0:c>
      <ns0:c r="F167" s="12" t="inlineStr">
        <ns0:is>
          <ns0:t>심흥택이 ‘본군 소속 독도’라고 쓴 뜻은 무엇인가요?</ns0:t>
        </ns0:is>
      </ns0:c>
      <ns0:c r="G167" s="12" t="inlineStr">
        <ns0:is>
          <ns0:t>독도는 일본 오키군에 속한다</ns0:t>
        </ns0:is>
      </ns0:c>
      <ns0:c r="H167" s="12" t="inlineStr">
        <ns0:is>
          <ns0:t>독도는 울도군에 속한다</ns0:t>
        </ns0:is>
      </ns0:c>
      <ns0:c r="I167" s="12" t="inlineStr">
        <ns0:is>
          <ns0:t>독도의 소속을 모른다</ns0:t>
        </ns0:is>
      </ns0:c>
      <ns0:c r="J167" s="12" t="inlineStr"/>
      <ns0:c r="K167" s="12" t="n">
        <ns0:v>2</ns0:v>
      </ns0:c>
      <ns0:c r="L167" s="12" t="inlineStr">
        <ns0:is>
          <ns0:t>자신이 맡은 군의 섬으로 표현했으므로 울도군 소속이라는 인식이 드러나요.</ns0:t>
        </ns0:is>
      </ns0:c>
      <ns0:c r="M167" s="12" t="inlineStr">
        <ns0:is>
          <ns0:t>심흥택 보고의 ‘본군 소속 독도’는 독도를 울도군에 속한 섬으로 인식했음을 보여줘요.</ns0:t>
        </ns0:is>
      </ns0:c>
      <ns0:c r="N167" s="12" t="inlineStr">
        <ns0:is>
          <ns0:t>dk-county-affiliation</ns0:t>
        </ns0:is>
      </ns0:c>
      <ns0:c r="O167" s="12" t="inlineStr">
        <ns0:is>
          <ns0:t>대한민국 외교부 자료실 · 심흥택 보고서(1906)
https://dokdo.mofa.go.kr/kor/pds/part02_view04.jsp</ns0:t>
        </ns0:is>
      </ns0:c>
      <ns0:c r="P167" s="13">
        <ns0:f>LEN(F167)+MAX(LEN(G167),LEN(H167),LEN(I167),LEN(J167))</ns0:f>
        <ns0:v>44</ns0:v>
      </ns0:c>
    </ns0:row>
    <ns0:row r="168" ht="113" customHeight="1">
      <ns0:c r="A168" s="10" t="n">
        <ns0:v>920167</ns0:v>
      </ns0:c>
      <ns0:c r="B168" s="10" t="n">
        <ns0:v>910167</ns0:v>
      </ns0:c>
      <ns0:c r="C168" s="10" t="inlineStr">
        <ns0:is>
          <ns0:t>1906년의 보고와 대응</ns0:t>
        </ns0:is>
      </ns0:c>
      <ns0:c r="D168" s="10" t="n">
        <ns0:v>3</ns0:v>
      </ns0:c>
      <ns0:c r="E168" s="10" t="n">
        <ns0:v>3</ns0:v>
      </ns0:c>
      <ns0:c r="F168" s="10" t="inlineStr">
        <ns0:is>
          <ns0:t>심흥택의 울도군 소속 인식이 직접 드러나는 구절은 무엇인가요?</ns0:t>
        </ns0:is>
      </ns0:c>
      <ns0:c r="G168" s="10" t="inlineStr">
        <ns0:is>
          <ns0:t>일본 관리가 찾아왔다</ns0:t>
        </ns0:is>
      </ns0:c>
      <ns0:c r="H168" s="10" t="inlineStr">
        <ns0:is>
          <ns0:t>이렇게 보고한다</ns0:t>
        </ns0:is>
      </ns0:c>
      <ns0:c r="I168" s="10" t="inlineStr">
        <ns0:is>
          <ns0:t>본군 소속 독도</ns0:t>
        </ns0:is>
      </ns0:c>
      <ns0:c r="J168" s="10" t="inlineStr"/>
      <ns0:c r="K168" s="10" t="n">
        <ns0:v>3</ns0:v>
      </ns0:c>
      <ns0:c r="L168" s="10" t="inlineStr">
        <ns0:is>
          <ns0:t>‘본군 소속’이 섬의 행정 소속을 밝히는 표현이에요.</ns0:t>
        </ns0:is>
      </ns0:c>
      <ns0:c r="M168" s="10" t="inlineStr">
        <ns0:is>
          <ns0:t>심흥택 보고의 ‘본군 소속 독도’는 독도를 울도군에 속한 섬으로 인식했음을 보여줘요.</ns0:t>
        </ns0:is>
      </ns0:c>
      <ns0:c r="N168" s="10" t="inlineStr">
        <ns0:is>
          <ns0:t>dk-county-affiliation</ns0:t>
        </ns0:is>
      </ns0:c>
      <ns0:c r="O168" s="10" t="inlineStr">
        <ns0:is>
          <ns0:t>대한민국 외교부 자료실 · 심흥택 보고서(1906)
https://dokdo.mofa.go.kr/kor/pds/part02_view04.jsp</ns0:t>
        </ns0:is>
      </ns0:c>
      <ns0:c r="P168" s="11">
        <ns0:f>LEN(F168)+MAX(LEN(G168),LEN(H168),LEN(I168),LEN(J168))</ns0:f>
        <ns0:v>45</ns0:v>
      </ns0:c>
    </ns0:row>
    <ns0:row r="169" ht="113" customHeight="1">
      <ns0:c r="A169" s="12" t="n">
        <ns0:v>920168</ns0:v>
      </ns0:c>
      <ns0:c r="B169" s="12" t="n">
        <ns0:v>910168</ns0:v>
      </ns0:c>
      <ns0:c r="C169" s="12" t="inlineStr">
        <ns0:is>
          <ns0:t>1906년의 보고와 대응</ns0:t>
        </ns0:is>
      </ns0:c>
      <ns0:c r="D169" s="12" t="n">
        <ns0:v>4</ns0:v>
      </ns0:c>
      <ns0:c r="E169" s="12" t="n">
        <ns0:v>3</ns0:v>
      </ns0:c>
      <ns0:c r="F169" s="12" t="inlineStr">
        <ns0:is>
          <ns0:t>‘본군 소속 독도’라는 구절로 가장 직접 확인할 수 있는 내용은 무엇인가요?</ns0:t>
        </ns0:is>
      </ns0:c>
      <ns0:c r="G169" s="12" t="inlineStr">
        <ns0:is>
          <ns0:t>1906년 울도군수가 독도를 자기 군의 섬으로 적었다</ns0:t>
        </ns0:is>
      </ns0:c>
      <ns0:c r="H169" s="12" t="inlineStr">
        <ns0:is>
          <ns0:t>1906년 일본 관리가 독도를 울도군 소속이라고 승인했다</ns0:t>
        </ns0:is>
      </ns0:c>
      <ns0:c r="I169" s="12" t="inlineStr">
        <ns0:is>
          <ns0:t>1906년 독도가 새로 울도군에 편입되었다고 적었다</ns0:t>
        </ns0:is>
      </ns0:c>
      <ns0:c r="J169" s="12" t="inlineStr"/>
      <ns0:c r="K169" s="12" t="n">
        <ns0:v>1</ns0:v>
      </ns0:c>
      <ns0:c r="L169" s="12" t="inlineStr">
        <ns0:is>
          <ns0:t>문서의 작성자·시기·소속 표현을 모두 반영한 설명이에요.</ns0:t>
        </ns0:is>
      </ns0:c>
      <ns0:c r="M169" s="12" t="inlineStr">
        <ns0:is>
          <ns0:t>심흥택 보고의 ‘본군 소속 독도’는 독도를 울도군에 속한 섬으로 인식했음을 보여줘요.</ns0:t>
        </ns0:is>
      </ns0:c>
      <ns0:c r="N169" s="12" t="inlineStr">
        <ns0:is>
          <ns0:t>dk-county-affiliation</ns0:t>
        </ns0:is>
      </ns0:c>
      <ns0:c r="O169" s="12" t="inlineStr">
        <ns0:is>
          <ns0:t>대한민국 외교부 자료실 · 심흥택 보고서(1906)
https://dokdo.mofa.go.kr/kor/pds/part02_view04.jsp</ns0:t>
        </ns0:is>
      </ns0:c>
      <ns0:c r="P169" s="13">
        <ns0:f>LEN(F169)+MAX(LEN(G169),LEN(H169),LEN(I169),LEN(J169))</ns0:f>
        <ns0:v>73</ns0:v>
      </ns0:c>
    </ns0:row>
    <ns0:row r="170" ht="113" customHeight="1">
      <ns0:c r="A170" s="10" t="n">
        <ns0:v>920169</ns0:v>
      </ns0:c>
      <ns0:c r="B170" s="10" t="n">
        <ns0:v>910169</ns0:v>
      </ns0:c>
      <ns0:c r="C170" s="10" t="inlineStr">
        <ns0:is>
          <ns0:t>1906년의 보고와 대응</ns0:t>
        </ns0:is>
      </ns0:c>
      <ns0:c r="D170" s="10" t="n">
        <ns0:v>1</ns0:v>
      </ns0:c>
      <ns0:c r="E170" s="10" t="n">
        <ns0:v>1</ns0:v>
      </ns0:c>
      <ns0:c r="F170" s="10" t="inlineStr">
        <ns0:is>
          <ns0:t>1906년 심흥택에게 독도의 일본 소속을 주장한 쪽은 누구인가요?</ns0:t>
        </ns0:is>
      </ns0:c>
      <ns0:c r="G170" s="10" t="inlineStr">
        <ns0:is>
          <ns0:t>대한제국 황제</ns0:t>
        </ns0:is>
      </ns0:c>
      <ns0:c r="H170" s="10" t="inlineStr">
        <ns0:is>
          <ns0:t>방문한 일본 관리들</ns0:t>
        </ns0:is>
      </ns0:c>
      <ns0:c r="I170" s="10" t="inlineStr">
        <ns0:is>
          <ns0:t>울도군수 자신</ns0:t>
        </ns0:is>
      </ns0:c>
      <ns0:c r="J170" s="10" t="inlineStr"/>
      <ns0:c r="K170" s="10" t="n">
        <ns0:v>2</ns0:v>
      </ns0:c>
      <ns0:c r="L170" s="10" t="inlineStr">
        <ns0:is>
          <ns0:t>보고에는 일본 관리에게 들은 주장으로 적혀 있어요.</ns0:t>
        </ns0:is>
      </ns0:c>
      <ns0:c r="M170" s="10" t="inlineStr">
        <ns0:is>
          <ns0:t>심흥택 보고에 일본 관리의 주장이 적혀 있어도, 보고자가 그 주장에 동의했다는 뜻은 아니에요.</ns0:t>
        </ns0:is>
      </ns0:c>
      <ns0:c r="N170" s="10" t="inlineStr">
        <ns0:is>
          <ns0:t>dk-reported-speech</ns0:t>
        </ns0:is>
      </ns0:c>
      <ns0:c r="O170" s="10" t="inlineStr">
        <ns0:is>
          <ns0:t>대한민국 외교부 자료실 · 심흥택 보고서(1906)
https://dokdo.mofa.go.kr/kor/pds/part02_view04.jsp
대한민국 외교부 자료실 · 지령 제3호(1906.5.10)
https://dokdo.mofa.go.kr/kor/pds/part02_view05.jsp</ns0:t>
        </ns0:is>
      </ns0:c>
      <ns0:c r="P170" s="11">
        <ns0:f>LEN(F170)+MAX(LEN(G170),LEN(H170),LEN(I170),LEN(J170))</ns0:f>
        <ns0:v>46</ns0:v>
      </ns0:c>
    </ns0:row>
    <ns0:row r="171" ht="113" customHeight="1">
      <ns0:c r="A171" s="12" t="n">
        <ns0:v>920170</ns0:v>
      </ns0:c>
      <ns0:c r="B171" s="12" t="n">
        <ns0:v>910170</ns0:v>
      </ns0:c>
      <ns0:c r="C171" s="12" t="inlineStr">
        <ns0:is>
          <ns0:t>1906년의 보고와 대응</ns0:t>
        </ns0:is>
      </ns0:c>
      <ns0:c r="D171" s="12" t="n">
        <ns0:v>2</ns0:v>
      </ns0:c>
      <ns0:c r="E171" s="12" t="n">
        <ns0:v>2</ns0:v>
      </ns0:c>
      <ns0:c r="F171" s="12" t="inlineStr">
        <ns0:is>
          <ns0:t>심흥택이 일본 관리의 주장을 보고서에 적은 것은 무엇을 한 것인가요?</ns0:t>
        </ns0:is>
      </ns0:c>
      <ns0:c r="G171" s="12" t="inlineStr">
        <ns0:is>
          <ns0:t>자기 군이 일본에 속한다고 승인했다</ns0:t>
        </ns0:is>
      </ns0:c>
      <ns0:c r="H171" s="12" t="inlineStr">
        <ns0:is>
          <ns0:t>일본 관리에게 같은 명령을 내렸다</ns0:t>
        </ns0:is>
      </ns0:c>
      <ns0:c r="I171" s="12" t="inlineStr">
        <ns0:is>
          <ns0:t>자신이 들은 발언을 상부에 전달했다</ns0:t>
        </ns0:is>
      </ns0:c>
      <ns0:c r="J171" s="12" t="inlineStr"/>
      <ns0:c r="K171" s="12" t="n">
        <ns0:v>3</ns0:v>
      </ns0:c>
      <ns0:c r="L171" s="12" t="inlineStr">
        <ns0:is>
          <ns0:t>보고자는 들은 주장을 전달하면서 독도를 본군 소속으로 표현했어요.</ns0:t>
        </ns0:is>
      </ns0:c>
      <ns0:c r="M171" s="12" t="inlineStr">
        <ns0:is>
          <ns0:t>심흥택 보고에 일본 관리의 주장이 적혀 있어도, 보고자가 그 주장에 동의했다는 뜻은 아니에요.</ns0:t>
        </ns0:is>
      </ns0:c>
      <ns0:c r="N171" s="12" t="inlineStr">
        <ns0:is>
          <ns0:t>dk-reported-speech</ns0:t>
        </ns0:is>
      </ns0:c>
      <ns0:c r="O171" s="12" t="inlineStr">
        <ns0:is>
          <ns0:t>대한민국 외교부 자료실 · 심흥택 보고서(1906)
https://dokdo.mofa.go.kr/kor/pds/part02_view04.jsp
대한민국 외교부 자료실 · 지령 제3호(1906.5.10)
https://dokdo.mofa.go.kr/kor/pds/part02_view05.jsp</ns0:t>
        </ns0:is>
      </ns0:c>
      <ns0:c r="P171" s="13">
        <ns0:f>LEN(F171)+MAX(LEN(G171),LEN(H171),LEN(I171),LEN(J171))</ns0:f>
        <ns0:v>57</ns0:v>
      </ns0:c>
    </ns0:row>
    <ns0:row r="172" ht="113" customHeight="1">
      <ns0:c r="A172" s="10" t="n">
        <ns0:v>920171</ns0:v>
      </ns0:c>
      <ns0:c r="B172" s="10" t="n">
        <ns0:v>910171</ns0:v>
      </ns0:c>
      <ns0:c r="C172" s="10" t="inlineStr">
        <ns0:is>
          <ns0:t>1906년의 보고와 대응</ns0:t>
        </ns0:is>
      </ns0:c>
      <ns0:c r="D172" s="10" t="n">
        <ns0:v>3</ns0:v>
      </ns0:c>
      <ns0:c r="E172" s="10" t="n">
        <ns0:v>3</ns0:v>
      </ns0:c>
      <ns0:c r="F172" s="10" t="inlineStr">
        <ns0:is>
          <ns0:t>두 문장에서 일본 관리의 주장에 해당하는 것은 무엇인가요?</ns0:t>
        </ns0:is>
      </ns0:c>
      <ns0:c r="G172" s="10" t="inlineStr">
        <ns0:is>
          <ns0:t>A: 본군 소속 독도</ns0:t>
        </ns0:is>
      </ns0:c>
      <ns0:c r="H172" s="10" t="inlineStr">
        <ns0:is>
          <ns0:t>B: 독도가 일본 영토가 되었다는 말</ns0:t>
        </ns0:is>
      </ns0:c>
      <ns0:c r="I172" s="10" t="inlineStr"/>
      <ns0:c r="J172" s="10" t="inlineStr"/>
      <ns0:c r="K172" s="10" t="n">
        <ns0:v>2</ns0:v>
      </ns0:c>
      <ns0:c r="L172" s="10" t="inlineStr">
        <ns0:is>
          <ns0:t>B가 일본 관리들에게 들은 주장으로 구분되어 있어요.</ns0:t>
        </ns0:is>
      </ns0:c>
      <ns0:c r="M172" s="10" t="inlineStr">
        <ns0:is>
          <ns0:t>심흥택 보고에 일본 관리의 주장이 적혀 있어도, 보고자가 그 주장에 동의했다는 뜻은 아니에요.</ns0:t>
        </ns0:is>
      </ns0:c>
      <ns0:c r="N172" s="10" t="inlineStr">
        <ns0:is>
          <ns0:t>dk-reported-speech</ns0:t>
        </ns0:is>
      </ns0:c>
      <ns0:c r="O172" s="10" t="inlineStr">
        <ns0:is>
          <ns0:t>대한민국 외교부 자료실 · 심흥택 보고서(1906)
https://dokdo.mofa.go.kr/kor/pds/part02_view04.jsp
대한민국 외교부 자료실 · 지령 제3호(1906.5.10)
https://dokdo.mofa.go.kr/kor/pds/part02_view05.jsp</ns0:t>
        </ns0:is>
      </ns0:c>
      <ns0:c r="P172" s="11">
        <ns0:f>LEN(F172)+MAX(LEN(G172),LEN(H172),LEN(I172),LEN(J172))</ns0:f>
        <ns0:v>52</ns0:v>
      </ns0:c>
    </ns0:row>
    <ns0:row r="173" ht="113" customHeight="1">
      <ns0:c r="A173" s="12" t="n">
        <ns0:v>920172</ns0:v>
      </ns0:c>
      <ns0:c r="B173" s="12" t="n">
        <ns0:v>910172</ns0:v>
      </ns0:c>
      <ns0:c r="C173" s="12" t="inlineStr">
        <ns0:is>
          <ns0:t>1906년의 보고와 대응</ns0:t>
        </ns0:is>
      </ns0:c>
      <ns0:c r="D173" s="12" t="n">
        <ns0:v>4</ns0:v>
      </ns0:c>
      <ns0:c r="E173" s="12" t="n">
        <ns0:v>4</ns0:v>
      </ns0:c>
      <ns0:c r="F173" s="12" t="inlineStr">
        <ns0:is>
          <ns0:t>심흥택 보고를 ‘대한제국이 일본의 주장을 인정한 문서’라고 소개하면 어떤 오류인가요?</ns0:t>
        </ns0:is>
      </ns0:c>
      <ns0:c r="G173" s="12" t="inlineStr">
        <ns0:is>
          <ns0:t>일본 관리의 발언과 심흥택의 입장을 혼동했다</ns0:t>
        </ns0:is>
      </ns0:c>
      <ns0:c r="H173" s="12" t="inlineStr">
        <ns0:is>
          <ns0:t>1900년 칙령을 1906년 보고보다 나중에 놓았다</ns0:t>
        </ns0:is>
      </ns0:c>
      <ns0:c r="I173" s="12" t="inlineStr">
        <ns0:is>
          <ns0:t>울도군수와 관찰사의 직책만 바꾸어 적었다</ns0:t>
        </ns0:is>
      </ns0:c>
      <ns0:c r="J173" s="12" t="inlineStr"/>
      <ns0:c r="K173" s="12" t="n">
        <ns0:v>1</ns0:v>
      </ns0:c>
      <ns0:c r="L173" s="12" t="inlineStr">
        <ns0:is>
          <ns0:t>심흥택은 들은 말을 보고했으며 독도를 자기 군 소속으로 표현했어요.</ns0:t>
        </ns0:is>
      </ns0:c>
      <ns0:c r="M173" s="12" t="inlineStr">
        <ns0:is>
          <ns0:t>심흥택 보고에 일본 관리의 주장이 적혀 있어도, 보고자가 그 주장에 동의했다는 뜻은 아니에요.</ns0:t>
        </ns0:is>
      </ns0:c>
      <ns0:c r="N173" s="12" t="inlineStr">
        <ns0:is>
          <ns0:t>dk-reported-speech</ns0:t>
        </ns0:is>
      </ns0:c>
      <ns0:c r="O173" s="12" t="inlineStr">
        <ns0:is>
          <ns0:t>대한민국 외교부 자료실 · 심흥택 보고서(1906)
https://dokdo.mofa.go.kr/kor/pds/part02_view04.jsp
대한민국 외교부 자료실 · 지령 제3호(1906.5.10)
https://dokdo.mofa.go.kr/kor/pds/part02_view05.jsp</ns0:t>
        </ns0:is>
      </ns0:c>
      <ns0:c r="P173" s="13">
        <ns0:f>LEN(F173)+MAX(LEN(G173),LEN(H173),LEN(I173),LEN(J173))</ns0:f>
        <ns0:v>75</ns0:v>
      </ns0:c>
    </ns0:row>
    <ns0:row r="174" ht="113" customHeight="1">
      <ns0:c r="A174" s="10" t="n">
        <ns0:v>920173</ns0:v>
      </ns0:c>
      <ns0:c r="B174" s="10" t="n">
        <ns0:v>910173</ns0:v>
      </ns0:c>
      <ns0:c r="C174" s="10" t="inlineStr">
        <ns0:is>
          <ns0:t>1906년의 보고와 대응</ns0:t>
        </ns0:is>
      </ns0:c>
      <ns0:c r="D174" s="10" t="n">
        <ns0:v>1</ns0:v>
      </ns0:c>
      <ns0:c r="E174" s="10" t="n">
        <ns0:v>1</ns0:v>
      </ns0:c>
      <ns0:c r="F174" s="10" t="inlineStr">
        <ns0:is>
          <ns0:t>1906년 일본의 독도 주장을 부인한 지령은 무엇인가요?</ns0:t>
        </ns0:is>
      </ns0:c>
      <ns0:c r="G174" s="10" t="inlineStr">
        <ns0:is>
          <ns0:t>대한제국 칙령 제41호</ns0:t>
        </ns0:is>
      </ns0:c>
      <ns0:c r="H174" s="10" t="inlineStr">
        <ns0:is>
          <ns0:t>울릉도 도해금지령</ns0:t>
        </ns0:is>
      </ns0:c>
      <ns0:c r="I174" s="10" t="inlineStr">
        <ns0:is>
          <ns0:t>지령 제3호</ns0:t>
        </ns0:is>
      </ns0:c>
      <ns0:c r="J174" s="10" t="inlineStr">
        <ns0:is>
          <ns0:t>태정관지령</ns0:t>
        </ns0:is>
      </ns0:c>
      <ns0:c r="K174" s="10" t="n">
        <ns0:v>3</ns0:v>
      </ns0:c>
      <ns0:c r="L174" s="10" t="inlineStr">
        <ns0:is>
          <ns0:t>1906년 지령 제3호는 보고를 받은 뒤 주장을 부인하고 조사를 지시했어요.</ns0:t>
        </ns0:is>
      </ns0:c>
      <ns0:c r="M174" s="10" t="inlineStr">
        <ns0:is>
          <ns0:t>1906년 대한제국 지령 제3호는 일본의 독도 주장을 부인하고 상황을 더 조사해 보고하도록 했어요.</ns0:t>
        </ns0:is>
      </ns0:c>
      <ns0:c r="N174" s="10" t="inlineStr">
        <ns0:is>
          <ns0:t>dk-order-response</ns0:t>
        </ns0:is>
      </ns0:c>
      <ns0:c r="O174" s="10" t="inlineStr">
        <ns0:is>
          <ns0:t>대한민국 외교부 자료실 · 지령 제3호(1906.5.10)
https://dokdo.mofa.go.kr/kor/pds/part02_view05.jsp</ns0:t>
        </ns0:is>
      </ns0:c>
      <ns0:c r="P174" s="11">
        <ns0:f>LEN(F174)+MAX(LEN(G174),LEN(H174),LEN(I174),LEN(J174))</ns0:f>
        <ns0:v>43</ns0:v>
      </ns0:c>
    </ns0:row>
    <ns0:row r="175" ht="113" customHeight="1">
      <ns0:c r="A175" s="12" t="n">
        <ns0:v>920174</ns0:v>
      </ns0:c>
      <ns0:c r="B175" s="12" t="n">
        <ns0:v>910174</ns0:v>
      </ns0:c>
      <ns0:c r="C175" s="12" t="inlineStr">
        <ns0:is>
          <ns0:t>1906년의 보고와 대응</ns0:t>
        </ns0:is>
      </ns0:c>
      <ns0:c r="D175" s="12" t="n">
        <ns0:v>2</ns0:v>
      </ns0:c>
      <ns0:c r="E175" s="12" t="n">
        <ns0:v>2</ns0:v>
      </ns0:c>
      <ns0:c r="F175" s="12" t="inlineStr">
        <ns0:is>
          <ns0:t>지령 제3호는 일본의 독도 소속 주장을 어떻게 대했나요?</ns0:t>
        </ns0:is>
      </ns0:c>
      <ns0:c r="G175" s="12" t="inlineStr">
        <ns0:is>
          <ns0:t>그대로 인정했다</ns0:t>
        </ns0:is>
      </ns0:c>
      <ns0:c r="H175" s="12" t="inlineStr">
        <ns0:is>
          <ns0:t>사실이 아니라고 부인했다</ns0:t>
        </ns0:is>
      </ns0:c>
      <ns0:c r="I175" s="12" t="inlineStr">
        <ns0:is>
          <ns0:t>보고를 받지 않았다고 했다</ns0:t>
        </ns0:is>
      </ns0:c>
      <ns0:c r="J175" s="12" t="inlineStr"/>
      <ns0:c r="K175" s="12" t="n">
        <ns0:v>2</ns0:v>
      </ns0:c>
      <ns0:c r="L175" s="12" t="inlineStr">
        <ns0:is>
          <ns0:t>역문은 일본 영토라는 주장을 받아들이지 않는 내용을 담고 있어요.</ns0:t>
        </ns0:is>
      </ns0:c>
      <ns0:c r="M175" s="12" t="inlineStr">
        <ns0:is>
          <ns0:t>1906년 대한제국 지령 제3호는 일본의 독도 주장을 부인하고 상황을 더 조사해 보고하도록 했어요.</ns0:t>
        </ns0:is>
      </ns0:c>
      <ns0:c r="N175" s="12" t="inlineStr">
        <ns0:is>
          <ns0:t>dk-order-response</ns0:t>
        </ns0:is>
      </ns0:c>
      <ns0:c r="O175" s="12" t="inlineStr">
        <ns0:is>
          <ns0:t>대한민국 외교부 자료실 · 지령 제3호(1906.5.10)
https://dokdo.mofa.go.kr/kor/pds/part02_view05.jsp</ns0:t>
        </ns0:is>
      </ns0:c>
      <ns0:c r="P175" s="13">
        <ns0:f>LEN(F175)+MAX(LEN(G175),LEN(H175),LEN(I175),LEN(J175))</ns0:f>
        <ns0:v>45</ns0:v>
      </ns0:c>
    </ns0:row>
    <ns0:row r="176" ht="113" customHeight="1">
      <ns0:c r="A176" s="10" t="n">
        <ns0:v>920175</ns0:v>
      </ns0:c>
      <ns0:c r="B176" s="10" t="n">
        <ns0:v>910175</ns0:v>
      </ns0:c>
      <ns0:c r="C176" s="10" t="inlineStr">
        <ns0:is>
          <ns0:t>1906년의 보고와 대응</ns0:t>
        </ns0:is>
      </ns0:c>
      <ns0:c r="D176" s="10" t="n">
        <ns0:v>3</ns0:v>
      </ns0:c>
      <ns0:c r="E176" s="10" t="n">
        <ns0:v>3</ns0:v>
      </ns0:c>
      <ns0:c r="F176" s="10" t="inlineStr">
        <ns0:is>
          <ns0:t>지령 제3호가 관리에게 추가로 하도록 한 일은 무엇인가요?</ns0:t>
        </ns0:is>
      </ns0:c>
      <ns0:c r="G176" s="10" t="inlineStr">
        <ns0:is>
          <ns0:t>일본의 주장을 승인하는 서류를 작성</ns0:t>
        </ns0:is>
      </ns0:c>
      <ns0:c r="H176" s="10" t="inlineStr">
        <ns0:is>
          <ns0:t>기존 보고를 없애고 기록을 남기지 않기</ns0:t>
        </ns0:is>
      </ns0:c>
      <ns0:c r="I176" s="10" t="inlineStr">
        <ns0:is>
          <ns0:t>섬의 상황과 일본인의 행동을 다시 조사해 보고</ns0:t>
        </ns0:is>
      </ns0:c>
      <ns0:c r="J176" s="10" t="inlineStr"/>
      <ns0:c r="K176" s="10" t="n">
        <ns0:v>3</ns0:v>
      </ns0:c>
      <ns0:c r="L176" s="10" t="inlineStr">
        <ns0:is>
          <ns0:t>역문은 상황과 행동을 더 조사해 다시 보고하라고 지시해요.</ns0:t>
        </ns0:is>
      </ns0:c>
      <ns0:c r="M176" s="10" t="inlineStr">
        <ns0:is>
          <ns0:t>1906년 대한제국 지령 제3호는 일본의 독도 주장을 부인하고 상황을 더 조사해 보고하도록 했어요.</ns0:t>
        </ns0:is>
      </ns0:c>
      <ns0:c r="N176" s="10" t="inlineStr">
        <ns0:is>
          <ns0:t>dk-order-response</ns0:t>
        </ns0:is>
      </ns0:c>
      <ns0:c r="O176" s="10" t="inlineStr">
        <ns0:is>
          <ns0:t>대한민국 외교부 자료실 · 지령 제3호(1906.5.10)
https://dokdo.mofa.go.kr/kor/pds/part02_view05.jsp</ns0:t>
        </ns0:is>
      </ns0:c>
      <ns0:c r="P176" s="11">
        <ns0:f>LEN(F176)+MAX(LEN(G176),LEN(H176),LEN(I176),LEN(J176))</ns0:f>
        <ns0:v>57</ns0:v>
      </ns0:c>
    </ns0:row>
    <ns0:row r="177" ht="113" customHeight="1">
      <ns0:c r="A177" s="12" t="n">
        <ns0:v>920176</ns0:v>
      </ns0:c>
      <ns0:c r="B177" s="12" t="n">
        <ns0:v>910176</ns0:v>
      </ns0:c>
      <ns0:c r="C177" s="12" t="inlineStr">
        <ns0:is>
          <ns0:t>1906년의 보고와 대응</ns0:t>
        </ns0:is>
      </ns0:c>
      <ns0:c r="D177" s="12" t="n">
        <ns0:v>4</ns0:v>
      </ns0:c>
      <ns0:c r="E177" s="12" t="n">
        <ns0:v>3</ns0:v>
      </ns0:c>
      <ns0:c r="F177" s="12" t="inlineStr">
        <ns0:is>
          <ns0:t>심흥택 보고와 지령 제3호를 연결하면 어떤 행정 대응이 보이나요?</ns0:t>
        </ns0:is>
      </ns0:c>
      <ns0:c r="G177" s="12" t="inlineStr">
        <ns0:is>
          <ns0:t>현지 보고를 받고 일본 주장을 부인하며 추가 조사를 지시</ns0:t>
        </ns0:is>
      </ns0:c>
      <ns0:c r="H177" s="12" t="inlineStr">
        <ns0:is>
          <ns0:t>현지 보고를 받은 즉시 일본의 편입 주장을 승인</ns0:t>
        </ns0:is>
      </ns0:c>
      <ns0:c r="I177" s="12" t="inlineStr">
        <ns0:is>
          <ns0:t>관할 구역에 대한 보고 자체를 금지</ns0:t>
        </ns0:is>
      </ns0:c>
      <ns0:c r="J177" s="12" t="inlineStr"/>
      <ns0:c r="K177" s="12" t="n">
        <ns0:v>1</ns0:v>
      </ns0:c>
      <ns0:c r="L177" s="12" t="inlineStr">
        <ns0:is>
          <ns0:t>보고와 답변을 함께 보면 상황 전달 뒤의 대응까지 확인할 수 있어요.</ns0:t>
        </ns0:is>
      </ns0:c>
      <ns0:c r="M177" s="12" t="inlineStr">
        <ns0:is>
          <ns0:t>1906년 대한제국 지령 제3호는 일본의 독도 주장을 부인하고 상황을 더 조사해 보고하도록 했어요.</ns0:t>
        </ns0:is>
      </ns0:c>
      <ns0:c r="N177" s="12" t="inlineStr">
        <ns0:is>
          <ns0:t>dk-order-response</ns0:t>
        </ns0:is>
      </ns0:c>
      <ns0:c r="O177" s="12" t="inlineStr">
        <ns0:is>
          <ns0:t>대한민국 외교부 자료실 · 지령 제3호(1906.5.10)
https://dokdo.mofa.go.kr/kor/pds/part02_view05.jsp</ns0:t>
        </ns0:is>
      </ns0:c>
      <ns0:c r="P177" s="13">
        <ns0:f>LEN(F177)+MAX(LEN(G177),LEN(H177),LEN(I177),LEN(J177))</ns0:f>
        <ns0:v>67</ns0:v>
      </ns0:c>
    </ns0:row>
    <ns0:row r="178" ht="158" customHeight="1">
      <ns0:c r="A178" s="10" t="n">
        <ns0:v>920177</ns0:v>
      </ns0:c>
      <ns0:c r="B178" s="10" t="n">
        <ns0:v>910177</ns0:v>
      </ns0:c>
      <ns0:c r="C178" s="10" t="inlineStr">
        <ns0:is>
          <ns0:t>1906년의 보고와 대응</ns0:t>
        </ns0:is>
      </ns0:c>
      <ns0:c r="D178" s="10" t="n">
        <ns0:v>1</ns0:v>
      </ns0:c>
      <ns0:c r="E178" s="10" t="n">
        <ns0:v>1</ns0:v>
      </ns0:c>
      <ns0:c r="F178" s="10" t="inlineStr">
        <ns0:is>
          <ns0:t>칙령 제41호와 심흥택의 독도 보고 중 먼저 나온 것은 무엇인가요?</ns0:t>
        </ns0:is>
      </ns0:c>
      <ns0:c r="G178" s="10" t="inlineStr">
        <ns0:is>
          <ns0:t>칙령 제41호</ns0:t>
        </ns0:is>
      </ns0:c>
      <ns0:c r="H178" s="10" t="inlineStr">
        <ns0:is>
          <ns0:t>심흥택의 보고</ns0:t>
        </ns0:is>
      </ns0:c>
      <ns0:c r="I178" s="10" t="inlineStr"/>
      <ns0:c r="J178" s="10" t="inlineStr"/>
      <ns0:c r="K178" s="10" t="n">
        <ns0:v>1</ns0:v>
      </ns0:c>
      <ns0:c r="L178" s="10" t="inlineStr">
        <ns0:is>
          <ns0:t>칙령은 1900년, 심흥택의 보고는 1906년이므로 칙령이 먼저예요.</ns0:t>
        </ns0:is>
      </ns0:c>
      <ns0:c r="M178" s="10" t="inlineStr">
        <ns0:is>
          <ns0:t>1900년 칙령은 울도 행정을 정했고 1906년 보고와 지령은 독도 관련 상황에 대한 대응을 보여줘요.</ns0:t>
        </ns0:is>
      </ns0:c>
      <ns0:c r="N178" s="10" t="inlineStr">
        <ns0:is>
          <ns0:t>dk-1900-1906</ns0:t>
        </ns0:is>
      </ns0:c>
      <ns0:c r="O178" s="10" t="inlineStr">
        <ns0:is>
          <ns0:t>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ns0:t>
        </ns0:is>
      </ns0:c>
      <ns0:c r="P178" s="11">
        <ns0:f>LEN(F178)+MAX(LEN(G178),LEN(H178),LEN(I178),LEN(J178))</ns0:f>
        <ns0:v>44</ns0:v>
      </ns0:c>
    </ns0:row>
    <ns0:row r="179" ht="158" customHeight="1">
      <ns0:c r="A179" s="12" t="n">
        <ns0:v>920178</ns0:v>
      </ns0:c>
      <ns0:c r="B179" s="12" t="n">
        <ns0:v>910178</ns0:v>
      </ns0:c>
      <ns0:c r="C179" s="12" t="inlineStr">
        <ns0:is>
          <ns0:t>1906년의 보고와 대응</ns0:t>
        </ns0:is>
      </ns0:c>
      <ns0:c r="D179" s="12" t="n">
        <ns0:v>2</ns0:v>
      </ns0:c>
      <ns0:c r="E179" s="12" t="n">
        <ns0:v>2</ns0:v>
      </ns0:c>
      <ns0:c r="F179" s="12" t="inlineStr">
        <ns0:is>
          <ns0:t>울도 행정 개편 뒤 독도 상황을 보고한 문서는 무엇인가요?</ns0:t>
        </ns0:is>
      </ns0:c>
      <ns0:c r="G179" s="12" t="inlineStr">
        <ns0:is>
          <ns0:t>칙령 제41호</ns0:t>
        </ns0:is>
      </ns0:c>
      <ns0:c r="H179" s="12" t="inlineStr">
        <ns0:is>
          <ns0:t>심흥택 보고</ns0:t>
        </ns0:is>
      </ns0:c>
      <ns0:c r="I179" s="12" t="inlineStr">
        <ns0:is>
          <ns0:t>태정관지령</ns0:t>
        </ns0:is>
      </ns0:c>
      <ns0:c r="J179" s="12" t="inlineStr"/>
      <ns0:c r="K179" s="12" t="n">
        <ns0:v>2</ns0:v>
      </ns0:c>
      <ns0:c r="L179" s="12" t="inlineStr">
        <ns0:is>
          <ns0:t>심흥택은 1906년 독도와 관련해 들은 상황을 상부에 보고했어요. 1900년 행정 개편 뒤의 현지 보고에 해당해요.</ns0:t>
        </ns0:is>
      </ns0:c>
      <ns0:c r="M179" s="12" t="inlineStr">
        <ns0:is>
          <ns0:t>1900년 칙령은 울도 행정을 정했고 1906년 보고와 지령은 독도 관련 상황에 대한 대응을 보여줘요.</ns0:t>
        </ns0:is>
      </ns0:c>
      <ns0:c r="N179" s="12" t="inlineStr">
        <ns0:is>
          <ns0:t>dk-1900-1906</ns0:t>
        </ns0:is>
      </ns0:c>
      <ns0:c r="O179" s="12" t="inlineStr">
        <ns0:is>
          <ns0:t>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ns0:t>
        </ns0:is>
      </ns0:c>
      <ns0:c r="P179" s="13">
        <ns0:f>LEN(F179)+MAX(LEN(G179),LEN(H179),LEN(I179),LEN(J179))</ns0:f>
        <ns0:v>39</ns0:v>
      </ns0:c>
    </ns0:row>
    <ns0:row r="180" ht="158" customHeight="1">
      <ns0:c r="A180" s="10" t="n">
        <ns0:v>920179</ns0:v>
      </ns0:c>
      <ns0:c r="B180" s="10" t="n">
        <ns0:v>910179</ns0:v>
      </ns0:c>
      <ns0:c r="C180" s="10" t="inlineStr">
        <ns0:is>
          <ns0:t>1906년의 보고와 대응</ns0:t>
        </ns0:is>
      </ns0:c>
      <ns0:c r="D180" s="10" t="n">
        <ns0:v>3</ns0:v>
      </ns0:c>
      <ns0:c r="E180" s="10" t="n">
        <ns0:v>3</ns0:v>
      </ns0:c>
      <ns0:c r="F180" s="10" t="inlineStr">
        <ns0:is>
          <ns0:t>세 자료를 오래된 것부터 놓은 순서는 무엇인가요?</ns0:t>
        </ns0:is>
      </ns0:c>
      <ns0:c r="G180" s="10" t="inlineStr">
        <ns0:is>
          <ns0:t>지령 제3호 → 1900년 칙령 → 심흥택 보고</ns0:t>
        </ns0:is>
      </ns0:c>
      <ns0:c r="H180" s="10" t="inlineStr">
        <ns0:is>
          <ns0:t>심흥택 보고 → 지령 제3호 → 1900년 칙령</ns0:t>
        </ns0:is>
      </ns0:c>
      <ns0:c r="I180" s="10" t="inlineStr">
        <ns0:is>
          <ns0:t>1900년 칙령 → 1906년 심흥택 보고 → 지령 제3호</ns0:t>
        </ns0:is>
      </ns0:c>
      <ns0:c r="J180" s="10" t="inlineStr"/>
      <ns0:c r="K180" s="10" t="n">
        <ns0:v>3</ns0:v>
      </ns0:c>
      <ns0:c r="L180" s="10" t="inlineStr">
        <ns0:is>
          <ns0:t>행정 개편 뒤 현지 보고가 있었고, 그 보고에 대한 지령이 이어졌어요.</ns0:t>
        </ns0:is>
      </ns0:c>
      <ns0:c r="M180" s="10" t="inlineStr">
        <ns0:is>
          <ns0:t>1900년 칙령은 울도 행정을 정했고 1906년 보고와 지령은 독도 관련 상황에 대한 대응을 보여줘요.</ns0:t>
        </ns0:is>
      </ns0:c>
      <ns0:c r="N180" s="10" t="inlineStr">
        <ns0:is>
          <ns0:t>dk-1900-1906</ns0:t>
        </ns0:is>
      </ns0:c>
      <ns0:c r="O180" s="10" t="inlineStr">
        <ns0:is>
          <ns0:t>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ns0:t>
        </ns0:is>
      </ns0:c>
      <ns0:c r="P180" s="11">
        <ns0:f>LEN(F180)+MAX(LEN(G180),LEN(H180),LEN(I180),LEN(J180))</ns0:f>
        <ns0:v>59</ns0:v>
      </ns0:c>
    </ns0:row>
    <ns0:row r="181" ht="158" customHeight="1">
      <ns0:c r="A181" s="12" t="n">
        <ns0:v>920180</ns0:v>
      </ns0:c>
      <ns0:c r="B181" s="12" t="n">
        <ns0:v>910180</ns0:v>
      </ns0:c>
      <ns0:c r="C181" s="12" t="inlineStr">
        <ns0:is>
          <ns0:t>1906년의 보고와 대응</ns0:t>
        </ns0:is>
      </ns0:c>
      <ns0:c r="D181" s="12" t="n">
        <ns0:v>4</ns0:v>
      </ns0:c>
      <ns0:c r="E181" s="12" t="n">
        <ns0:v>4</ns0:v>
      </ns0:c>
      <ns0:c r="F181" s="12" t="inlineStr">
        <ns0:is>
          <ns0:t>세 자료를 함께 설명할 때 각 문서의 역할을 구분한 것은 무엇인가요?</ns0:t>
        </ns0:is>
      </ns0:c>
      <ns0:c r="G181" s="12" t="inlineStr">
        <ns0:is>
          <ns0:t>칙령: 행정 개편 / 보고: 상황 전달 / 지령: 대응 지시</ns0:t>
        </ns0:is>
      </ns0:c>
      <ns0:c r="H181" s="12" t="inlineStr">
        <ns0:is>
          <ns0:t>칙령: 현지 보고 / 보고: 황제의 명령 / 지령: 지도</ns0:t>
        </ns0:is>
      </ns0:c>
      <ns0:c r="I181" s="12" t="inlineStr">
        <ns0:is>
          <ns0:t>칙령: 대응 지시 / 보고: 행정 이름 변경 / 지령: 현지 보고</ns0:t>
        </ns0:is>
      </ns0:c>
      <ns0:c r="J181" s="12" t="inlineStr"/>
      <ns0:c r="K181" s="12" t="n">
        <ns0:v>1</ns0:v>
      </ns0:c>
      <ns0:c r="L181" s="12" t="inlineStr">
        <ns0:is>
          <ns0:t>세 자료의 실제 역할을 순서대로 나누었어요.</ns0:t>
        </ns0:is>
      </ns0:c>
      <ns0:c r="M181" s="12" t="inlineStr">
        <ns0:is>
          <ns0:t>1900년 칙령은 울도 행정을 정했고 1906년 보고와 지령은 독도 관련 상황에 대한 대응을 보여줘요.</ns0:t>
        </ns0:is>
      </ns0:c>
      <ns0:c r="N181" s="12" t="inlineStr">
        <ns0:is>
          <ns0:t>dk-1900-1906</ns0:t>
        </ns0:is>
      </ns0:c>
      <ns0:c r="O181" s="12" t="inlineStr">
        <ns0:is>
          <ns0:t>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ns0:t>
        </ns0:is>
      </ns0:c>
      <ns0:c r="P181" s="13">
        <ns0:f>LEN(F181)+MAX(LEN(G181),LEN(H181),LEN(I181),LEN(J181))</ns0:f>
        <ns0:v>74</ns0:v>
      </ns0:c>
    </ns0:row>
    <ns0:row r="182" ht="113" customHeight="1">
      <ns0:c r="A182" s="10" t="n">
        <ns0:v>920181</ns0:v>
      </ns0:c>
      <ns0:c r="B182" s="10" t="n">
        <ns0:v>910181</ns0:v>
      </ns0:c>
      <ns0:c r="C182" s="10" t="inlineStr">
        <ns0:is>
          <ns0:t>바위와 물길 살펴보기</ns0:t>
        </ns0:is>
      </ns0:c>
      <ns0:c r="D182" s="10" t="n">
        <ns0:v>1</ns0:v>
      </ns0:c>
      <ns0:c r="E182" s="10" t="n">
        <ns0:v>1</ns0:v>
      </ns0:c>
      <ns0:c r="F182" s="10" t="inlineStr">
        <ns0:is>
          <ns0:t>독도의 천장굴은 어느 큰 섬에 있나요?</ns0:t>
        </ns0:is>
      </ns0:c>
      <ns0:c r="G182" s="10" t="inlineStr">
        <ns0:is>
          <ns0:t>서도</ns0:t>
        </ns0:is>
      </ns0:c>
      <ns0:c r="H182" s="10" t="inlineStr">
        <ns0:is>
          <ns0:t>동도</ns0:t>
        </ns0:is>
      </ns0:c>
      <ns0:c r="I182" s="10" t="inlineStr"/>
      <ns0:c r="J182" s="10" t="inlineStr"/>
      <ns0:c r="K182" s="10" t="n">
        <ns0:v>2</ns0:v>
      </ns0:c>
      <ns0:c r="L182" s="10" t="inlineStr">
        <ns0:is>
          <ns0:t>천장굴은 동도 중앙에 있는 함몰 지형으로 소개돼요.</ns0:t>
        </ns0:is>
      </ns0:c>
      <ns0:c r="M182" s="10" t="inlineStr">
        <ns0:is>
          <ns0:t>천장굴은 동도 중앙에 있는 우물처럼 깊게 패인 함몰 지형이에요.</ns0:t>
        </ns0:is>
      </ns0:c>
      <ns0:c r="N182" s="10" t="inlineStr">
        <ns0:is>
          <ns0:t>dk-cheonjang</ns0:t>
        </ns0:is>
      </ns0:c>
      <ns0:c r="O182" s="10" t="inlineStr">
        <ns0:is>
          <ns0:t>대한민국 한국관광공사 · 천장굴
https://korean.visitkorea.or.kr/detail/ms_detail.do?cotid=21978541-1e2d-4dd8-83fd-92ce4f55dec6
대한민국 한국해양과학기술원 · 독도의 지명
https://www.dokdo.re.kr/home/cms/cmsCont.do?cntnts_sn=65</ns0:t>
        </ns0:is>
      </ns0:c>
      <ns0:c r="P182" s="11">
        <ns0:f>LEN(F182)+MAX(LEN(G182),LEN(H182),LEN(I182),LEN(J182))</ns0:f>
        <ns0:v>23</ns0:v>
      </ns0:c>
    </ns0:row>
    <ns0:row r="183" ht="113" customHeight="1">
      <ns0:c r="A183" s="12" t="n">
        <ns0:v>920182</ns0:v>
      </ns0:c>
      <ns0:c r="B183" s="12" t="n">
        <ns0:v>910182</ns0:v>
      </ns0:c>
      <ns0:c r="C183" s="12" t="inlineStr">
        <ns0:is>
          <ns0:t>바위와 물길 살펴보기</ns0:t>
        </ns0:is>
      </ns0:c>
      <ns0:c r="D183" s="12" t="n">
        <ns0:v>2</ns0:v>
      </ns0:c>
      <ns0:c r="E183" s="12" t="n">
        <ns0:v>2</ns0:v>
      </ns0:c>
      <ns0:c r="F183" s="12" t="inlineStr">
        <ns0:is>
          <ns0:t>천장굴의 전체 모습을 가장 가깝게 설명한 것은 무엇인가요?</ns0:t>
        </ns0:is>
      </ns0:c>
      <ns0:c r="G183" s="12" t="inlineStr">
        <ns0:is>
          <ns0:t>문처럼 뚫린 바위 아치</ns0:t>
        </ns0:is>
      </ns0:c>
      <ns0:c r="H183" s="12" t="inlineStr">
        <ns0:is>
          <ns0:t>우물처럼 깊게 패인 곳</ns0:t>
        </ns0:is>
      </ns0:c>
      <ns0:c r="I183" s="12" t="inlineStr">
        <ns0:is>
          <ns0:t>바다와 나란한 모래 언덕</ns0:t>
        </ns0:is>
      </ns0:c>
      <ns0:c r="J183" s="12" t="inlineStr"/>
      <ns0:c r="K183" s="12" t="n">
        <ns0:v>2</ns0:v>
      </ns0:c>
      <ns0:c r="L183" s="12" t="inlineStr">
        <ns0:is>
          <ns0:t>중앙이 깊게 패인 함몰 지형이라는 설명이 천장굴의 특징이에요.</ns0:t>
        </ns0:is>
      </ns0:c>
      <ns0:c r="M183" s="12" t="inlineStr">
        <ns0:is>
          <ns0:t>천장굴은 동도 중앙에 있는 우물처럼 깊게 패인 함몰 지형이에요.</ns0:t>
        </ns0:is>
      </ns0:c>
      <ns0:c r="N183" s="12" t="inlineStr">
        <ns0:is>
          <ns0:t>dk-cheonjang</ns0:t>
        </ns0:is>
      </ns0:c>
      <ns0:c r="O183" s="12" t="inlineStr">
        <ns0:is>
          <ns0:t>대한민국 한국관광공사 · 천장굴
https://korean.visitkorea.or.kr/detail/ms_detail.do?cotid=21978541-1e2d-4dd8-83fd-92ce4f55dec6
대한민국 한국해양과학기술원 · 독도의 지명
https://www.dokdo.re.kr/home/cms/cmsCont.do?cntnts_sn=65</ns0:t>
        </ns0:is>
      </ns0:c>
      <ns0:c r="P183" s="13">
        <ns0:f>LEN(F183)+MAX(LEN(G183),LEN(H183),LEN(I183),LEN(J183))</ns0:f>
        <ns0:v>45</ns0:v>
      </ns0:c>
    </ns0:row>
    <ns0:row r="184" ht="113" customHeight="1">
      <ns0:c r="A184" s="10" t="n">
        <ns0:v>920183</ns0:v>
      </ns0:c>
      <ns0:c r="B184" s="10" t="n">
        <ns0:v>910183</ns0:v>
      </ns0:c>
      <ns0:c r="C184" s="10" t="inlineStr">
        <ns0:is>
          <ns0:t>바위와 물길 살펴보기</ns0:t>
        </ns0:is>
      </ns0:c>
      <ns0:c r="D184" s="10" t="n">
        <ns0:v>3</ns0:v>
      </ns0:c>
      <ns0:c r="E184" s="10" t="n">
        <ns0:v>3</ns0:v>
      </ns0:c>
      <ns0:c r="F184" s="10" t="inlineStr">
        <ns0:is>
          <ns0:t>설명에 해당하는 독도 지명은 무엇인가요?</ns0:t>
        </ns0:is>
      </ns0:c>
      <ns0:c r="G184" s="10" t="inlineStr">
        <ns0:is>
          <ns0:t>물골</ns0:t>
        </ns0:is>
      </ns0:c>
      <ns0:c r="H184" s="10" t="inlineStr">
        <ns0:is>
          <ns0:t>탕건봉</ns0:t>
        </ns0:is>
      </ns0:c>
      <ns0:c r="I184" s="10" t="inlineStr">
        <ns0:is>
          <ns0:t>천장굴</ns0:t>
        </ns0:is>
      </ns0:c>
      <ns0:c r="J184" s="10" t="inlineStr"/>
      <ns0:c r="K184" s="10" t="n">
        <ns0:v>3</ns0:v>
      </ns0:c>
      <ns0:c r="L184" s="10" t="inlineStr">
        <ns0:is>
          <ns0:t>동도 중앙의 우물 모양 함몰 지형이라는 두 특징이 천장굴을 가리켜요.</ns0:t>
        </ns0:is>
      </ns0:c>
      <ns0:c r="M184" s="10" t="inlineStr">
        <ns0:is>
          <ns0:t>천장굴은 동도 중앙에 있는 우물처럼 깊게 패인 함몰 지형이에요.</ns0:t>
        </ns0:is>
      </ns0:c>
      <ns0:c r="N184" s="10" t="inlineStr">
        <ns0:is>
          <ns0:t>dk-cheonjang</ns0:t>
        </ns0:is>
      </ns0:c>
      <ns0:c r="O184" s="10" t="inlineStr">
        <ns0:is>
          <ns0:t>대한민국 한국관광공사 · 천장굴
https://korean.visitkorea.or.kr/detail/ms_detail.do?cotid=21978541-1e2d-4dd8-83fd-92ce4f55dec6
대한민국 한국해양과학기술원 · 독도의 지명
https://www.dokdo.re.kr/home/cms/cmsCont.do?cntnts_sn=65</ns0:t>
        </ns0:is>
      </ns0:c>
      <ns0:c r="P184" s="11">
        <ns0:f>LEN(F184)+MAX(LEN(G184),LEN(H184),LEN(I184),LEN(J184))</ns0:f>
        <ns0:v>25</ns0:v>
      </ns0:c>
    </ns0:row>
    <ns0:row r="185" ht="113" customHeight="1">
      <ns0:c r="A185" s="12" t="n">
        <ns0:v>920184</ns0:v>
      </ns0:c>
      <ns0:c r="B185" s="12" t="n">
        <ns0:v>910184</ns0:v>
      </ns0:c>
      <ns0:c r="C185" s="12" t="inlineStr">
        <ns0:is>
          <ns0:t>바위와 물길 살펴보기</ns0:t>
        </ns0:is>
      </ns0:c>
      <ns0:c r="D185" s="12" t="n">
        <ns0:v>4</ns0:v>
      </ns0:c>
      <ns0:c r="E185" s="12" t="n">
        <ns0:v>3</ns0:v>
      </ns0:c>
      <ns0:c r="F185" s="12" t="inlineStr">
        <ns0:is>
          <ns0:t>천장굴을 설명하는 그림을 고른다면 어느 특징이 있어야 하나요?</ns0:t>
        </ns0:is>
      </ns0:c>
      <ns0:c r="G185" s="12" t="inlineStr">
        <ns0:is>
          <ns0:t>동도 안쪽에서 아래로 깊게 패인 공간</ns0:t>
        </ns0:is>
      </ns0:c>
      <ns0:c r="H185" s="12" t="inlineStr">
        <ns0:is>
          <ns0:t>서도 정상의 뾰족한 봉우리</ns0:t>
        </ns0:is>
      </ns0:c>
      <ns0:c r="I185" s="12" t="inlineStr">
        <ns0:is>
          <ns0:t>동도 해안의 문 모양 아치만</ns0:t>
        </ns0:is>
      </ns0:c>
      <ns0:c r="J185" s="12" t="inlineStr"/>
      <ns0:c r="K185" s="12" t="n">
        <ns0:v>1</ns0:v>
      </ns0:c>
      <ns0:c r="L185" s="12" t="inlineStr">
        <ns0:is>
          <ns0:t>바다 쪽 벽에 작은 입구만 그리기보다 중앙의 함몰 형태를 보여줘야 해요.</ns0:t>
        </ns0:is>
      </ns0:c>
      <ns0:c r="M185" s="12" t="inlineStr">
        <ns0:is>
          <ns0:t>천장굴은 동도 중앙에 있는 우물처럼 깊게 패인 함몰 지형이에요.</ns0:t>
        </ns0:is>
      </ns0:c>
      <ns0:c r="N185" s="12" t="inlineStr">
        <ns0:is>
          <ns0:t>dk-cheonjang</ns0:t>
        </ns0:is>
      </ns0:c>
      <ns0:c r="O185" s="12" t="inlineStr">
        <ns0:is>
          <ns0:t>대한민국 한국관광공사 · 천장굴
https://korean.visitkorea.or.kr/detail/ms_detail.do?cotid=21978541-1e2d-4dd8-83fd-92ce4f55dec6
대한민국 한국해양과학기술원 · 독도의 지명
https://www.dokdo.re.kr/home/cms/cmsCont.do?cntnts_sn=65</ns0:t>
        </ns0:is>
      </ns0:c>
      <ns0:c r="P185" s="13">
        <ns0:f>LEN(F185)+MAX(LEN(G185),LEN(H185),LEN(I185),LEN(J185))</ns0:f>
        <ns0:v>54</ns0:v>
      </ns0:c>
    </ns0:row>
    <ns0:row r="186" ht="158" customHeight="1">
      <ns0:c r="A186" s="10" t="n">
        <ns0:v>920185</ns0:v>
      </ns0:c>
      <ns0:c r="B186" s="10" t="n">
        <ns0:v>910185</ns0:v>
      </ns0:c>
      <ns0:c r="C186" s="10" t="inlineStr">
        <ns0:is>
          <ns0:t>바위와 물길 살펴보기</ns0:t>
        </ns0:is>
      </ns0:c>
      <ns0:c r="D186" s="10" t="n">
        <ns0:v>1</ns0:v>
      </ns0:c>
      <ns0:c r="E186" s="10" t="n">
        <ns0:v>1</ns0:v>
      </ns0:c>
      <ns0:c r="F186" s="10" t="inlineStr">
        <ns0:is>
          <ns0:t>문처럼 뚫린 아치 모양으로 이름 붙은 독도의 바위는 무엇인가요?</ns0:t>
        </ns0:is>
      </ns0:c>
      <ns0:c r="G186" s="10" t="inlineStr">
        <ns0:is>
          <ns0:t>숫돌바위</ns0:t>
        </ns0:is>
      </ns0:c>
      <ns0:c r="H186" s="10" t="inlineStr">
        <ns0:is>
          <ns0:t>독립문바위</ns0:t>
        </ns0:is>
      </ns0:c>
      <ns0:c r="I186" s="10" t="inlineStr">
        <ns0:is>
          <ns0:t>가제바위</ns0:t>
        </ns0:is>
      </ns0:c>
      <ns0:c r="J186" s="10" t="inlineStr"/>
      <ns0:c r="K186" s="10" t="n">
        <ns0:v>2</ns0:v>
      </ns0:c>
      <ns0:c r="L186" s="10" t="inlineStr">
        <ns0:is>
          <ns0:t>독립문을 닮은 아치 형태가 이름과 연결돼요.</ns0:t>
        </ns0:is>
      </ns0:c>
      <ns0:c r="M186" s="10" t="inlineStr">
        <ns0:is>
          <ns0:t>동도의 독립문바위는 해안 바위에 문처럼 뚫린 해식아치예요.</ns0:t>
        </ns0:is>
      </ns0:c>
      <ns0:c r="N186" s="10" t="inlineStr">
        <ns0:is>
          <ns0:t>dk-dongnim-arch</ns0:t>
        </ns0:is>
      </ns0:c>
      <ns0:c r="O186" s="10" t="inlineStr">
        <ns0:is>
          <ns0:t>대한민국 한국관광공사 · 독립문바위
https://korean.visitkorea.or.kr/detail/ms_detail.do?cotid=0fe4eeb6-3f6a-48b1-ab75-c8d4ab6b43be
대한민국 한국해양과학기술원 · 독도의 지명
https://www.dokdo.re.kr/home/cms/cmsCont.do?cntnts_sn=65
대한민국 한국해양과학기술원 · 독도 지형 및 지질
https://www.dokdo.re.kr/home/cms/cmsCont.do?cntnts_sn=66</ns0:t>
        </ns0:is>
      </ns0:c>
      <ns0:c r="P186" s="11">
        <ns0:f>LEN(F186)+MAX(LEN(G186),LEN(H186),LEN(I186),LEN(J186))</ns0:f>
        <ns0:v>40</ns0:v>
      </ns0:c>
    </ns0:row>
    <ns0:row r="187" ht="158" customHeight="1">
      <ns0:c r="A187" s="12" t="n">
        <ns0:v>920186</ns0:v>
      </ns0:c>
      <ns0:c r="B187" s="12" t="n">
        <ns0:v>910186</ns0:v>
      </ns0:c>
      <ns0:c r="C187" s="12" t="inlineStr">
        <ns0:is>
          <ns0:t>바위와 물길 살펴보기</ns0:t>
        </ns0:is>
      </ns0:c>
      <ns0:c r="D187" s="12" t="n">
        <ns0:v>2</ns0:v>
      </ns0:c>
      <ns0:c r="E187" s="12" t="n">
        <ns0:v>1</ns0:v>
      </ns0:c>
      <ns0:c r="F187" s="12" t="inlineStr">
        <ns0:is>
          <ns0:t>독립문바위는 어느 큰 섬의 해안에 있나요?</ns0:t>
        </ns0:is>
      </ns0:c>
      <ns0:c r="G187" s="12" t="inlineStr">
        <ns0:is>
          <ns0:t>동도</ns0:t>
        </ns0:is>
      </ns0:c>
      <ns0:c r="H187" s="12" t="inlineStr">
        <ns0:is>
          <ns0:t>서도</ns0:t>
        </ns0:is>
      </ns0:c>
      <ns0:c r="I187" s="12" t="inlineStr"/>
      <ns0:c r="J187" s="12" t="inlineStr"/>
      <ns0:c r="K187" s="12" t="n">
        <ns0:v>1</ns0:v>
      </ns0:c>
      <ns0:c r="L187" s="12" t="inlineStr">
        <ns0:is>
          <ns0:t>독립문바위는 동도의 해식아치로 소개돼요.</ns0:t>
        </ns0:is>
      </ns0:c>
      <ns0:c r="M187" s="12" t="inlineStr">
        <ns0:is>
          <ns0:t>동도의 독립문바위는 해안 바위에 문처럼 뚫린 해식아치예요.</ns0:t>
        </ns0:is>
      </ns0:c>
      <ns0:c r="N187" s="12" t="inlineStr">
        <ns0:is>
          <ns0:t>dk-dongnim-arch</ns0:t>
        </ns0:is>
      </ns0:c>
      <ns0:c r="O187" s="12" t="inlineStr">
        <ns0:is>
          <ns0:t>대한민국 한국관광공사 · 독립문바위
https://korean.visitkorea.or.kr/detail/ms_detail.do?cotid=0fe4eeb6-3f6a-48b1-ab75-c8d4ab6b43be
대한민국 한국해양과학기술원 · 독도의 지명
https://www.dokdo.re.kr/home/cms/cmsCont.do?cntnts_sn=65
대한민국 한국해양과학기술원 · 독도 지형 및 지질
https://www.dokdo.re.kr/home/cms/cmsCont.do?cntnts_sn=66</ns0:t>
        </ns0:is>
      </ns0:c>
      <ns0:c r="P187" s="13">
        <ns0:f>LEN(F187)+MAX(LEN(G187),LEN(H187),LEN(I187),LEN(J187))</ns0:f>
        <ns0:v>25</ns0:v>
      </ns0:c>
    </ns0:row>
    <ns0:row r="188" ht="158" customHeight="1">
      <ns0:c r="A188" s="10" t="n">
        <ns0:v>920187</ns0:v>
      </ns0:c>
      <ns0:c r="B188" s="10" t="n">
        <ns0:v>910187</ns0:v>
      </ns0:c>
      <ns0:c r="C188" s="10" t="inlineStr">
        <ns0:is>
          <ns0:t>바위와 물길 살펴보기</ns0:t>
        </ns0:is>
      </ns0:c>
      <ns0:c r="D188" s="10" t="n">
        <ns0:v>3</ns0:v>
      </ns0:c>
      <ns0:c r="E188" s="10" t="n">
        <ns0:v>3</ns0:v>
      </ns0:c>
      <ns0:c r="F188" s="10" t="inlineStr">
        <ns0:is>
          <ns0:t>독립문바위의 지형 종류는 무엇인가요?</ns0:t>
        </ns0:is>
      </ns0:c>
      <ns0:c r="G188" s="10" t="inlineStr">
        <ns0:is>
          <ns0:t>삼각주</ns0:t>
        </ns0:is>
      </ns0:c>
      <ns0:c r="H188" s="10" t="inlineStr">
        <ns0:is>
          <ns0:t>빙하 계곡</ns0:t>
        </ns0:is>
      </ns0:c>
      <ns0:c r="I188" s="10" t="inlineStr">
        <ns0:is>
          <ns0:t>해식아치</ns0:t>
        </ns0:is>
      </ns0:c>
      <ns0:c r="J188" s="10" t="inlineStr"/>
      <ns0:c r="K188" s="10" t="n">
        <ns0:v>3</ns0:v>
      </ns0:c>
      <ns0:c r="L188" s="10" t="inlineStr">
        <ns0:is>
          <ns0:t>파도 등의 침식으로 해안 바위에 통로가 생긴 아치 지형이에요.</ns0:t>
        </ns0:is>
      </ns0:c>
      <ns0:c r="M188" s="10" t="inlineStr">
        <ns0:is>
          <ns0:t>동도의 독립문바위는 해안 바위에 문처럼 뚫린 해식아치예요.</ns0:t>
        </ns0:is>
      </ns0:c>
      <ns0:c r="N188" s="10" t="inlineStr">
        <ns0:is>
          <ns0:t>dk-dongnim-arch</ns0:t>
        </ns0:is>
      </ns0:c>
      <ns0:c r="O188" s="10" t="inlineStr">
        <ns0:is>
          <ns0:t>대한민국 한국관광공사 · 독립문바위
https://korean.visitkorea.or.kr/detail/ms_detail.do?cotid=0fe4eeb6-3f6a-48b1-ab75-c8d4ab6b43be
대한민국 한국해양과학기술원 · 독도의 지명
https://www.dokdo.re.kr/home/cms/cmsCont.do?cntnts_sn=65
대한민국 한국해양과학기술원 · 독도 지형 및 지질
https://www.dokdo.re.kr/home/cms/cmsCont.do?cntnts_sn=66</ns0:t>
        </ns0:is>
      </ns0:c>
      <ns0:c r="P188" s="11">
        <ns0:f>LEN(F188)+MAX(LEN(G188),LEN(H188),LEN(I188),LEN(J188))</ns0:f>
        <ns0:v>25</ns0:v>
      </ns0:c>
    </ns0:row>
    <ns0:row r="189" ht="158" customHeight="1">
      <ns0:c r="A189" s="12" t="n">
        <ns0:v>920188</ns0:v>
      </ns0:c>
      <ns0:c r="B189" s="12" t="n">
        <ns0:v>910188</ns0:v>
      </ns0:c>
      <ns0:c r="C189" s="12" t="inlineStr">
        <ns0:is>
          <ns0:t>바위와 물길 살펴보기</ns0:t>
        </ns0:is>
      </ns0:c>
      <ns0:c r="D189" s="12" t="n">
        <ns0:v>4</ns0:v>
      </ns0:c>
      <ns0:c r="E189" s="12" t="n">
        <ns0:v>3</ns0:v>
      </ns0:c>
      <ns0:c r="F189" s="12" t="inlineStr">
        <ns0:is>
          <ns0:t>독립문바위와 천장굴을 바르게 구별한 것은 무엇인가요?</ns0:t>
        </ns0:is>
      </ns0:c>
      <ns0:c r="G189" s="12" t="inlineStr">
        <ns0:is>
          <ns0:t>독립문바위는 아치, 천장굴은 우물 모양 함몰 지형</ns0:t>
        </ns0:is>
      </ns0:c>
      <ns0:c r="H189" s="12" t="inlineStr">
        <ns0:is>
          <ns0:t>둘 다 서도의 뾰족한 봉우리</ns0:t>
        </ns0:is>
      </ns0:c>
      <ns0:c r="I189" s="12" t="inlineStr">
        <ns0:is>
          <ns0:t>독립문바위는 함몰 지형, 천장굴은 해식아치</ns0:t>
        </ns0:is>
      </ns0:c>
      <ns0:c r="J189" s="12" t="inlineStr"/>
      <ns0:c r="K189" s="12" t="n">
        <ns0:v>1</ns0:v>
      </ns0:c>
      <ns0:c r="L189" s="12" t="inlineStr">
        <ns0:is>
          <ns0:t>구멍이 보인다는 공통점만으로 같은 지형은 아니에요. 통로와 함몰 형태를 구분해요.</ns0:t>
        </ns0:is>
      </ns0:c>
      <ns0:c r="M189" s="12" t="inlineStr">
        <ns0:is>
          <ns0:t>동도의 독립문바위는 해안 바위에 문처럼 뚫린 해식아치예요.</ns0:t>
        </ns0:is>
      </ns0:c>
      <ns0:c r="N189" s="12" t="inlineStr">
        <ns0:is>
          <ns0:t>dk-dongnim-arch</ns0:t>
        </ns0:is>
      </ns0:c>
      <ns0:c r="O189" s="12" t="inlineStr">
        <ns0:is>
          <ns0:t>대한민국 한국관광공사 · 독립문바위
https://korean.visitkorea.or.kr/detail/ms_detail.do?cotid=0fe4eeb6-3f6a-48b1-ab75-c8d4ab6b43be
대한민국 한국해양과학기술원 · 독도의 지명
https://www.dokdo.re.kr/home/cms/cmsCont.do?cntnts_sn=65
대한민국 한국해양과학기술원 · 독도 지형 및 지질
https://www.dokdo.re.kr/home/cms/cmsCont.do?cntnts_sn=66</ns0:t>
        </ns0:is>
      </ns0:c>
      <ns0:c r="P189" s="13">
        <ns0:f>LEN(F189)+MAX(LEN(G189),LEN(H189),LEN(I189),LEN(J189))</ns0:f>
        <ns0:v>56</ns0:v>
      </ns0:c>
    </ns0:row>
    <ns0:row r="190" ht="113" customHeight="1">
      <ns0:c r="A190" s="10" t="n">
        <ns0:v>920189</ns0:v>
      </ns0:c>
      <ns0:c r="B190" s="10" t="n">
        <ns0:v>910189</ns0:v>
      </ns0:c>
      <ns0:c r="C190" s="10" t="inlineStr">
        <ns0:is>
          <ns0:t>바위와 물길 살펴보기</ns0:t>
        </ns0:is>
      </ns0:c>
      <ns0:c r="D190" s="10" t="n">
        <ns0:v>1</ns0:v>
      </ns0:c>
      <ns0:c r="E190" s="10" t="n">
        <ns0:v>1</ns0:v>
      </ns0:c>
      <ns0:c r="F190" s="10" t="inlineStr">
        <ns0:is>
          <ns0:t>독도의 숫돌바위는 어느 시설 부근에 있나요?</ns0:t>
        </ns0:is>
      </ns0:c>
      <ns0:c r="G190" s="10" t="inlineStr">
        <ns0:is>
          <ns0:t>서도 주민숙소</ns0:t>
        </ns0:is>
      </ns0:c>
      <ns0:c r="H190" s="10" t="inlineStr">
        <ns0:is>
          <ns0:t>동도 선착장</ns0:t>
        </ns0:is>
      </ns0:c>
      <ns0:c r="I190" s="10" t="inlineStr">
        <ns0:is>
          <ns0:t>울릉도 항구</ns0:t>
        </ns0:is>
      </ns0:c>
      <ns0:c r="J190" s="10" t="inlineStr"/>
      <ns0:c r="K190" s="10" t="n">
        <ns0:v>2</ns0:v>
      </ns0:c>
      <ns0:c r="L190" s="10" t="inlineStr">
        <ns0:is>
          <ns0:t>숫돌바위는 동도 선착장 가까운 바위로 안내돼요.</ns0:t>
        </ns0:is>
      </ns0:c>
      <ns0:c r="M190" s="10" t="inlineStr">
        <ns0:is>
          <ns0:t>숫돌바위는 동도 선착장 부근에 있으며 숫돌처럼 생긴 암질과 관련해 이름 붙었어요.</ns0:t>
        </ns0:is>
      </ns0:c>
      <ns0:c r="N190" s="10" t="inlineStr">
        <ns0:is>
          <ns0:t>dk-sutdol</ns0:t>
        </ns0:is>
      </ns0:c>
      <ns0:c r="O190" s="10" t="inlineStr">
        <ns0:is>
          <ns0:t>대한민국 한국관광공사 · 숫돌바위
https://korean.visitkorea.or.kr/detail/ms_detail.do?cotid=603167d6-1056-43c1-8a3d-c8640dd25938
대한민국 한국해양과학기술원 · 독도의 지명
https://www.dokdo.re.kr/home/cms/cmsCont.do?cntnts_sn=65</ns0:t>
        </ns0:is>
      </ns0:c>
      <ns0:c r="P190" s="11">
        <ns0:f>LEN(F190)+MAX(LEN(G190),LEN(H190),LEN(I190),LEN(J190))</ns0:f>
        <ns0:v>31</ns0:v>
      </ns0:c>
    </ns0:row>
    <ns0:row r="191" ht="113" customHeight="1">
      <ns0:c r="A191" s="12" t="n">
        <ns0:v>920190</ns0:v>
      </ns0:c>
      <ns0:c r="B191" s="12" t="n">
        <ns0:v>910190</ns0:v>
      </ns0:c>
      <ns0:c r="C191" s="12" t="inlineStr">
        <ns0:is>
          <ns0:t>바위와 물길 살펴보기</ns0:t>
        </ns0:is>
      </ns0:c>
      <ns0:c r="D191" s="12" t="n">
        <ns0:v>2</ns0:v>
      </ns0:c>
      <ns0:c r="E191" s="12" t="n">
        <ns0:v>2</ns0:v>
      </ns0:c>
      <ns0:c r="F191" s="12" t="inlineStr">
        <ns0:is>
          <ns0:t>‘숫돌바위’의 이름과 관련된 물건은 무엇인가요?</ns0:t>
        </ns0:is>
      </ns0:c>
      <ns0:c r="G191" s="12" t="inlineStr">
        <ns0:is>
          <ns0:t>머리에 쓰는 탕건</ns0:t>
        </ns0:is>
      </ns0:c>
      <ns0:c r="H191" s="12" t="inlineStr">
        <ns0:is>
          <ns0:t>문 모양 건축물</ns0:t>
        </ns0:is>
      </ns0:c>
      <ns0:c r="I191" s="12" t="inlineStr">
        <ns0:is>
          <ns0:t>칼 등을 가는 숫돌</ns0:t>
        </ns0:is>
      </ns0:c>
      <ns0:c r="J191" s="12" t="inlineStr"/>
      <ns0:c r="K191" s="12" t="n">
        <ns0:v>3</ns0:v>
      </ns0:c>
      <ns0:c r="L191" s="12" t="inlineStr">
        <ns0:is>
          <ns0:t>바위의 암질이 숫돌과 비슷하다는 설명에서 이름을 이해할 수 있어요.</ns0:t>
        </ns0:is>
      </ns0:c>
      <ns0:c r="M191" s="12" t="inlineStr">
        <ns0:is>
          <ns0:t>숫돌바위는 동도 선착장 부근에 있으며 숫돌처럼 생긴 암질과 관련해 이름 붙었어요.</ns0:t>
        </ns0:is>
      </ns0:c>
      <ns0:c r="N191" s="12" t="inlineStr">
        <ns0:is>
          <ns0:t>dk-sutdol</ns0:t>
        </ns0:is>
      </ns0:c>
      <ns0:c r="O191" s="12" t="inlineStr">
        <ns0:is>
          <ns0:t>대한민국 한국관광공사 · 숫돌바위
https://korean.visitkorea.or.kr/detail/ms_detail.do?cotid=603167d6-1056-43c1-8a3d-c8640dd25938
대한민국 한국해양과학기술원 · 독도의 지명
https://www.dokdo.re.kr/home/cms/cmsCont.do?cntnts_sn=65</ns0:t>
        </ns0:is>
      </ns0:c>
      <ns0:c r="P191" s="13">
        <ns0:f>LEN(F191)+MAX(LEN(G191),LEN(H191),LEN(I191),LEN(J191))</ns0:f>
        <ns0:v>36</ns0:v>
      </ns0:c>
    </ns0:row>
    <ns0:row r="192" ht="113" customHeight="1">
      <ns0:c r="A192" s="10" t="n">
        <ns0:v>920191</ns0:v>
      </ns0:c>
      <ns0:c r="B192" s="10" t="n">
        <ns0:v>910191</ns0:v>
      </ns0:c>
      <ns0:c r="C192" s="10" t="inlineStr">
        <ns0:is>
          <ns0:t>바위와 물길 살펴보기</ns0:t>
        </ns0:is>
      </ns0:c>
      <ns0:c r="D192" s="10" t="n">
        <ns0:v>3</ns0:v>
      </ns0:c>
      <ns0:c r="E192" s="10" t="n">
        <ns0:v>3</ns0:v>
      </ns0:c>
      <ns0:c r="F192" s="10" t="inlineStr">
        <ns0:is>
          <ns0:t>숫돌바위에서 소개되는 주상절리의 방향은 어느 쪽인가요?</ns0:t>
        </ns0:is>
      </ns0:c>
      <ns0:c r="G192" s="10" t="inlineStr">
        <ns0:is>
          <ns0:t>수평으로 누운 방향</ns0:t>
        </ns0:is>
      </ns0:c>
      <ns0:c r="H192" s="10" t="inlineStr">
        <ns0:is>
          <ns0:t>모두 수직으로 선 방향</ns0:t>
        </ns0:is>
      </ns0:c>
      <ns0:c r="I192" s="10" t="inlineStr">
        <ns0:is>
          <ns0:t>원형으로 소용돌이치는 방향</ns0:t>
        </ns0:is>
      </ns0:c>
      <ns0:c r="J192" s="10" t="inlineStr"/>
      <ns0:c r="K192" s="10" t="n">
        <ns0:v>1</ns0:v>
      </ns0:c>
      <ns0:c r="L192" s="10" t="inlineStr">
        <ns0:is>
          <ns0:t>관광 안내는 숫돌바위의 수평 주상절리를 특징으로 소개해요.</ns0:t>
        </ns0:is>
      </ns0:c>
      <ns0:c r="M192" s="10" t="inlineStr">
        <ns0:is>
          <ns0:t>숫돌바위는 동도 선착장 부근에 있으며 숫돌처럼 생긴 암질과 관련해 이름 붙었어요.</ns0:t>
        </ns0:is>
      </ns0:c>
      <ns0:c r="N192" s="10" t="inlineStr">
        <ns0:is>
          <ns0:t>dk-sutdol</ns0:t>
        </ns0:is>
      </ns0:c>
      <ns0:c r="O192" s="10" t="inlineStr">
        <ns0:is>
          <ns0:t>대한민국 한국관광공사 · 숫돌바위
https://korean.visitkorea.or.kr/detail/ms_detail.do?cotid=603167d6-1056-43c1-8a3d-c8640dd25938
대한민국 한국해양과학기술원 · 독도의 지명
https://www.dokdo.re.kr/home/cms/cmsCont.do?cntnts_sn=65</ns0:t>
        </ns0:is>
      </ns0:c>
      <ns0:c r="P192" s="11">
        <ns0:f>LEN(F192)+MAX(LEN(G192),LEN(H192),LEN(I192),LEN(J192))</ns0:f>
        <ns0:v>44</ns0:v>
      </ns0:c>
    </ns0:row>
    <ns0:row r="193" ht="113" customHeight="1">
      <ns0:c r="A193" s="12" t="n">
        <ns0:v>920192</ns0:v>
      </ns0:c>
      <ns0:c r="B193" s="12" t="n">
        <ns0:v>910192</ns0:v>
      </ns0:c>
      <ns0:c r="C193" s="12" t="inlineStr">
        <ns0:is>
          <ns0:t>바위와 물길 살펴보기</ns0:t>
        </ns0:is>
      </ns0:c>
      <ns0:c r="D193" s="12" t="n">
        <ns0:v>4</ns0:v>
      </ns0:c>
      <ns0:c r="E193" s="12" t="n">
        <ns0:v>3</ns0:v>
      </ns0:c>
      <ns0:c r="F193" s="12" t="inlineStr">
        <ns0:is>
          <ns0:t>숫돌바위를 알아보는 데 맞는 설명 묶음은 무엇인가요?</ns0:t>
        </ns0:is>
      </ns0:c>
      <ns0:c r="G193" s="12" t="inlineStr">
        <ns0:is>
          <ns0:t>서도 봉우리·탕건 모양·높은 정상</ns0:t>
        </ns0:is>
      </ns0:c>
      <ns0:c r="H193" s="12" t="inlineStr">
        <ns0:is>
          <ns0:t>동도 선착장 부근·숫돌 같은 암질·수평 주상절리</ns0:t>
        </ns0:is>
      </ns0:c>
      <ns0:c r="I193" s="12" t="inlineStr">
        <ns0:is>
          <ns0:t>동도 중앙·우물 모양·깊은 함몰</ns0:t>
        </ns0:is>
      </ns0:c>
      <ns0:c r="J193" s="12" t="inlineStr"/>
      <ns0:c r="K193" s="12" t="n">
        <ns0:v>2</ns0:v>
      </ns0:c>
      <ns0:c r="L193" s="12" t="inlineStr">
        <ns0:is>
          <ns0:t>위치·이름 유래·암석 특징이 모두 숫돌바위 설명과 맞아요.</ns0:t>
        </ns0:is>
      </ns0:c>
      <ns0:c r="M193" s="12" t="inlineStr">
        <ns0:is>
          <ns0:t>숫돌바위는 동도 선착장 부근에 있으며 숫돌처럼 생긴 암질과 관련해 이름 붙었어요.</ns0:t>
        </ns0:is>
      </ns0:c>
      <ns0:c r="N193" s="12" t="inlineStr">
        <ns0:is>
          <ns0:t>dk-sutdol</ns0:t>
        </ns0:is>
      </ns0:c>
      <ns0:c r="O193" s="12" t="inlineStr">
        <ns0:is>
          <ns0:t>대한민국 한국관광공사 · 숫돌바위
https://korean.visitkorea.or.kr/detail/ms_detail.do?cotid=603167d6-1056-43c1-8a3d-c8640dd25938
대한민국 한국해양과학기술원 · 독도의 지명
https://www.dokdo.re.kr/home/cms/cmsCont.do?cntnts_sn=65</ns0:t>
        </ns0:is>
      </ns0:c>
      <ns0:c r="P193" s="13">
        <ns0:f>LEN(F193)+MAX(LEN(G193),LEN(H193),LEN(I193),LEN(J193))</ns0:f>
        <ns0:v>55</ns0:v>
      </ns0:c>
    </ns0:row>
    <ns0:row r="194" ht="113" customHeight="1">
      <ns0:c r="A194" s="10" t="n">
        <ns0:v>920193</ns0:v>
      </ns0:c>
      <ns0:c r="B194" s="10" t="n">
        <ns0:v>910193</ns0:v>
      </ns0:c>
      <ns0:c r="C194" s="10" t="inlineStr">
        <ns0:is>
          <ns0:t>바위와 물길 살펴보기</ns0:t>
        </ns0:is>
      </ns0:c>
      <ns0:c r="D194" s="10" t="n">
        <ns0:v>1</ns0:v>
      </ns0:c>
      <ns0:c r="E194" s="10" t="n">
        <ns0:v>1</ns0:v>
      </ns0:c>
      <ns0:c r="F194" s="10" t="inlineStr">
        <ns0:is>
          <ns0:t>독도 ‘가제바위’의 가제는 어떤 동물의 옛 이름인가요?</ns0:t>
        </ns0:is>
      </ns0:c>
      <ns0:c r="G194" s="10" t="inlineStr">
        <ns0:is>
          <ns0:t>괭이갈매기</ns0:t>
        </ns0:is>
      </ns0:c>
      <ns0:c r="H194" s="10" t="inlineStr">
        <ns0:is>
          <ns0:t>문어</ns0:t>
        </ns0:is>
      </ns0:c>
      <ns0:c r="I194" s="10" t="inlineStr">
        <ns0:is>
          <ns0:t>강치</ns0:t>
        </ns0:is>
      </ns0:c>
      <ns0:c r="J194" s="10" t="inlineStr"/>
      <ns0:c r="K194" s="10" t="n">
        <ns0:v>3</ns0:v>
      </ns0:c>
      <ns0:c r="L194" s="10" t="inlineStr">
        <ns0:is>
          <ns0:t>지명 안내는 가제를 강치의 옛 이름과 연결해 설명해요.</ns0:t>
        </ns0:is>
      </ns0:c>
      <ns0:c r="M194" s="10" t="inlineStr">
        <ns0:is>
          <ns0:t>가제는 강치의 옛 이름으로, 독도의 가제바위 이름에도 남아 있어요.</ns0:t>
        </ns0:is>
      </ns0:c>
      <ns0:c r="N194" s="10" t="inlineStr">
        <ns0:is>
          <ns0:t>dk-gaje-name</ns0:t>
        </ns0:is>
      </ns0:c>
      <ns0:c r="O194" s="10" t="inlineStr">
        <ns0:is>
          <ns0:t>대한민국 한국해양과학기술원 · 독도의 지명
https://www.dokdo.re.kr/home/cms/cmsCont.do?cntnts_sn=65</ns0:t>
        </ns0:is>
      </ns0:c>
      <ns0:c r="P194" s="11">
        <ns0:f>LEN(F194)+MAX(LEN(G194),LEN(H194),LEN(I194),LEN(J194))</ns0:f>
        <ns0:v>35</ns0:v>
      </ns0:c>
    </ns0:row>
    <ns0:row r="195" ht="113" customHeight="1">
      <ns0:c r="A195" s="12" t="n">
        <ns0:v>920194</ns0:v>
      </ns0:c>
      <ns0:c r="B195" s="12" t="n">
        <ns0:v>910194</ns0:v>
      </ns0:c>
      <ns0:c r="C195" s="12" t="inlineStr">
        <ns0:is>
          <ns0:t>바위와 물길 살펴보기</ns0:t>
        </ns0:is>
      </ns0:c>
      <ns0:c r="D195" s="12" t="n">
        <ns0:v>2</ns0:v>
      </ns0:c>
      <ns0:c r="E195" s="12" t="n">
        <ns0:v>2</ns0:v>
      </ns0:c>
      <ns0:c r="F195" s="12" t="inlineStr">
        <ns0:is>
          <ns0:t>가제바위의 이름에 남아 있는 독도의 역사는 무엇인가요?</ns0:t>
        </ns0:is>
      </ns0:c>
      <ns0:c r="G195" s="12" t="inlineStr">
        <ns0:is>
          <ns0:t>강치가 살았던 역사</ns0:t>
        </ns0:is>
      </ns0:c>
      <ns0:c r="H195" s="12" t="inlineStr">
        <ns0:is>
          <ns0:t>바닷새의 이름만 붙인 역사</ns0:t>
        </ns0:is>
      </ns0:c>
      <ns0:c r="I195" s="12" t="inlineStr">
        <ns0:is>
          <ns0:t>바닷말을 부르던 이름의 역사</ns0:t>
        </ns0:is>
      </ns0:c>
      <ns0:c r="J195" s="12" t="inlineStr"/>
      <ns0:c r="K195" s="12" t="n">
        <ns0:v>1</ns0:v>
      </ns0:c>
      <ns0:c r="L195" s="12" t="inlineStr">
        <ns0:is>
          <ns0:t>강치의 옛 이름인 가제가 바위 이름에 남아 있어요.</ns0:t>
        </ns0:is>
      </ns0:c>
      <ns0:c r="M195" s="12" t="inlineStr">
        <ns0:is>
          <ns0:t>가제는 강치의 옛 이름으로, 독도의 가제바위 이름에도 남아 있어요.</ns0:t>
        </ns0:is>
      </ns0:c>
      <ns0:c r="N195" s="12" t="inlineStr">
        <ns0:is>
          <ns0:t>dk-gaje-name</ns0:t>
        </ns0:is>
      </ns0:c>
      <ns0:c r="O195" s="12" t="inlineStr">
        <ns0:is>
          <ns0:t>대한민국 한국해양과학기술원 · 독도의 지명
https://www.dokdo.re.kr/home/cms/cmsCont.do?cntnts_sn=65</ns0:t>
        </ns0:is>
      </ns0:c>
      <ns0:c r="P195" s="13">
        <ns0:f>LEN(F195)+MAX(LEN(G195),LEN(H195),LEN(I195),LEN(J195))</ns0:f>
        <ns0:v>45</ns0:v>
      </ns0:c>
    </ns0:row>
    <ns0:row r="196" ht="113" customHeight="1">
      <ns0:c r="A196" s="10" t="n">
        <ns0:v>920195</ns0:v>
      </ns0:c>
      <ns0:c r="B196" s="10" t="n">
        <ns0:v>910195</ns0:v>
      </ns0:c>
      <ns0:c r="C196" s="10" t="inlineStr">
        <ns0:is>
          <ns0:t>바위와 물길 살펴보기</ns0:t>
        </ns0:is>
      </ns0:c>
      <ns0:c r="D196" s="10" t="n">
        <ns0:v>3</ns0:v>
      </ns0:c>
      <ns0:c r="E196" s="10" t="n">
        <ns0:v>3</ns0:v>
      </ns0:c>
      <ns0:c r="F196" s="10" t="inlineStr">
        <ns0:is>
          <ns0:t>‘가제는 강치의 옛 이름’이라는 풀이로 연결할 수 있는 지명은 무엇인가요?</ns0:t>
        </ns0:is>
      </ns0:c>
      <ns0:c r="G196" s="10" t="inlineStr">
        <ns0:is>
          <ns0:t>탕건봉</ns0:t>
        </ns0:is>
      </ns0:c>
      <ns0:c r="H196" s="10" t="inlineStr">
        <ns0:is>
          <ns0:t>가제바위</ns0:t>
        </ns0:is>
      </ns0:c>
      <ns0:c r="I196" s="10" t="inlineStr">
        <ns0:is>
          <ns0:t>숫돌바위</ns0:t>
        </ns0:is>
      </ns0:c>
      <ns0:c r="J196" s="10" t="inlineStr"/>
      <ns0:c r="K196" s="10" t="n">
        <ns0:v>2</ns0:v>
      </ns0:c>
      <ns0:c r="L196" s="10" t="inlineStr">
        <ns0:is>
          <ns0:t>동물의 옛 이름 가제가 지명에 그대로 들어 있어요.</ns0:t>
        </ns0:is>
      </ns0:c>
      <ns0:c r="M196" s="10" t="inlineStr">
        <ns0:is>
          <ns0:t>가제는 강치의 옛 이름으로, 독도의 가제바위 이름에도 남아 있어요.</ns0:t>
        </ns0:is>
      </ns0:c>
      <ns0:c r="N196" s="10" t="inlineStr">
        <ns0:is>
          <ns0:t>dk-gaje-name</ns0:t>
        </ns0:is>
      </ns0:c>
      <ns0:c r="O196" s="10" t="inlineStr">
        <ns0:is>
          <ns0:t>대한민국 한국해양과학기술원 · 독도의 지명
https://www.dokdo.re.kr/home/cms/cmsCont.do?cntnts_sn=65</ns0:t>
        </ns0:is>
      </ns0:c>
      <ns0:c r="P196" s="11">
        <ns0:f>LEN(F196)+MAX(LEN(G196),LEN(H196),LEN(I196),LEN(J196))</ns0:f>
        <ns0:v>45</ns0:v>
      </ns0:c>
    </ns0:row>
    <ns0:row r="197" ht="113" customHeight="1">
      <ns0:c r="A197" s="12" t="n">
        <ns0:v>920196</ns0:v>
      </ns0:c>
      <ns0:c r="B197" s="12" t="n">
        <ns0:v>910196</ns0:v>
      </ns0:c>
      <ns0:c r="C197" s="12" t="inlineStr">
        <ns0:is>
          <ns0:t>바위와 물길 살펴보기</ns0:t>
        </ns0:is>
      </ns0:c>
      <ns0:c r="D197" s="12" t="n">
        <ns0:v>4</ns0:v>
      </ns0:c>
      <ns0:c r="E197" s="12" t="n">
        <ns0:v>3</ns0:v>
      </ns0:c>
      <ns0:c r="F197" s="12" t="inlineStr">
        <ns0:is>
          <ns0:t>가제바위 이름만으로 현재 강치 수를 알 수 없는 이유는 무엇인가요?</ns0:t>
        </ns0:is>
      </ns0:c>
      <ns0:c r="G197" s="12" t="inlineStr">
        <ns0:is>
          <ns0:t>모든 동물 이름 지명은 실제 동물과 무관하기 때문</ns0:t>
        </ns0:is>
      </ns0:c>
      <ns0:c r="H197" s="12" t="inlineStr">
        <ns0:is>
          <ns0:t>옛말은 한 번도 동물을 가리키지 않았기 때문</ns0:t>
        </ns0:is>
      </ns0:c>
      <ns0:c r="I197" s="12" t="inlineStr">
        <ns0:is>
          <ns0:t>이름은 과거 유래를 남기며 현재 관측 수는 아니기 때문</ns0:t>
        </ns0:is>
      </ns0:c>
      <ns0:c r="J197" s="12" t="inlineStr"/>
      <ns0:c r="K197" s="12" t="n">
        <ns0:v>3</ns0:v>
      </ns0:c>
      <ns0:c r="L197" s="12" t="inlineStr">
        <ns0:is>
          <ns0:t>지명은 과거를 기억하는 자료지만 현재 개체 수를 측정한 자료가 아니에요.</ns0:t>
        </ns0:is>
      </ns0:c>
      <ns0:c r="M197" s="12" t="inlineStr">
        <ns0:is>
          <ns0:t>가제는 강치의 옛 이름으로, 독도의 가제바위 이름에도 남아 있어요.</ns0:t>
        </ns0:is>
      </ns0:c>
      <ns0:c r="N197" s="12" t="inlineStr">
        <ns0:is>
          <ns0:t>dk-gaje-name</ns0:t>
        </ns0:is>
      </ns0:c>
      <ns0:c r="O197" s="12" t="inlineStr">
        <ns0:is>
          <ns0:t>대한민국 한국해양과학기술원 · 독도의 지명
https://www.dokdo.re.kr/home/cms/cmsCont.do?cntnts_sn=65</ns0:t>
        </ns0:is>
      </ns0:c>
      <ns0:c r="P197" s="13">
        <ns0:f>LEN(F197)+MAX(LEN(G197),LEN(H197),LEN(I197),LEN(J197))</ns0:f>
        <ns0:v>67</ns0:v>
      </ns0:c>
    </ns0:row>
    <ns0:row r="198" ht="113" customHeight="1">
      <ns0:c r="A198" s="10" t="n">
        <ns0:v>920197</ns0:v>
      </ns0:c>
      <ns0:c r="B198" s="10" t="n">
        <ns0:v>910197</ns0:v>
      </ns0:c>
      <ns0:c r="C198" s="10" t="inlineStr">
        <ns0:is>
          <ns0:t>바위와 물길 살펴보기</ns0:t>
        </ns0:is>
      </ns0:c>
      <ns0:c r="D198" s="10" t="n">
        <ns0:v>1</ns0:v>
      </ns0:c>
      <ns0:c r="E198" s="10" t="n">
        <ns0:v>1</ns0:v>
      </ns0:c>
      <ns0:c r="F198" s="10" t="inlineStr">
        <ns0:is>
          <ns0:t>독도의 탕건봉은 어느 큰 섬에 있나요?</ns0:t>
        </ns0:is>
      </ns0:c>
      <ns0:c r="G198" s="10" t="inlineStr">
        <ns0:is>
          <ns0:t>동도</ns0:t>
        </ns0:is>
      </ns0:c>
      <ns0:c r="H198" s="10" t="inlineStr">
        <ns0:is>
          <ns0:t>서도</ns0:t>
        </ns0:is>
      </ns0:c>
      <ns0:c r="I198" s="10" t="inlineStr"/>
      <ns0:c r="J198" s="10" t="inlineStr"/>
      <ns0:c r="K198" s="10" t="n">
        <ns0:v>2</ns0:v>
      </ns0:c>
      <ns0:c r="L198" s="10" t="inlineStr">
        <ns0:is>
          <ns0:t>탕건봉은 서도의 봉우리 이름이에요.</ns0:t>
        </ns0:is>
      </ns0:c>
      <ns0:c r="M198" s="10" t="inlineStr">
        <ns0:is>
          <ns0:t>탕건봉은 서도에 있으며, 머리에 쓰던 탕건과 닮은 모양에서 이름이 붙었어요.</ns0:t>
        </ns0:is>
      </ns0:c>
      <ns0:c r="N198" s="10" t="inlineStr">
        <ns0:is>
          <ns0:t>dk-tanggeon</ns0:t>
        </ns0:is>
      </ns0:c>
      <ns0:c r="O198" s="10" t="inlineStr">
        <ns0:is>
          <ns0:t>대한민국 한국해양과학기술원 · 독도의 지명
https://www.dokdo.re.kr/home/cms/cmsCont.do?cntnts_sn=65</ns0:t>
        </ns0:is>
      </ns0:c>
      <ns0:c r="P198" s="11">
        <ns0:f>LEN(F198)+MAX(LEN(G198),LEN(H198),LEN(I198),LEN(J198))</ns0:f>
        <ns0:v>23</ns0:v>
      </ns0:c>
    </ns0:row>
    <ns0:row r="199" ht="113" customHeight="1">
      <ns0:c r="A199" s="12" t="n">
        <ns0:v>920198</ns0:v>
      </ns0:c>
      <ns0:c r="B199" s="12" t="n">
        <ns0:v>910198</ns0:v>
      </ns0:c>
      <ns0:c r="C199" s="12" t="inlineStr">
        <ns0:is>
          <ns0:t>바위와 물길 살펴보기</ns0:t>
        </ns0:is>
      </ns0:c>
      <ns0:c r="D199" s="12" t="n">
        <ns0:v>2</ns0:v>
      </ns0:c>
      <ns0:c r="E199" s="12" t="n">
        <ns0:v>2</ns0:v>
      </ns0:c>
      <ns0:c r="F199" s="12" t="inlineStr">
        <ns0:is>
          <ns0:t>‘탕건봉’의 이름과 관련된 모양은 무엇인가요?</ns0:t>
        </ns0:is>
      </ns0:c>
      <ns0:c r="G199" s="12" t="inlineStr">
        <ns0:is>
          <ns0:t>머리에 쓰던 탕건</ns0:t>
        </ns0:is>
      </ns0:c>
      <ns0:c r="H199" s="12" t="inlineStr">
        <ns0:is>
          <ns0:t>칼을 가는 숫돌</ns0:t>
        </ns0:is>
      </ns0:c>
      <ns0:c r="I199" s="12" t="inlineStr">
        <ns0:is>
          <ns0:t>문처럼 뚫린 아치</ns0:t>
        </ns0:is>
      </ns0:c>
      <ns0:c r="J199" s="12" t="inlineStr"/>
      <ns0:c r="K199" s="12" t="n">
        <ns0:v>1</ns0:v>
      </ns0:c>
      <ns0:c r="L199" s="12" t="inlineStr">
        <ns0:is>
          <ns0:t>봉우리의 모습이 탕건을 닮았다는 지명 풀이예요.</ns0:t>
        </ns0:is>
      </ns0:c>
      <ns0:c r="M199" s="12" t="inlineStr">
        <ns0:is>
          <ns0:t>탕건봉은 서도에 있으며, 머리에 쓰던 탕건과 닮은 모양에서 이름이 붙었어요.</ns0:t>
        </ns0:is>
      </ns0:c>
      <ns0:c r="N199" s="12" t="inlineStr">
        <ns0:is>
          <ns0:t>dk-tanggeon</ns0:t>
        </ns0:is>
      </ns0:c>
      <ns0:c r="O199" s="12" t="inlineStr">
        <ns0:is>
          <ns0:t>대한민국 한국해양과학기술원 · 독도의 지명
https://www.dokdo.re.kr/home/cms/cmsCont.do?cntnts_sn=65</ns0:t>
        </ns0:is>
      </ns0:c>
      <ns0:c r="P199" s="13">
        <ns0:f>LEN(F199)+MAX(LEN(G199),LEN(H199),LEN(I199),LEN(J199))</ns0:f>
        <ns0:v>34</ns0:v>
      </ns0:c>
    </ns0:row>
    <ns0:row r="200" ht="113" customHeight="1">
      <ns0:c r="A200" s="10" t="n">
        <ns0:v>920199</ns0:v>
      </ns0:c>
      <ns0:c r="B200" s="10" t="n">
        <ns0:v>910199</ns0:v>
      </ns0:c>
      <ns0:c r="C200" s="10" t="inlineStr">
        <ns0:is>
          <ns0:t>바위와 물길 살펴보기</ns0:t>
        </ns0:is>
      </ns0:c>
      <ns0:c r="D200" s="10" t="n">
        <ns0:v>3</ns0:v>
      </ns0:c>
      <ns0:c r="E200" s="10" t="n">
        <ns0:v>3</ns0:v>
      </ns0:c>
      <ns0:c r="F200" s="10" t="inlineStr">
        <ns0:is>
          <ns0:t>지명 유래표에서 탕건 모양에 해당하는 독도 지명은 무엇인가요?</ns0:t>
        </ns0:is>
      </ns0:c>
      <ns0:c r="G200" s="10" t="inlineStr">
        <ns0:is>
          <ns0:t>가제바위</ns0:t>
        </ns0:is>
      </ns0:c>
      <ns0:c r="H200" s="10" t="inlineStr">
        <ns0:is>
          <ns0:t>탕건봉</ns0:t>
        </ns0:is>
      </ns0:c>
      <ns0:c r="I200" s="10" t="inlineStr">
        <ns0:is>
          <ns0:t>숫돌바위</ns0:t>
        </ns0:is>
      </ns0:c>
      <ns0:c r="J200" s="10" t="inlineStr"/>
      <ns0:c r="K200" s="10" t="n">
        <ns0:v>2</ns0:v>
      </ns0:c>
      <ns0:c r="L200" s="10" t="inlineStr">
        <ns0:is>
          <ns0:t>탕건과 봉우리의 모양을 연결한 이름이에요.</ns0:t>
        </ns0:is>
      </ns0:c>
      <ns0:c r="M200" s="10" t="inlineStr">
        <ns0:is>
          <ns0:t>탕건봉은 서도에 있으며, 머리에 쓰던 탕건과 닮은 모양에서 이름이 붙었어요.</ns0:t>
        </ns0:is>
      </ns0:c>
      <ns0:c r="N200" s="10" t="inlineStr">
        <ns0:is>
          <ns0:t>dk-tanggeon</ns0:t>
        </ns0:is>
      </ns0:c>
      <ns0:c r="O200" s="10" t="inlineStr">
        <ns0:is>
          <ns0:t>대한민국 한국해양과학기술원 · 독도의 지명
https://www.dokdo.re.kr/home/cms/cmsCont.do?cntnts_sn=65</ns0:t>
        </ns0:is>
      </ns0:c>
      <ns0:c r="P200" s="11">
        <ns0:f>LEN(F200)+MAX(LEN(G200),LEN(H200),LEN(I200),LEN(J200))</ns0:f>
        <ns0:v>38</ns0:v>
      </ns0:c>
    </ns0:row>
    <ns0:row r="201" ht="113" customHeight="1">
      <ns0:c r="A201" s="12" t="n">
        <ns0:v>920200</ns0:v>
      </ns0:c>
      <ns0:c r="B201" s="12" t="n">
        <ns0:v>910200</ns0:v>
      </ns0:c>
      <ns0:c r="C201" s="12" t="inlineStr">
        <ns0:is>
          <ns0:t>바위와 물길 살펴보기</ns0:t>
        </ns0:is>
      </ns0:c>
      <ns0:c r="D201" s="12" t="n">
        <ns0:v>4</ns0:v>
      </ns0:c>
      <ns0:c r="E201" s="12" t="n">
        <ns0:v>3</ns0:v>
      </ns0:c>
      <ns0:c r="F201" s="12" t="inlineStr">
        <ns0:is>
          <ns0:t>독도 바위 이름의 유래를 ‘모양’과 ‘동물’로 나누면 어떤 짝이 맞나요?</ns0:t>
        </ns0:is>
      </ns0:c>
      <ns0:c r="G201" s="12" t="inlineStr">
        <ns0:is>
          <ns0:t>모양: 가제바위 / 동물: 탕건봉</ns0:t>
        </ns0:is>
      </ns0:c>
      <ns0:c r="H201" s="12" t="inlineStr">
        <ns0:is>
          <ns0:t>모양: 숫돌바위 / 동물: 탕건봉</ns0:t>
        </ns0:is>
      </ns0:c>
      <ns0:c r="I201" s="12" t="inlineStr">
        <ns0:is>
          <ns0:t>모양: 탕건봉 / 동물: 가제바위</ns0:t>
        </ns0:is>
      </ns0:c>
      <ns0:c r="J201" s="12" t="inlineStr"/>
      <ns0:c r="K201" s="12" t="n">
        <ns0:v>3</ns0:v>
      </ns0:c>
      <ns0:c r="L201" s="12" t="inlineStr">
        <ns0:is>
          <ns0:t>탕건봉은 머리쓰개 모양, 가제바위는 강치와 연결돼요.</ns0:t>
        </ns0:is>
      </ns0:c>
      <ns0:c r="M201" s="12" t="inlineStr">
        <ns0:is>
          <ns0:t>탕건봉은 서도에 있으며, 머리에 쓰던 탕건과 닮은 모양에서 이름이 붙었어요.</ns0:t>
        </ns0:is>
      </ns0:c>
      <ns0:c r="N201" s="12" t="inlineStr">
        <ns0:is>
          <ns0:t>dk-tanggeon</ns0:t>
        </ns0:is>
      </ns0:c>
      <ns0:c r="O201" s="12" t="inlineStr">
        <ns0:is>
          <ns0:t>대한민국 한국해양과학기술원 · 독도의 지명
https://www.dokdo.re.kr/home/cms/cmsCont.do?cntnts_sn=65</ns0:t>
        </ns0:is>
      </ns0:c>
      <ns0:c r="P201" s="13">
        <ns0:f>LEN(F201)+MAX(LEN(G201),LEN(H201),LEN(I201),LEN(J201))</ns0:f>
        <ns0:v>58</ns0:v>
      </ns0:c>
    </ns0:row>
    <ns0:row r="202" ht="113" customHeight="1">
      <ns0:c r="A202" s="10" t="n">
        <ns0:v>920201</ns0:v>
      </ns0:c>
      <ns0:c r="B202" s="10" t="n">
        <ns0:v>910201</ns0:v>
      </ns0:c>
      <ns0:c r="C202" s="10" t="inlineStr">
        <ns0:is>
          <ns0:t>기록을 함께 읽기</ns0:t>
        </ns0:is>
      </ns0:c>
      <ns0:c r="D202" s="10" t="n">
        <ns0:v>1</ns0:v>
      </ns0:c>
      <ns0:c r="E202" s="10" t="n">
        <ns0:v>1</ns0:v>
      </ns0:c>
      <ns0:c r="F202" s="10" t="inlineStr">
        <ns0:is>
          <ns0:t>1877년 일본이 울릉도·독도를 일본과 관계없다고 한 문서는 무엇인가요?</ns0:t>
        </ns0:is>
      </ns0:c>
      <ns0:c r="G202" s="10" t="inlineStr">
        <ns0:is>
          <ns0:t>대한제국 칙령 제41호</ns0:t>
        </ns0:is>
      </ns0:c>
      <ns0:c r="H202" s="10" t="inlineStr">
        <ns0:is>
          <ns0:t>울릉도 도해금지령</ns0:t>
        </ns0:is>
      </ns0:c>
      <ns0:c r="I202" s="10" t="inlineStr">
        <ns0:is>
          <ns0:t>지령 제3호</ns0:t>
        </ns0:is>
      </ns0:c>
      <ns0:c r="J202" s="10" t="inlineStr">
        <ns0:is>
          <ns0:t>태정관지령</ns0:t>
        </ns0:is>
      </ns0:c>
      <ns0:c r="K202" s="10" t="n">
        <ns0:v>4</ns0:v>
      </ns0:c>
      <ns0:c r="L202" s="10" t="inlineStr">
        <ns0:is>
          <ns0:t>일본 최고 행정기관 태정관이 내무성에 내린 1877년 지시예요.</ns0:t>
        </ns0:is>
      </ns0:c>
      <ns0:c r="M202" s="10" t="inlineStr">
        <ns0:is>
          <ns0:t>1877년 일본 태정관은 울릉도와 독도를 일본과 관계없는 것으로 알아두라고 내무성에 지시했어요.</ns0:t>
        </ns0:is>
      </ns0:c>
      <ns0:c r="N202" s="10" t="inlineStr">
        <ns0:is>
          <ns0:t>dk-dajokan-type</ns0:t>
        </ns0:is>
      </ns0:c>
      <ns0:c r="O202" s="10" t="inlineStr">
        <ns0:is>
          <ns0:t>대한민국 외교부 자료실 · 태정관지령(1877)
https://dokdo.mofa.go.kr/kor/pds/part05_view03.jsp
대한민국 외교부 · 태정관지령과 기죽도약도(1877)
https://dokdo.mofa.go.kr/kor/pds/part06_view09.jsp</ns0:t>
        </ns0:is>
      </ns0:c>
      <ns0:c r="P202" s="11">
        <ns0:f>LEN(F202)+MAX(LEN(G202),LEN(H202),LEN(I202),LEN(J202))</ns0:f>
        <ns0:v>52</ns0:v>
      </ns0:c>
    </ns0:row>
    <ns0:row r="203" ht="113" customHeight="1">
      <ns0:c r="A203" s="12" t="n">
        <ns0:v>920202</ns0:v>
      </ns0:c>
      <ns0:c r="B203" s="12" t="n">
        <ns0:v>910202</ns0:v>
      </ns0:c>
      <ns0:c r="C203" s="12" t="inlineStr">
        <ns0:is>
          <ns0:t>기록을 함께 읽기</ns0:t>
        </ns0:is>
      </ns0:c>
      <ns0:c r="D203" s="12" t="n">
        <ns0:v>2</ns0:v>
      </ns0:c>
      <ns0:c r="E203" s="12" t="n">
        <ns0:v>2</ns0:v>
      </ns0:c>
      <ns0:c r="F203" s="12" t="inlineStr">
        <ns0:is>
          <ns0:t>일본 태정관은 1877년 울릉도·독도를 어떻게 판단했나요?</ns0:t>
        </ns0:is>
      </ns0:c>
      <ns0:c r="G203" s="12" t="inlineStr">
        <ns0:is>
          <ns0:t>일본과 관계없는 섬</ns0:t>
        </ns0:is>
      </ns0:c>
      <ns0:c r="H203" s="12" t="inlineStr">
        <ns0:is>
          <ns0:t>모두 일본 소속인 섬</ns0:t>
        </ns0:is>
      </ns0:c>
      <ns0:c r="I203" s="12" t="inlineStr">
        <ns0:is>
          <ns0:t>독도만 일본 소속인 섬</ns0:t>
        </ns0:is>
      </ns0:c>
      <ns0:c r="J203" s="12" t="inlineStr"/>
      <ns0:c r="K203" s="12" t="n">
        <ns0:v>1</ns0:v>
      </ns0:c>
      <ns0:c r="L203" s="12" t="inlineStr">
        <ns0:is>
          <ns0:t>역문의 핵심 지시는 두 섬을 일본과 관계없는 것으로 알아두라는 내용이에요.</ns0:t>
        </ns0:is>
      </ns0:c>
      <ns0:c r="M203" s="12" t="inlineStr">
        <ns0:is>
          <ns0:t>1877년 일본 태정관은 울릉도와 독도를 일본과 관계없는 것으로 알아두라고 내무성에 지시했어요.</ns0:t>
        </ns0:is>
      </ns0:c>
      <ns0:c r="N203" s="12" t="inlineStr">
        <ns0:is>
          <ns0:t>dk-dajokan-type</ns0:t>
        </ns0:is>
      </ns0:c>
      <ns0:c r="O203" s="12" t="inlineStr">
        <ns0:is>
          <ns0:t>대한민국 외교부 자료실 · 태정관지령(1877)
https://dokdo.mofa.go.kr/kor/pds/part05_view03.jsp
대한민국 외교부 · 태정관지령과 기죽도약도(1877)
https://dokdo.mofa.go.kr/kor/pds/part06_view09.jsp</ns0:t>
        </ns0:is>
      </ns0:c>
      <ns0:c r="P203" s="13">
        <ns0:f>LEN(F203)+MAX(LEN(G203),LEN(H203),LEN(I203),LEN(J203))</ns0:f>
        <ns0:v>44</ns0:v>
      </ns0:c>
    </ns0:row>
    <ns0:row r="204" ht="113" customHeight="1">
      <ns0:c r="A204" s="10" t="n">
        <ns0:v>920203</ns0:v>
      </ns0:c>
      <ns0:c r="B204" s="10" t="n">
        <ns0:v>910203</ns0:v>
      </ns0:c>
      <ns0:c r="C204" s="10" t="inlineStr">
        <ns0:is>
          <ns0:t>기록을 함께 읽기</ns0:t>
        </ns0:is>
      </ns0:c>
      <ns0:c r="D204" s="10" t="n">
        <ns0:v>3</ns0:v>
      </ns0:c>
      <ns0:c r="E204" s="10" t="n">
        <ns0:v>3</ns0:v>
      </ns0:c>
      <ns0:c r="F204" s="10" t="inlineStr">
        <ns0:is>
          <ns0:t>태정관지령 역문의 ‘본방’은 어느 나라를 가리키나요?</ns0:t>
        </ns0:is>
      </ns0:c>
      <ns0:c r="G204" s="10" t="inlineStr">
        <ns0:is>
          <ns0:t>조선</ns0:t>
        </ns0:is>
      </ns0:c>
      <ns0:c r="H204" s="10" t="inlineStr">
        <ns0:is>
          <ns0:t>일본</ns0:t>
        </ns0:is>
      </ns0:c>
      <ns0:c r="I204" s="10" t="inlineStr">
        <ns0:is>
          <ns0:t>대한민국</ns0:t>
        </ns0:is>
      </ns0:c>
      <ns0:c r="J204" s="10" t="inlineStr"/>
      <ns0:c r="K204" s="10" t="n">
        <ns0:v>2</ns0:v>
      </ns0:c>
      <ns0:c r="L204" s="10" t="inlineStr">
        <ns0:is>
          <ns0:t>일본 정부 기관이 자기 나라를 가리킨 표현이므로 여기서는 일본이에요.</ns0:t>
        </ns0:is>
      </ns0:c>
      <ns0:c r="M204" s="10" t="inlineStr">
        <ns0:is>
          <ns0:t>1877년 일본 태정관은 울릉도와 독도를 일본과 관계없는 것으로 알아두라고 내무성에 지시했어요.</ns0:t>
        </ns0:is>
      </ns0:c>
      <ns0:c r="N204" s="10" t="inlineStr">
        <ns0:is>
          <ns0:t>dk-dajokan-type</ns0:t>
        </ns0:is>
      </ns0:c>
      <ns0:c r="O204" s="10" t="inlineStr">
        <ns0:is>
          <ns0:t>대한민국 외교부 자료실 · 태정관지령(1877)
https://dokdo.mofa.go.kr/kor/pds/part05_view03.jsp
대한민국 외교부 · 태정관지령과 기죽도약도(1877)
https://dokdo.mofa.go.kr/kor/pds/part06_view09.jsp</ns0:t>
        </ns0:is>
      </ns0:c>
      <ns0:c r="P204" s="11">
        <ns0:f>LEN(F204)+MAX(LEN(G204),LEN(H204),LEN(I204),LEN(J204))</ns0:f>
        <ns0:v>33</ns0:v>
      </ns0:c>
    </ns0:row>
    <ns0:row r="205" ht="113" customHeight="1">
      <ns0:c r="A205" s="12" t="n">
        <ns0:v>920204</ns0:v>
      </ns0:c>
      <ns0:c r="B205" s="12" t="n">
        <ns0:v>910204</ns0:v>
      </ns0:c>
      <ns0:c r="C205" s="12" t="inlineStr">
        <ns0:is>
          <ns0:t>기록을 함께 읽기</ns0:t>
        </ns0:is>
      </ns0:c>
      <ns0:c r="D205" s="12" t="n">
        <ns0:v>4</ns0:v>
      </ns0:c>
      <ns0:c r="E205" s="12" t="n">
        <ns0:v>3</ns0:v>
      </ns0:c>
      <ns0:c r="F205" s="12" t="inlineStr">
        <ns0:is>
          <ns0:t>태정관지령과 첨부 지도를 함께 읽으면 당시 일본 정부의 어떤 판단을 확인할 수 있나요?</ns0:t>
        </ns0:is>
      </ns0:c>
      <ns0:c r="G205" s="12" t="inlineStr">
        <ns0:is>
          <ns0:t>울릉도만 제외하고 독도는 일본 소속이라는 판단</ns0:t>
        </ns0:is>
      </ns0:c>
      <ns0:c r="H205" s="12" t="inlineStr">
        <ns0:is>
          <ns0:t>독도만 제외하고 울릉도는 일본 소속이라는 판단</ns0:t>
        </ns0:is>
      </ns0:c>
      <ns0:c r="I205" s="12" t="inlineStr">
        <ns0:is>
          <ns0:t>울릉도와 독도를 일본 영토로 보지 않았다는 판단</ns0:t>
        </ns0:is>
      </ns0:c>
      <ns0:c r="J205" s="12" t="inlineStr"/>
      <ns0:c r="K205" s="12" t="n">
        <ns0:v>3</ns0:v>
      </ns0:c>
      <ns0:c r="L205" s="12" t="inlineStr">
        <ns0:is>
          <ns0:t>대한민국 외교부는 지령과 첨부 지도의 지명 대응을 함께 제시하며 이 역사적 의미를 설명해요.</ns0:t>
        </ns0:is>
      </ns0:c>
      <ns0:c r="M205" s="12" t="inlineStr">
        <ns0:is>
          <ns0:t>1877년 일본 태정관은 울릉도와 독도를 일본과 관계없는 것으로 알아두라고 내무성에 지시했어요.</ns0:t>
        </ns0:is>
      </ns0:c>
      <ns0:c r="N205" s="12" t="inlineStr">
        <ns0:is>
          <ns0:t>dk-dajokan-type</ns0:t>
        </ns0:is>
      </ns0:c>
      <ns0:c r="O205" s="12" t="inlineStr">
        <ns0:is>
          <ns0:t>대한민국 외교부 자료실 · 태정관지령(1877)
https://dokdo.mofa.go.kr/kor/pds/part05_view03.jsp
대한민국 외교부 · 태정관지령과 기죽도약도(1877)
https://dokdo.mofa.go.kr/kor/pds/part06_view09.jsp</ns0:t>
        </ns0:is>
      </ns0:c>
      <ns0:c r="P205" s="13">
        <ns0:f>LEN(F205)+MAX(LEN(G205),LEN(H205),LEN(I205),LEN(J205))</ns0:f>
        <ns0:v>74</ns0:v>
      </ns0:c>
    </ns0:row>
    <ns0:row r="206" ht="113" customHeight="1">
      <ns0:c r="A206" s="10" t="n">
        <ns0:v>920205</ns0:v>
      </ns0:c>
      <ns0:c r="B206" s="10" t="n">
        <ns0:v>910205</ns0:v>
      </ns0:c>
      <ns0:c r="C206" s="10" t="inlineStr">
        <ns0:is>
          <ns0:t>기록을 함께 읽기</ns0:t>
        </ns0:is>
      </ns0:c>
      <ns0:c r="D206" s="10" t="n">
        <ns0:v>1</ns0:v>
      </ns0:c>
      <ns0:c r="E206" s="10" t="n">
        <ns0:v>1</ns0:v>
      </ns0:c>
      <ns0:c r="F206" s="10" t="inlineStr">
        <ns0:is>
          <ns0:t>1696년 일본 에도 막부가 일본 어민의 울릉도 도항을 금지한 명령은 무엇인가요?</ns0:t>
        </ns0:is>
      </ns0:c>
      <ns0:c r="G206" s="10" t="inlineStr">
        <ns0:is>
          <ns0:t>울릉도 도해금지령</ns0:t>
        </ns0:is>
      </ns0:c>
      <ns0:c r="H206" s="10" t="inlineStr">
        <ns0:is>
          <ns0:t>태정관지령</ns0:t>
        </ns0:is>
      </ns0:c>
      <ns0:c r="I206" s="10" t="inlineStr">
        <ns0:is>
          <ns0:t>대한제국 칙령 제41호</ns0:t>
        </ns0:is>
      </ns0:c>
      <ns0:c r="J206" s="10" t="inlineStr">
        <ns0:is>
          <ns0:t>지령 제3호</ns0:t>
        </ns0:is>
      </ns0:c>
      <ns0:c r="K206" s="10" t="n">
        <ns0:v>1</ns0:v>
      </ns0:c>
      <ns0:c r="L206" s="10" t="inlineStr">
        <ns0:is>
          <ns0:t>도해는 바다를 건너는 일이고, 이 명령은 일본 어민의 울릉도 도항을 금지했어요.</ns0:t>
        </ns0:is>
      </ns0:c>
      <ns0:c r="M206" s="10" t="inlineStr">
        <ns0:is>
          <ns0:t>1696년 일본 에도 막부는 일본 어민이 울릉도로 건너가는 일을 금지했어요.</ns0:t>
        </ns0:is>
      </ns0:c>
      <ns0:c r="N206" s="10" t="inlineStr">
        <ns0:is>
          <ns0:t>dk-historic-name-context</ns0:t>
        </ns0:is>
      </ns0:c>
      <ns0:c r="O206" s="10" t="inlineStr">
        <ns0:is>
          <ns0:t>대한민국 외교부 · 울릉도 도해금지령(1696)
https://dokdo.mofa.go.kr/kor/pds/part05_view06.jsp
대한민국 외교부 · 독도 연표
https://dokdo.mofa.go.kr/m/kor/dokdo/reason_list.jsp</ns0:t>
        </ns0:is>
      </ns0:c>
      <ns0:c r="P206" s="11">
        <ns0:f>LEN(F206)+MAX(LEN(G206),LEN(H206),LEN(I206),LEN(J206))</ns0:f>
        <ns0:v>57</ns0:v>
      </ns0:c>
    </ns0:row>
    <ns0:row r="207" ht="113" customHeight="1">
      <ns0:c r="A207" s="12" t="n">
        <ns0:v>920206</ns0:v>
      </ns0:c>
      <ns0:c r="B207" s="12" t="n">
        <ns0:v>910206</ns0:v>
      </ns0:c>
      <ns0:c r="C207" s="12" t="inlineStr">
        <ns0:is>
          <ns0:t>기록을 함께 읽기</ns0:t>
        </ns0:is>
      </ns0:c>
      <ns0:c r="D207" s="12" t="n">
        <ns0:v>2</ns0:v>
      </ns0:c>
      <ns0:c r="E207" s="12" t="n">
        <ns0:v>2</ns0:v>
      </ns0:c>
      <ns0:c r="F207" s="12" t="inlineStr">
        <ns0:is>
          <ns0:t>1696년 울릉도 도해금지령에서 금지한 ‘도해’는 무슨 뜻인가요?</ns0:t>
        </ns0:is>
      </ns0:c>
      <ns0:c r="G207" s="12" t="inlineStr">
        <ns0:is>
          <ns0:t>바다를 건너가는 일</ns0:t>
        </ns0:is>
      </ns0:c>
      <ns0:c r="H207" s="12" t="inlineStr">
        <ns0:is>
          <ns0:t>토지의 경계를 재는 일</ns0:t>
        </ns0:is>
      </ns0:c>
      <ns0:c r="I207" s="12" t="inlineStr">
        <ns0:is>
          <ns0:t>섬의 이름을 바꾸는 일</ns0:t>
        </ns0:is>
      </ns0:c>
      <ns0:c r="J207" s="12" t="inlineStr"/>
      <ns0:c r="K207" s="12" t="n">
        <ns0:v>1</ns0:v>
      </ns0:c>
      <ns0:c r="L207" s="12" t="inlineStr">
        <ns0:is>
          <ns0:t>이 문맥에서는 배로 울릉도에 건너가는 일을 뜻해요.</ns0:t>
        </ns0:is>
      </ns0:c>
      <ns0:c r="M207" s="12" t="inlineStr">
        <ns0:is>
          <ns0:t>1696년 일본 에도 막부는 일본 어민이 울릉도로 건너가는 일을 금지했어요.</ns0:t>
        </ns0:is>
      </ns0:c>
      <ns0:c r="N207" s="12" t="inlineStr">
        <ns0:is>
          <ns0:t>dk-historic-name-context</ns0:t>
        </ns0:is>
      </ns0:c>
      <ns0:c r="O207" s="12" t="inlineStr">
        <ns0:is>
          <ns0:t>대한민국 외교부 · 울릉도 도해금지령(1696)
https://dokdo.mofa.go.kr/kor/pds/part05_view06.jsp
대한민국 외교부 · 독도 연표
https://dokdo.mofa.go.kr/m/kor/dokdo/reason_list.jsp</ns0:t>
        </ns0:is>
      </ns0:c>
      <ns0:c r="P207" s="13">
        <ns0:f>LEN(F207)+MAX(LEN(G207),LEN(H207),LEN(I207),LEN(J207))</ns0:f>
        <ns0:v>48</ns0:v>
      </ns0:c>
    </ns0:row>
    <ns0:row r="208" ht="113" customHeight="1">
      <ns0:c r="A208" s="10" t="n">
        <ns0:v>920207</ns0:v>
      </ns0:c>
      <ns0:c r="B208" s="10" t="n">
        <ns0:v>910207</ns0:v>
      </ns0:c>
      <ns0:c r="C208" s="10" t="inlineStr">
        <ns0:is>
          <ns0:t>기록을 함께 읽기</ns0:t>
        </ns0:is>
      </ns0:c>
      <ns0:c r="D208" s="10" t="n">
        <ns0:v>3</ns0:v>
      </ns0:c>
      <ns0:c r="E208" s="10" t="n">
        <ns0:v>3</ns0:v>
      </ns0:c>
      <ns0:c r="F208" s="10" t="inlineStr">
        <ns0:is>
          <ns0:t>1696년 금지령에서 ‘다케시마’로 적힌 도항 목적지는 오늘날 어느 섬인가요?</ns0:t>
        </ns0:is>
      </ns0:c>
      <ns0:c r="G208" s="10" t="inlineStr">
        <ns0:is>
          <ns0:t>독도</ns0:t>
        </ns0:is>
      </ns0:c>
      <ns0:c r="H208" s="10" t="inlineStr">
        <ns0:is>
          <ns0:t>울릉도</ns0:t>
        </ns0:is>
      </ns0:c>
      <ns0:c r="I208" s="10" t="inlineStr">
        <ns0:is>
          <ns0:t>오키섬</ns0:t>
        </ns0:is>
      </ns0:c>
      <ns0:c r="J208" s="10" t="inlineStr"/>
      <ns0:c r="K208" s="10" t="n">
        <ns0:v>2</ns0:v>
      </ns0:c>
      <ns0:c r="L208" s="10" t="inlineStr">
        <ns0:is>
          <ns0:t>이 금지령 역문에서는 다케시마를 울릉도로 풀이해요.</ns0:t>
        </ns0:is>
      </ns0:c>
      <ns0:c r="M208" s="10" t="inlineStr">
        <ns0:is>
          <ns0:t>1696년 일본 에도 막부는 일본 어민이 울릉도로 건너가는 일을 금지했어요.</ns0:t>
        </ns0:is>
      </ns0:c>
      <ns0:c r="N208" s="10" t="inlineStr">
        <ns0:is>
          <ns0:t>dk-historic-name-context</ns0:t>
        </ns0:is>
      </ns0:c>
      <ns0:c r="O208" s="10" t="inlineStr">
        <ns0:is>
          <ns0:t>대한민국 외교부 · 울릉도 도해금지령(1696)
https://dokdo.mofa.go.kr/kor/pds/part05_view06.jsp
대한민국 외교부 · 독도 연표
https://dokdo.mofa.go.kr/m/kor/dokdo/reason_list.jsp</ns0:t>
        </ns0:is>
      </ns0:c>
      <ns0:c r="P208" s="11">
        <ns0:f>LEN(F208)+MAX(LEN(G208),LEN(H208),LEN(I208),LEN(J208))</ns0:f>
        <ns0:v>46</ns0:v>
      </ns0:c>
    </ns0:row>
    <ns0:row r="209" ht="113" customHeight="1">
      <ns0:c r="A209" s="12" t="n">
        <ns0:v>920208</ns0:v>
      </ns0:c>
      <ns0:c r="B209" s="12" t="n">
        <ns0:v>910208</ns0:v>
      </ns0:c>
      <ns0:c r="C209" s="12" t="inlineStr">
        <ns0:is>
          <ns0:t>기록을 함께 읽기</ns0:t>
        </ns0:is>
      </ns0:c>
      <ns0:c r="D209" s="12" t="n">
        <ns0:v>4</ns0:v>
      </ns0:c>
      <ns0:c r="E209" s="12" t="n">
        <ns0:v>3</ns0:v>
      </ns0:c>
      <ns0:c r="F209" s="12" t="inlineStr">
        <ns0:is>
          <ns0:t>1696년 명령의 발령 주체·대상·목적지를 바르게 연결한 것은 무엇인가요?</ns0:t>
        </ns0:is>
      </ns0:c>
      <ns0:c r="G209" s="12" t="inlineStr">
        <ns0:is>
          <ns0:t>조선 정부 → 조선 어민 → 오키섬</ns0:t>
        </ns0:is>
      </ns0:c>
      <ns0:c r="H209" s="12" t="inlineStr">
        <ns0:is>
          <ns0:t>일본 에도 막부 → 조선 어민 → 울릉도</ns0:t>
        </ns0:is>
      </ns0:c>
      <ns0:c r="I209" s="12" t="inlineStr">
        <ns0:is>
          <ns0:t>일본 에도 막부 → 일본 어민 → 울릉도</ns0:t>
        </ns0:is>
      </ns0:c>
      <ns0:c r="J209" s="12" t="inlineStr"/>
      <ns0:c r="K209" s="12" t="n">
        <ns0:v>3</ns0:v>
      </ns0:c>
      <ns0:c r="L209" s="12" t="inlineStr">
        <ns0:is>
          <ns0:t>누가 명령했고 누구의 어느 목적지 도항을 막았는지 모두 맞아요.</ns0:t>
        </ns0:is>
      </ns0:c>
      <ns0:c r="M209" s="12" t="inlineStr">
        <ns0:is>
          <ns0:t>1696년 일본 에도 막부는 일본 어민이 울릉도로 건너가는 일을 금지했어요.</ns0:t>
        </ns0:is>
      </ns0:c>
      <ns0:c r="N209" s="12" t="inlineStr">
        <ns0:is>
          <ns0:t>dk-historic-name-context</ns0:t>
        </ns0:is>
      </ns0:c>
      <ns0:c r="O209" s="12" t="inlineStr">
        <ns0:is>
          <ns0:t>대한민국 외교부 · 울릉도 도해금지령(1696)
https://dokdo.mofa.go.kr/kor/pds/part05_view06.jsp
대한민국 외교부 · 독도 연표
https://dokdo.mofa.go.kr/m/kor/dokdo/reason_list.jsp</ns0:t>
        </ns0:is>
      </ns0:c>
      <ns0:c r="P209" s="13">
        <ns0:f>LEN(F209)+MAX(LEN(G209),LEN(H209),LEN(I209),LEN(J209))</ns0:f>
        <ns0:v>63</ns0:v>
      </ns0:c>
    </ns0:row>
    <ns0:row r="210" ht="113" customHeight="1">
      <ns0:c r="A210" s="10" t="n">
        <ns0:v>920209</ns0:v>
      </ns0:c>
      <ns0:c r="B210" s="10" t="n">
        <ns0:v>910209</ns0:v>
      </ns0:c>
      <ns0:c r="C210" s="10" t="inlineStr">
        <ns0:is>
          <ns0:t>기록을 함께 읽기</ns0:t>
        </ns0:is>
      </ns0:c>
      <ns0:c r="D210" s="10" t="n">
        <ns0:v>1</ns0:v>
      </ns0:c>
      <ns0:c r="E210" s="10" t="n">
        <ns0:v>1</ns0:v>
      </ns0:c>
      <ns0:c r="F210" s="10" t="inlineStr">
        <ns0:is>
          <ns0:t>태정관지령 관련 서류에 첨부된 지도 이름은 무엇인가요?</ns0:t>
        </ns0:is>
      </ns0:c>
      <ns0:c r="G210" s="10" t="inlineStr">
        <ns0:is>
          <ns0:t>기죽도약도</ns0:t>
        </ns0:is>
      </ns0:c>
      <ns0:c r="H210" s="10" t="inlineStr">
        <ns0:is>
          <ns0:t>대동여지도</ns0:t>
        </ns0:is>
      </ns0:c>
      <ns0:c r="I210" s="10" t="inlineStr">
        <ns0:is>
          <ns0:t>팔도총도</ns0:t>
        </ns0:is>
      </ns0:c>
      <ns0:c r="J210" s="10" t="inlineStr"/>
      <ns0:c r="K210" s="10" t="n">
        <ns0:v>1</ns0:v>
      </ns0:c>
      <ns0:c r="L210" s="10" t="inlineStr">
        <ns0:is>
          <ns0:t>1877년 태정관지령 관련 서류에 첨부된 지도로 소개돼요.</ns0:t>
        </ns0:is>
      </ns0:c>
      <ns0:c r="M210" s="10" t="inlineStr">
        <ns0:is>
          <ns0:t>기죽도약도는 태정관지령 관련 서류의 첨부 지도로, ‘외 1도’가 독도임을 확인하는 근거로 소개돼요.</ns0:t>
        </ns0:is>
      </ns0:c>
      <ns0:c r="N210" s="10" t="inlineStr">
        <ns0:is>
          <ns0:t>dk-map-and-document</ns0:t>
        </ns0:is>
      </ns0:c>
      <ns0:c r="O210" s="10" t="inlineStr">
        <ns0:is>
          <ns0:t>대한민국 외교부 · 태정관지령과 기죽도약도(1877)
https://dokdo.mofa.go.kr/kor/pds/part06_view09.jsp
대한민국 외교부 · 태정관지령과 기죽도약도
https://dokdo.mofa.go.kr/kor/include/print_faq.jsp?class_faq=q7</ns0:t>
        </ns0:is>
      </ns0:c>
      <ns0:c r="P210" s="11">
        <ns0:f>LEN(F210)+MAX(LEN(G210),LEN(H210),LEN(I210),LEN(J210))</ns0:f>
        <ns0:v>35</ns0:v>
      </ns0:c>
    </ns0:row>
    <ns0:row r="211" ht="113" customHeight="1">
      <ns0:c r="A211" s="12" t="n">
        <ns0:v>920210</ns0:v>
      </ns0:c>
      <ns0:c r="B211" s="12" t="n">
        <ns0:v>910210</ns0:v>
      </ns0:c>
      <ns0:c r="C211" s="12" t="inlineStr">
        <ns0:is>
          <ns0:t>기록을 함께 읽기</ns0:t>
        </ns0:is>
      </ns0:c>
      <ns0:c r="D211" s="12" t="n">
        <ns0:v>2</ns0:v>
      </ns0:c>
      <ns0:c r="E211" s="12" t="n">
        <ns0:v>2</ns0:v>
      </ns0:c>
      <ns0:c r="F211" s="12" t="inlineStr">
        <ns0:is>
          <ns0:t>태정관지령의 ‘외 1도’는 현대 지명으로 어느 섬에 해당하나요?</ns0:t>
        </ns0:is>
      </ns0:c>
      <ns0:c r="G211" s="12" t="inlineStr">
        <ns0:is>
          <ns0:t>울릉도</ns0:t>
        </ns0:is>
      </ns0:c>
      <ns0:c r="H211" s="12" t="inlineStr">
        <ns0:is>
          <ns0:t>독도</ns0:t>
        </ns0:is>
      </ns0:c>
      <ns0:c r="I211" s="12" t="inlineStr">
        <ns0:is>
          <ns0:t>제주도</ns0:t>
        </ns0:is>
      </ns0:c>
      <ns0:c r="J211" s="12" t="inlineStr"/>
      <ns0:c r="K211" s="12" t="n">
        <ns0:v>2</ns0:v>
      </ns0:c>
      <ns0:c r="L211" s="12" t="inlineStr">
        <ns0:is>
          <ns0:t>대한민국 외교부는 첨부 지도와 지령을 함께 검토해 ‘외 1도’를 독도로 풀이해요.</ns0:t>
        </ns0:is>
      </ns0:c>
      <ns0:c r="M211" s="12" t="inlineStr">
        <ns0:is>
          <ns0:t>기죽도약도는 태정관지령 관련 서류의 첨부 지도로, ‘외 1도’가 독도임을 확인하는 근거로 소개돼요.</ns0:t>
        </ns0:is>
      </ns0:c>
      <ns0:c r="N211" s="12" t="inlineStr">
        <ns0:is>
          <ns0:t>dk-map-and-document</ns0:t>
        </ns0:is>
      </ns0:c>
      <ns0:c r="O211" s="12" t="inlineStr">
        <ns0:is>
          <ns0:t>대한민국 외교부 · 태정관지령과 기죽도약도(1877)
https://dokdo.mofa.go.kr/kor/pds/part06_view09.jsp
대한민국 외교부 · 태정관지령과 기죽도약도
https://dokdo.mofa.go.kr/kor/include/print_faq.jsp?class_faq=q7</ns0:t>
        </ns0:is>
      </ns0:c>
      <ns0:c r="P211" s="13">
        <ns0:f>LEN(F211)+MAX(LEN(G211),LEN(H211),LEN(I211),LEN(J211))</ns0:f>
        <ns0:v>38</ns0:v>
      </ns0:c>
    </ns0:row>
    <ns0:row r="212" ht="113" customHeight="1">
      <ns0:c r="A212" s="10" t="n">
        <ns0:v>920211</ns0:v>
      </ns0:c>
      <ns0:c r="B212" s="10" t="n">
        <ns0:v>910211</ns0:v>
      </ns0:c>
      <ns0:c r="C212" s="10" t="inlineStr">
        <ns0:is>
          <ns0:t>기록을 함께 읽기</ns0:t>
        </ns0:is>
      </ns0:c>
      <ns0:c r="D212" s="10" t="n">
        <ns0:v>3</ns0:v>
      </ns0:c>
      <ns0:c r="E212" s="10" t="n">
        <ns0:v>3</ns0:v>
      </ns0:c>
      <ns0:c r="F212" s="10" t="inlineStr">
        <ns0:is>
          <ns0:t>첨부 지도 해설에서 울릉도와 독도를 가리키는 옛 이름의 짝은 무엇인가요?</ns0:t>
        </ns0:is>
      </ns0:c>
      <ns0:c r="G212" s="10" t="inlineStr">
        <ns0:is>
          <ns0:t>다케시마 — 독도 / 마쓰시마 — 울릉도</ns0:t>
        </ns0:is>
      </ns0:c>
      <ns0:c r="H212" s="10" t="inlineStr">
        <ns0:is>
          <ns0:t>다케시마 — 제주도 / 마쓰시마 — 오키섬</ns0:t>
        </ns0:is>
      </ns0:c>
      <ns0:c r="I212" s="10" t="inlineStr">
        <ns0:is>
          <ns0:t>다케시마 — 울릉도 / 마쓰시마 — 독도</ns0:t>
        </ns0:is>
      </ns0:c>
      <ns0:c r="J212" s="10" t="inlineStr"/>
      <ns0:c r="K212" s="10" t="n">
        <ns0:v>3</ns0:v>
      </ns0:c>
      <ns0:c r="L212" s="10" t="inlineStr">
        <ns0:is>
          <ns0:t>이 자료의 이름 대응은 다케시마가 울릉도, 마쓰시마가 독도예요.</ns0:t>
        </ns0:is>
      </ns0:c>
      <ns0:c r="M212" s="10" t="inlineStr">
        <ns0:is>
          <ns0:t>기죽도약도는 태정관지령 관련 서류의 첨부 지도로, ‘외 1도’가 독도임을 확인하는 근거로 소개돼요.</ns0:t>
        </ns0:is>
      </ns0:c>
      <ns0:c r="N212" s="10" t="inlineStr">
        <ns0:is>
          <ns0:t>dk-map-and-document</ns0:t>
        </ns0:is>
      </ns0:c>
      <ns0:c r="O212" s="10" t="inlineStr">
        <ns0:is>
          <ns0:t>대한민국 외교부 · 태정관지령과 기죽도약도(1877)
https://dokdo.mofa.go.kr/kor/pds/part06_view09.jsp
대한민국 외교부 · 태정관지령과 기죽도약도
https://dokdo.mofa.go.kr/kor/include/print_faq.jsp?class_faq=q7</ns0:t>
        </ns0:is>
      </ns0:c>
      <ns0:c r="P212" s="11">
        <ns0:f>LEN(F212)+MAX(LEN(G212),LEN(H212),LEN(I212),LEN(J212))</ns0:f>
        <ns0:v>63</ns0:v>
      </ns0:c>
    </ns0:row>
    <ns0:row r="213" ht="113" customHeight="1">
      <ns0:c r="A213" s="12" t="n">
        <ns0:v>920212</ns0:v>
      </ns0:c>
      <ns0:c r="B213" s="12" t="n">
        <ns0:v>910212</ns0:v>
      </ns0:c>
      <ns0:c r="C213" s="12" t="inlineStr">
        <ns0:is>
          <ns0:t>기록을 함께 읽기</ns0:t>
        </ns0:is>
      </ns0:c>
      <ns0:c r="D213" s="12" t="n">
        <ns0:v>4</ns0:v>
      </ns0:c>
      <ns0:c r="E213" s="12" t="n">
        <ns0:v>4</ns0:v>
      </ns0:c>
      <ns0:c r="F213" s="12" t="inlineStr">
        <ns0:is>
          <ns0:t>기죽도약도가 태정관지령 해석에 중요한 까닭은 무엇인가요?</ns0:t>
        </ns0:is>
      </ns0:c>
      <ns0:c r="G213" s="12" t="inlineStr">
        <ns0:is>
          <ns0:t>지령의 ‘외 1도’가 독도임을 확인하는 근거가 되어서</ns0:t>
        </ns0:is>
      </ns0:c>
      <ns0:c r="H213" s="12" t="inlineStr">
        <ns0:is>
          <ns0:t>지도 제작국의 영토만 반드시 그린 지도이기 때문에</ns0:t>
        </ns0:is>
      </ns0:c>
      <ns0:c r="I213" s="12" t="inlineStr">
        <ns0:is>
          <ns0:t>지령의 두 섬을 울릉도 한 섬으로 합치기 때문에</ns0:t>
        </ns0:is>
      </ns0:c>
      <ns0:c r="J213" s="12" t="inlineStr"/>
      <ns0:c r="K213" s="12" t="n">
        <ns0:v>1</ns0:v>
      </ns0:c>
      <ns0:c r="L213" s="12" t="inlineStr">
        <ns0:is>
          <ns0:t>대상 섬을 확인해 당시 일본 정부 지시가 독도에도 해당함을 설명하는 데 쓰여요.</ns0:t>
        </ns0:is>
      </ns0:c>
      <ns0:c r="M213" s="12" t="inlineStr">
        <ns0:is>
          <ns0:t>기죽도약도는 태정관지령 관련 서류의 첨부 지도로, ‘외 1도’가 독도임을 확인하는 근거로 소개돼요.</ns0:t>
        </ns0:is>
      </ns0:c>
      <ns0:c r="N213" s="12" t="inlineStr">
        <ns0:is>
          <ns0:t>dk-map-and-document</ns0:t>
        </ns0:is>
      </ns0:c>
      <ns0:c r="O213" s="12" t="inlineStr">
        <ns0:is>
          <ns0:t>대한민국 외교부 · 태정관지령과 기죽도약도(1877)
https://dokdo.mofa.go.kr/kor/pds/part06_view09.jsp
대한민국 외교부 · 태정관지령과 기죽도약도
https://dokdo.mofa.go.kr/kor/include/print_faq.jsp?class_faq=q7</ns0:t>
        </ns0:is>
      </ns0:c>
      <ns0:c r="P213" s="13">
        <ns0:f>LEN(F213)+MAX(LEN(G213),LEN(H213),LEN(I213),LEN(J213))</ns0:f>
        <ns0:v>60</ns0:v>
      </ns0:c>
    </ns0:row>
    <ns0:row r="214" ht="160" customHeight="1">
      <ns0:c r="A214" s="10" t="n">
        <ns0:v>920213</ns0:v>
      </ns0:c>
      <ns0:c r="B214" s="10" t="n">
        <ns0:v>910213</ns0:v>
      </ns0:c>
      <ns0:c r="C214" s="10" t="inlineStr">
        <ns0:is>
          <ns0:t>기록을 함께 읽기</ns0:t>
        </ns0:is>
      </ns0:c>
      <ns0:c r="D214" s="10" t="n">
        <ns0:v>1</ns0:v>
      </ns0:c>
      <ns0:c r="E214" s="10" t="n">
        <ns0:v>1</ns0:v>
      </ns0:c>
      <ns0:c r="F214" s="10" t="inlineStr">
        <ns0:is>
          <ns0:t>심흥택이 현지 상황을 상부에 알린 자료의 종류는 무엇인가요?</ns0:t>
        </ns0:is>
      </ns0:c>
      <ns0:c r="G214" s="10" t="inlineStr">
        <ns0:is>
          <ns0:t>지도</ns0:t>
        </ns0:is>
      </ns0:c>
      <ns0:c r="H214" s="10" t="inlineStr">
        <ns0:is>
          <ns0:t>보고서</ns0:t>
        </ns0:is>
      </ns0:c>
      <ns0:c r="I214" s="10" t="inlineStr">
        <ns0:is>
          <ns0:t>칙령</ns0:t>
        </ns0:is>
      </ns0:c>
      <ns0:c r="J214" s="10" t="inlineStr"/>
      <ns0:c r="K214" s="10" t="n">
        <ns0:v>2</ns0:v>
      </ns0:c>
      <ns0:c r="L214" s="10" t="inlineStr">
        <ns0:is>
          <ns0:t>현지 관리가 알아낸 상황을 상부에 전한 것이므로 보고서예요.</ns0:t>
        </ns0:is>
      </ns0:c>
      <ns0:c r="M214" s="10" t="inlineStr">
        <ns0:is>
          <ns0:t>독도 관련 지리지·지도·보고서·명령문은 서로 다른 종류의 역사 자료예요.</ns0:t>
        </ns0:is>
      </ns0:c>
      <ns0:c r="N214" s="10" t="inlineStr">
        <ns0:is>
          <ns0:t>dk-record-types</ns0:t>
        </ns0:is>
      </ns0:c>
      <ns0:c r="O214" s="10" t="inlineStr">
        <ns0:is>
          <ns0:t>대한민국 외교부 자료실 · 세종실록 지리지(1454)
https://dokdo.mofa.go.kr/kor/pds/part06_view02.jsp
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
대한민국 외교부 · 태정관지령과 기죽도약도(1877)
https://dokdo.mofa.go.kr/kor/pds/part06_view09.jsp</ns0:t>
        </ns0:is>
      </ns0:c>
      <ns0:c r="P214" s="11">
        <ns0:f>LEN(F214)+MAX(LEN(G214),LEN(H214),LEN(I214),LEN(J214))</ns0:f>
        <ns0:v>36</ns0:v>
      </ns0:c>
    </ns0:row>
    <ns0:row r="215" ht="160" customHeight="1">
      <ns0:c r="A215" s="12" t="n">
        <ns0:v>920214</ns0:v>
      </ns0:c>
      <ns0:c r="B215" s="12" t="n">
        <ns0:v>910214</ns0:v>
      </ns0:c>
      <ns0:c r="C215" s="12" t="inlineStr">
        <ns0:is>
          <ns0:t>기록을 함께 읽기</ns0:t>
        </ns0:is>
      </ns0:c>
      <ns0:c r="D215" s="12" t="n">
        <ns0:v>2</ns0:v>
      </ns0:c>
      <ns0:c r="E215" s="12" t="n">
        <ns0:v>2</ns0:v>
      </ns0:c>
      <ns0:c r="F215" s="12" t="inlineStr">
        <ns0:is>
          <ns0:t>독도와 관련된 행정 구역을 정하는 ‘칙령’은 어떤 자료인가요?</ns0:t>
        </ns0:is>
      </ns0:c>
      <ns0:c r="G215" s="12" t="inlineStr">
        <ns0:is>
          <ns0:t>개인의 여행 일기</ns0:t>
        </ns0:is>
      </ns0:c>
      <ns0:c r="H215" s="12" t="inlineStr">
        <ns0:is>
          <ns0:t>바위의 위치를 그린 약도</ns0:t>
        </ns0:is>
      </ns0:c>
      <ns0:c r="I215" s="12" t="inlineStr">
        <ns0:is>
          <ns0:t>황제의 명령문</ns0:t>
        </ns0:is>
      </ns0:c>
      <ns0:c r="J215" s="12" t="inlineStr"/>
      <ns0:c r="K215" s="12" t="n">
        <ns0:v>3</ns0:v>
      </ns0:c>
      <ns0:c r="L215" s="12" t="inlineStr">
        <ns0:is>
          <ns0:t>칙령은 행정 사항 등을 정하는 황제의 명령이에요.</ns0:t>
        </ns0:is>
      </ns0:c>
      <ns0:c r="M215" s="12" t="inlineStr">
        <ns0:is>
          <ns0:t>독도 관련 지리지·지도·보고서·명령문은 서로 다른 종류의 역사 자료예요.</ns0:t>
        </ns0:is>
      </ns0:c>
      <ns0:c r="N215" s="12" t="inlineStr">
        <ns0:is>
          <ns0:t>dk-record-types</ns0:t>
        </ns0:is>
      </ns0:c>
      <ns0:c r="O215" s="12" t="inlineStr">
        <ns0:is>
          <ns0:t>대한민국 외교부 자료실 · 세종실록 지리지(1454)
https://dokdo.mofa.go.kr/kor/pds/part06_view02.jsp
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
대한민국 외교부 · 태정관지령과 기죽도약도(1877)
https://dokdo.mofa.go.kr/kor/pds/part06_view09.jsp</ns0:t>
        </ns0:is>
      </ns0:c>
      <ns0:c r="P215" s="13">
        <ns0:f>LEN(F215)+MAX(LEN(G215),LEN(H215),LEN(I215),LEN(J215))</ns0:f>
        <ns0:v>47</ns0:v>
      </ns0:c>
    </ns0:row>
    <ns0:row r="216" ht="160" customHeight="1">
      <ns0:c r="A216" s="10" t="n">
        <ns0:v>920215</ns0:v>
      </ns0:c>
      <ns0:c r="B216" s="10" t="n">
        <ns0:v>910215</ns0:v>
      </ns0:c>
      <ns0:c r="C216" s="10" t="inlineStr">
        <ns0:is>
          <ns0:t>기록을 함께 읽기</ns0:t>
        </ns0:is>
      </ns0:c>
      <ns0:c r="D216" s="10" t="n">
        <ns0:v>3</ns0:v>
      </ns0:c>
      <ns0:c r="E216" s="10" t="n">
        <ns0:v>3</ns0:v>
      </ns0:c>
      <ns0:c r="F216" s="10" t="inlineStr">
        <ns0:is>
          <ns0:t>문서 종류가 ‘명령문’인 자료끼리 묶인 것은 무엇인가요?</ns0:t>
        </ns0:is>
      </ns0:c>
      <ns0:c r="G216" s="10" t="inlineStr">
        <ns0:is>
          <ns0:t>칙령 제41호·지령 제3호</ns0:t>
        </ns0:is>
      </ns0:c>
      <ns0:c r="H216" s="10" t="inlineStr">
        <ns0:is>
          <ns0:t>기죽도약도·시설 위치도</ns0:t>
        </ns0:is>
      </ns0:c>
      <ns0:c r="I216" s="10" t="inlineStr">
        <ns0:is>
          <ns0:t>심흥택 보고서·여행자의 일기</ns0:t>
        </ns0:is>
      </ns0:c>
      <ns0:c r="J216" s="10" t="inlineStr"/>
      <ns0:c r="K216" s="10" t="n">
        <ns0:v>1</ns0:v>
      </ns0:c>
      <ns0:c r="L216" s="10" t="inlineStr">
        <ns0:is>
          <ns0:t>두 문서는 각각 행정 개편과 조사·보고를 명령하는 내용을 담아요.</ns0:t>
        </ns0:is>
      </ns0:c>
      <ns0:c r="M216" s="10" t="inlineStr">
        <ns0:is>
          <ns0:t>독도 관련 지리지·지도·보고서·명령문은 서로 다른 종류의 역사 자료예요.</ns0:t>
        </ns0:is>
      </ns0:c>
      <ns0:c r="N216" s="10" t="inlineStr">
        <ns0:is>
          <ns0:t>dk-record-types</ns0:t>
        </ns0:is>
      </ns0:c>
      <ns0:c r="O216" s="10" t="inlineStr">
        <ns0:is>
          <ns0:t>대한민국 외교부 자료실 · 세종실록 지리지(1454)
https://dokdo.mofa.go.kr/kor/pds/part06_view02.jsp
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
대한민국 외교부 · 태정관지령과 기죽도약도(1877)
https://dokdo.mofa.go.kr/kor/pds/part06_view09.jsp</ns0:t>
        </ns0:is>
      </ns0:c>
      <ns0:c r="P216" s="11">
        <ns0:f>LEN(F216)+MAX(LEN(G216),LEN(H216),LEN(I216),LEN(J216))</ns0:f>
        <ns0:v>46</ns0:v>
      </ns0:c>
    </ns0:row>
    <ns0:row r="217" ht="160" customHeight="1">
      <ns0:c r="A217" s="12" t="n">
        <ns0:v>920216</ns0:v>
      </ns0:c>
      <ns0:c r="B217" s="12" t="n">
        <ns0:v>910216</ns0:v>
      </ns0:c>
      <ns0:c r="C217" s="12" t="inlineStr">
        <ns0:is>
          <ns0:t>기록을 함께 읽기</ns0:t>
        </ns0:is>
      </ns0:c>
      <ns0:c r="D217" s="12" t="n">
        <ns0:v>4</ns0:v>
      </ns0:c>
      <ns0:c r="E217" s="12" t="n">
        <ns0:v>3</ns0:v>
      </ns0:c>
      <ns0:c r="F217" s="12" t="inlineStr">
        <ns0:is>
          <ns0:t>칙령과 현지 보고를 함께 보면 각각 무엇을 확인할 수 있나요?</ns0:t>
        </ns0:is>
      </ns0:c>
      <ns0:c r="G217" s="12" t="inlineStr">
        <ns0:is>
          <ns0:t>칙령을 현지 목격담, 보고서를 황제 명령으로 바꿔 읽기</ns0:t>
        </ns0:is>
      </ns0:c>
      <ns0:c r="H217" s="12" t="inlineStr">
        <ns0:is>
          <ns0:t>칙령이 정한 행정 내용과 보고서의 현지 상황</ns0:t>
        </ns0:is>
      </ns0:c>
      <ns0:c r="I217" s="12" t="inlineStr">
        <ns0:is>
          <ns0:t>작성 시기를 지우고 한 문서로 합쳐 읽기</ns0:t>
        </ns0:is>
      </ns0:c>
      <ns0:c r="J217" s="12" t="inlineStr"/>
      <ns0:c r="K217" s="12" t="n">
        <ns0:v>2</ns0:v>
      </ns0:c>
      <ns0:c r="L217" s="12" t="inlineStr">
        <ns0:is>
          <ns0:t>명령과 보고가 맡은 역할을 구분해 연결한 답이에요.</ns0:t>
        </ns0:is>
      </ns0:c>
      <ns0:c r="M217" s="12" t="inlineStr">
        <ns0:is>
          <ns0:t>독도 관련 지리지·지도·보고서·명령문은 서로 다른 종류의 역사 자료예요.</ns0:t>
        </ns0:is>
      </ns0:c>
      <ns0:c r="N217" s="12" t="inlineStr">
        <ns0:is>
          <ns0:t>dk-record-types</ns0:t>
        </ns0:is>
      </ns0:c>
      <ns0:c r="O217" s="12" t="inlineStr">
        <ns0:is>
          <ns0:t>대한민국 외교부 자료실 · 세종실록 지리지(1454)
https://dokdo.mofa.go.kr/kor/pds/part06_view02.jsp
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
대한민국 외교부 · 태정관지령과 기죽도약도(1877)
https://dokdo.mofa.go.kr/kor/pds/part06_view09.jsp</ns0:t>
        </ns0:is>
      </ns0:c>
      <ns0:c r="P217" s="13">
        <ns0:f>LEN(F217)+MAX(LEN(G217),LEN(H217),LEN(I217),LEN(J217))</ns0:f>
        <ns0:v>64</ns0:v>
      </ns0:c>
    </ns0:row>
    <ns0:row r="218" ht="158" customHeight="1">
      <ns0:c r="A218" s="10" t="n">
        <ns0:v>920217</ns0:v>
      </ns0:c>
      <ns0:c r="B218" s="10" t="n">
        <ns0:v>910217</ns0:v>
      </ns0:c>
      <ns0:c r="C218" s="10" t="inlineStr">
        <ns0:is>
          <ns0:t>기록을 함께 읽기</ns0:t>
        </ns0:is>
      </ns0:c>
      <ns0:c r="D218" s="10" t="n">
        <ns0:v>1</ns0:v>
      </ns0:c>
      <ns0:c r="E218" s="10" t="n">
        <ns0:v>1</ns0:v>
      </ns0:c>
      <ns0:c r="F218" s="10" t="inlineStr">
        <ns0:is>
          <ns0:t>1877년 태정관지령을 내린 일본 기관은 어디인가요?</ns0:t>
        </ns0:is>
      </ns0:c>
      <ns0:c r="G218" s="10" t="inlineStr">
        <ns0:is>
          <ns0:t>내무성</ns0:t>
        </ns0:is>
      </ns0:c>
      <ns0:c r="H218" s="10" t="inlineStr">
        <ns0:is>
          <ns0:t>시마네현</ns0:t>
        </ns0:is>
      </ns0:c>
      <ns0:c r="I218" s="10" t="inlineStr">
        <ns0:is>
          <ns0:t>태정관</ns0:t>
        </ns0:is>
      </ns0:c>
      <ns0:c r="J218" s="10" t="inlineStr"/>
      <ns0:c r="K218" s="10" t="n">
        <ns0:v>3</ns0:v>
      </ns0:c>
      <ns0:c r="L218" s="10" t="inlineStr">
        <ns0:is>
          <ns0:t>당시 일본 최고 행정기관으로 지시를 내린 쪽이에요.</ns0:t>
        </ns0:is>
      </ns0:c>
      <ns0:c r="M218" s="10" t="inlineStr">
        <ns0:is>
          <ns0:t>일본이 작성한 옛 문서와 대한민국 외교부가 공개한 현대 역문·해설은 작성 주체와 역할이 달라요.</ns0:t>
        </ns0:is>
      </ns0:c>
      <ns0:c r="N218" s="10" t="inlineStr">
        <ns0:is>
          <ns0:t>dk-authority-and-interpretation</ns0:t>
        </ns0:is>
      </ns0:c>
      <ns0:c r="O218" s="10" t="inlineStr">
        <ns0:is>
          <ns0:t>대한민국 외교부 자료실 · 태정관지령(1877)
https://dokdo.mofa.go.kr/kor/pds/part05_view03.jsp
대한민국 외교부 · 태정관지령과 기죽도약도(1877)
https://dokdo.mofa.go.kr/kor/pds/part06_view09.jsp
대한민국 외교부 · 울릉도 도해금지령(1696)
https://dokdo.mofa.go.kr/kor/pds/part05_view06.jsp</ns0:t>
        </ns0:is>
      </ns0:c>
      <ns0:c r="P218" s="11">
        <ns0:f>LEN(F218)+MAX(LEN(G218),LEN(H218),LEN(I218),LEN(J218))</ns0:f>
        <ns0:v>33</ns0:v>
      </ns0:c>
    </ns0:row>
    <ns0:row r="219" ht="158" customHeight="1">
      <ns0:c r="A219" s="12" t="n">
        <ns0:v>920218</ns0:v>
      </ns0:c>
      <ns0:c r="B219" s="12" t="n">
        <ns0:v>910218</ns0:v>
      </ns0:c>
      <ns0:c r="C219" s="12" t="inlineStr">
        <ns0:is>
          <ns0:t>기록을 함께 읽기</ns0:t>
        </ns0:is>
      </ns0:c>
      <ns0:c r="D219" s="12" t="n">
        <ns0:v>2</ns0:v>
      </ns0:c>
      <ns0:c r="E219" s="12" t="n">
        <ns0:v>1</ns0:v>
      </ns0:c>
      <ns0:c r="F219" s="12" t="inlineStr">
        <ns0:is>
          <ns0:t>1877년 두 섬의 처리를 태정관에 문의한 일본 기관은 어디인가요?</ns0:t>
        </ns0:is>
      </ns0:c>
      <ns0:c r="G219" s="12" t="inlineStr">
        <ns0:is>
          <ns0:t>내무성</ns0:t>
        </ns0:is>
      </ns0:c>
      <ns0:c r="H219" s="12" t="inlineStr">
        <ns0:is>
          <ns0:t>태정관</ns0:t>
        </ns0:is>
      </ns0:c>
      <ns0:c r="I219" s="12" t="inlineStr">
        <ns0:is>
          <ns0:t>외무성</ns0:t>
        </ns0:is>
      </ns0:c>
      <ns0:c r="J219" s="12" t="inlineStr"/>
      <ns0:c r="K219" s="12" t="n">
        <ns0:v>1</ns0:v>
      </ns0:c>
      <ns0:c r="L219" s="12" t="inlineStr">
        <ns0:is>
          <ns0:t>토지 기록 관련 질의를 올린 일본 중앙 기관은 내무성이에요.</ns0:t>
        </ns0:is>
      </ns0:c>
      <ns0:c r="M219" s="12" t="inlineStr">
        <ns0:is>
          <ns0:t>일본이 작성한 옛 문서와 대한민국 외교부가 공개한 현대 역문·해설은 작성 주체와 역할이 달라요.</ns0:t>
        </ns0:is>
      </ns0:c>
      <ns0:c r="N219" s="12" t="inlineStr">
        <ns0:is>
          <ns0:t>dk-authority-and-interpretation</ns0:t>
        </ns0:is>
      </ns0:c>
      <ns0:c r="O219" s="12" t="inlineStr">
        <ns0:is>
          <ns0:t>대한민국 외교부 자료실 · 태정관지령(1877)
https://dokdo.mofa.go.kr/kor/pds/part05_view03.jsp
대한민국 외교부 · 태정관지령과 기죽도약도(1877)
https://dokdo.mofa.go.kr/kor/pds/part06_view09.jsp
대한민국 외교부 · 울릉도 도해금지령(1696)
https://dokdo.mofa.go.kr/kor/pds/part05_view06.jsp</ns0:t>
        </ns0:is>
      </ns0:c>
      <ns0:c r="P219" s="13">
        <ns0:f>LEN(F219)+MAX(LEN(G219),LEN(H219),LEN(I219),LEN(J219))</ns0:f>
        <ns0:v>40</ns0:v>
      </ns0:c>
    </ns0:row>
    <ns0:row r="220" ht="158" customHeight="1">
      <ns0:c r="A220" s="10" t="n">
        <ns0:v>920219</ns0:v>
      </ns0:c>
      <ns0:c r="B220" s="10" t="n">
        <ns0:v>910219</ns0:v>
      </ns0:c>
      <ns0:c r="C220" s="10" t="inlineStr">
        <ns0:is>
          <ns0:t>기록을 함께 읽기</ns0:t>
        </ns0:is>
      </ns0:c>
      <ns0:c r="D220" s="10" t="n">
        <ns0:v>3</ns0:v>
      </ns0:c>
      <ns0:c r="E220" s="10" t="n">
        <ns0:v>3</ns0:v>
      </ns0:c>
      <ns0:c r="F220" s="10" t="inlineStr">
        <ns0:is>
          <ns0:t>자료 카드에서 현대의 역문·해설을 공개한 기관은 어디인가요?</ns0:t>
        </ns0:is>
      </ns0:c>
      <ns0:c r="G220" s="10" t="inlineStr">
        <ns0:is>
          <ns0:t>1877년 일본 태정관</ns0:t>
        </ns0:is>
      </ns0:c>
      <ns0:c r="H220" s="10" t="inlineStr">
        <ns0:is>
          <ns0:t>대한민국 외교부</ns0:t>
        </ns0:is>
      </ns0:c>
      <ns0:c r="I220" s="10" t="inlineStr">
        <ns0:is>
          <ns0:t>1877년 일본 내무성</ns0:t>
        </ns0:is>
      </ns0:c>
      <ns0:c r="J220" s="10" t="inlineStr"/>
      <ns0:c r="K220" s="10" t="n">
        <ns0:v>2</ns0:v>
      </ns0:c>
      <ns0:c r="L220" s="10" t="inlineStr">
        <ns0:is>
          <ns0:t>원문 작성자와 달리, 지금 읽는 역문·해설의 공개 기관은 대한민국 외교부예요.</ns0:t>
        </ns0:is>
      </ns0:c>
      <ns0:c r="M220" s="10" t="inlineStr">
        <ns0:is>
          <ns0:t>일본이 작성한 옛 문서와 대한민국 외교부가 공개한 현대 역문·해설은 작성 주체와 역할이 달라요.</ns0:t>
        </ns0:is>
      </ns0:c>
      <ns0:c r="N220" s="10" t="inlineStr">
        <ns0:is>
          <ns0:t>dk-authority-and-interpretation</ns0:t>
        </ns0:is>
      </ns0:c>
      <ns0:c r="O220" s="10" t="inlineStr">
        <ns0:is>
          <ns0:t>대한민국 외교부 자료실 · 태정관지령(1877)
https://dokdo.mofa.go.kr/kor/pds/part05_view03.jsp
대한민국 외교부 · 태정관지령과 기죽도약도(1877)
https://dokdo.mofa.go.kr/kor/pds/part06_view09.jsp
대한민국 외교부 · 울릉도 도해금지령(1696)
https://dokdo.mofa.go.kr/kor/pds/part05_view06.jsp</ns0:t>
        </ns0:is>
      </ns0:c>
      <ns0:c r="P220" s="11">
        <ns0:f>LEN(F220)+MAX(LEN(G220),LEN(H220),LEN(I220),LEN(J220))</ns0:f>
        <ns0:v>45</ns0:v>
      </ns0:c>
    </ns0:row>
    <ns0:row r="221" ht="158" customHeight="1">
      <ns0:c r="A221" s="12" t="n">
        <ns0:v>920220</ns0:v>
      </ns0:c>
      <ns0:c r="B221" s="12" t="n">
        <ns0:v>910220</ns0:v>
      </ns0:c>
      <ns0:c r="C221" s="12" t="inlineStr">
        <ns0:is>
          <ns0:t>기록을 함께 읽기</ns0:t>
        </ns0:is>
      </ns0:c>
      <ns0:c r="D221" s="12" t="n">
        <ns0:v>4</ns0:v>
      </ns0:c>
      <ns0:c r="E221" s="12" t="n">
        <ns0:v>3</ns0:v>
      </ns0:c>
      <ns0:c r="F221" s="12" t="inlineStr">
        <ns0:is>
          <ns0:t>태정관지령의 출처를 적을 때 작성자와 해설 기관을 바르게 나눈 것은 무엇인가요?</ns0:t>
        </ns0:is>
      </ns0:c>
      <ns0:c r="G221" s="12" t="inlineStr">
        <ns0:is>
          <ns0:t>원문: 대한민국 외교부 / 역문: 일본 태정관</ns0:t>
        </ns0:is>
      </ns0:c>
      <ns0:c r="H221" s="12" t="inlineStr">
        <ns0:is>
          <ns0:t>원문과 현대 해설 모두 일본 내무성</ns0:t>
        </ns0:is>
      </ns0:c>
      <ns0:c r="I221" s="12" t="inlineStr">
        <ns0:is>
          <ns0:t>원문: 일본 태정관 / 역문·해설: 대한민국 외교부</ns0:t>
        </ns0:is>
      </ns0:c>
      <ns0:c r="J221" s="12" t="inlineStr"/>
      <ns0:c r="K221" s="12" t="n">
        <ns0:v>3</ns0:v>
      </ns0:c>
      <ns0:c r="L221" s="12" t="inlineStr">
        <ns0:is>
          <ns0:t>국가와 역할을 함께 밝히면 과거 지시와 현대 해석의 주체가 분명해져요.</ns0:t>
        </ns0:is>
      </ns0:c>
      <ns0:c r="M221" s="12" t="inlineStr">
        <ns0:is>
          <ns0:t>일본이 작성한 옛 문서와 대한민국 외교부가 공개한 현대 역문·해설은 작성 주체와 역할이 달라요.</ns0:t>
        </ns0:is>
      </ns0:c>
      <ns0:c r="N221" s="12" t="inlineStr">
        <ns0:is>
          <ns0:t>dk-authority-and-interpretation</ns0:t>
        </ns0:is>
      </ns0:c>
      <ns0:c r="O221" s="12" t="inlineStr">
        <ns0:is>
          <ns0:t>대한민국 외교부 자료실 · 태정관지령(1877)
https://dokdo.mofa.go.kr/kor/pds/part05_view03.jsp
대한민국 외교부 · 태정관지령과 기죽도약도(1877)
https://dokdo.mofa.go.kr/kor/pds/part06_view09.jsp
대한민국 외교부 · 울릉도 도해금지령(1696)
https://dokdo.mofa.go.kr/kor/pds/part05_view06.jsp</ns0:t>
        </ns0:is>
      </ns0:c>
      <ns0:c r="P221" s="13">
        <ns0:f>LEN(F221)+MAX(LEN(G221),LEN(H221),LEN(I221),LEN(J221))</ns0:f>
        <ns0:v>72</ns0:v>
      </ns0:c>
    </ns0:row>
    <ns0:row r="222" ht="113" customHeight="1">
      <ns0:c r="A222" s="10" t="n">
        <ns0:v>920221</ns0:v>
      </ns0:c>
      <ns0:c r="B222" s="10" t="n">
        <ns0:v>910221</ns0:v>
      </ns0:c>
      <ns0:c r="C222" s="10" t="inlineStr">
        <ns0:is>
          <ns0:t>나의 독도 해설</ns0:t>
        </ns0:is>
      </ns0:c>
      <ns0:c r="D222" s="10" t="n">
        <ns0:v>1</ns0:v>
      </ns0:c>
      <ns0:c r="E222" s="10" t="n">
        <ns0:v>1</ns0:v>
      </ns0:c>
      <ns0:c r="F222" s="10" t="inlineStr">
        <ns0:is>
          <ns0:t>독도 배가 접안하기 어려워지는 바다 상태는 무엇인가요?</ns0:t>
        </ns0:is>
      </ns0:c>
      <ns0:c r="G222" s="10" t="inlineStr">
        <ns0:is>
          <ns0:t>파도가 높게 이는 상태</ns0:t>
        </ns0:is>
      </ns0:c>
      <ns0:c r="H222" s="10" t="inlineStr">
        <ns0:is>
          <ns0:t>바람이 약하고 수면이 잔잔한 상태</ns0:t>
        </ns0:is>
      </ns0:c>
      <ns0:c r="I222" s="10" t="inlineStr">
        <ns0:is>
          <ns0:t>파도가 거의 없는 상태</ns0:t>
        </ns0:is>
      </ns0:c>
      <ns0:c r="J222" s="10" t="inlineStr"/>
      <ns0:c r="K222" s="10" t="n">
        <ns0:v>1</ns0:v>
      </ns0:c>
      <ns0:c r="L222" s="10" t="inlineStr">
        <ns0:is>
          <ns0:t>높은 파도는 선박의 안전한 접안과 하선에 영향을 줄 수 있어요.</ns0:t>
        </ns0:is>
      </ns0:c>
      <ns0:c r="M222" s="10" t="inlineStr">
        <ns0:is>
          <ns0:t>독도 입도 여부는 기상과 바다 상태 등에 따라 달라져, 배표가 있어도 상륙이 보장되지는 않아요.</ns0:t>
        </ns0:is>
      </ns0:c>
      <ns0:c r="N222" s="10" t="inlineStr">
        <ns0:is>
          <ns0:t>dk-weather-access</ns0:t>
        </ns0:is>
      </ns0:c>
      <ns0:c r="O222" s="10" t="inlineStr">
        <ns0:is>
          <ns0:t>대한민국 외교부 · 주민 및 입도 안내
https://dokdo.mofa.go.kr/kor/introduce/residence.jsp</ns0:t>
        </ns0:is>
      </ns0:c>
      <ns0:c r="P222" s="11">
        <ns0:f>LEN(F222)+MAX(LEN(G222),LEN(H222),LEN(I222),LEN(J222))</ns0:f>
        <ns0:v>48</ns0:v>
      </ns0:c>
    </ns0:row>
    <ns0:row r="223" ht="113" customHeight="1">
      <ns0:c r="A223" s="12" t="n">
        <ns0:v>920222</ns0:v>
      </ns0:c>
      <ns0:c r="B223" s="12" t="n">
        <ns0:v>910222</ns0:v>
      </ns0:c>
      <ns0:c r="C223" s="12" t="inlineStr">
        <ns0:is>
          <ns0:t>나의 독도 해설</ns0:t>
        </ns0:is>
      </ns0:c>
      <ns0:c r="D223" s="12" t="n">
        <ns0:v>2</ns0:v>
      </ns0:c>
      <ns0:c r="E223" s="12" t="n">
        <ns0:v>2</ns0:v>
      </ns0:c>
      <ns0:c r="F223" s="12" t="inlineStr">
        <ns0:is>
          <ns0:t>독도 배표가 있어도 상륙하지 못할 수 있는 까닭은 무엇인가요?</ns0:t>
        </ns0:is>
      </ns0:c>
      <ns0:c r="G223" s="12" t="inlineStr">
        <ns0:is>
          <ns0:t>도착하면 하선이 늘 보장되기 때문에</ns0:t>
        </ns0:is>
      </ns0:c>
      <ns0:c r="H223" s="12" t="inlineStr">
        <ns0:is>
          <ns0:t>날씨와 파도로 접안이 어려울 수 있어서</ns0:t>
        </ns0:is>
      </ns0:c>
      <ns0:c r="I223" s="12" t="inlineStr">
        <ns0:is>
          <ns0:t>전날 입도 여부가 오늘을 보장하기 때문에</ns0:t>
        </ns0:is>
      </ns0:c>
      <ns0:c r="J223" s="12" t="inlineStr"/>
      <ns0:c r="K223" s="12" t="n">
        <ns0:v>2</ns0:v>
      </ns0:c>
      <ns0:c r="L223" s="12" t="inlineStr">
        <ns0:is>
          <ns0:t>승선권 보유와 당일 접안 안전 판단은 별개예요.</ns0:t>
        </ns0:is>
      </ns0:c>
      <ns0:c r="M223" s="12" t="inlineStr">
        <ns0:is>
          <ns0:t>독도 입도 여부는 기상과 바다 상태 등에 따라 달라져, 배표가 있어도 상륙이 보장되지는 않아요.</ns0:t>
        </ns0:is>
      </ns0:c>
      <ns0:c r="N223" s="12" t="inlineStr">
        <ns0:is>
          <ns0:t>dk-weather-access</ns0:t>
        </ns0:is>
      </ns0:c>
      <ns0:c r="O223" s="12" t="inlineStr">
        <ns0:is>
          <ns0:t>대한민국 외교부 · 주민 및 입도 안내
https://dokdo.mofa.go.kr/kor/introduce/residence.jsp</ns0:t>
        </ns0:is>
      </ns0:c>
      <ns0:c r="P223" s="13">
        <ns0:f>LEN(F223)+MAX(LEN(G223),LEN(H223),LEN(I223),LEN(J223))</ns0:f>
        <ns0:v>56</ns0:v>
      </ns0:c>
    </ns0:row>
    <ns0:row r="224" ht="113" customHeight="1">
      <ns0:c r="A224" s="10" t="n">
        <ns0:v>920223</ns0:v>
      </ns0:c>
      <ns0:c r="B224" s="10" t="n">
        <ns0:v>910223</ns0:v>
      </ns0:c>
      <ns0:c r="C224" s="10" t="inlineStr">
        <ns0:is>
          <ns0:t>나의 독도 해설</ns0:t>
        </ns0:is>
      </ns0:c>
      <ns0:c r="D224" s="10" t="n">
        <ns0:v>3</ns0:v>
      </ns0:c>
      <ns0:c r="E224" s="10" t="n">
        <ns0:v>3</ns0:v>
      </ns0:c>
      <ns0:c r="F224" s="10" t="inlineStr">
        <ns0:is>
          <ns0:t>입도 안내를 보고 여행 계획에 넣어야 할 조건은 무엇인가요?</ns0:t>
        </ns0:is>
      </ns0:c>
      <ns0:c r="G224" s="10" t="inlineStr">
        <ns0:is>
          <ns0:t>표를 사면 파도와 무관하게 입도 가능</ns0:t>
        </ns0:is>
      </ns0:c>
      <ns0:c r="H224" s="10" t="inlineStr">
        <ns0:is>
          <ns0:t>입도 여부는 전날 사진으로 확정</ns0:t>
        </ns0:is>
      </ns0:c>
      <ns0:c r="I224" s="10" t="inlineStr">
        <ns0:is>
          <ns0:t>당일 기상에 따라 입도가 취소될 수 있음</ns0:t>
        </ns0:is>
      </ns0:c>
      <ns0:c r="J224" s="10" t="inlineStr"/>
      <ns0:c r="K224" s="10" t="n">
        <ns0:v>3</ns0:v>
      </ns0:c>
      <ns0:c r="L224" s="10" t="inlineStr">
        <ns0:is>
          <ns0:t>자료의 제한 가능성을 여행 계획에 반영해야 해요.</ns0:t>
        </ns0:is>
      </ns0:c>
      <ns0:c r="M224" s="10" t="inlineStr">
        <ns0:is>
          <ns0:t>독도 입도 여부는 기상과 바다 상태 등에 따라 달라져, 배표가 있어도 상륙이 보장되지는 않아요.</ns0:t>
        </ns0:is>
      </ns0:c>
      <ns0:c r="N224" s="10" t="inlineStr">
        <ns0:is>
          <ns0:t>dk-weather-access</ns0:t>
        </ns0:is>
      </ns0:c>
      <ns0:c r="O224" s="10" t="inlineStr">
        <ns0:is>
          <ns0:t>대한민국 외교부 · 주민 및 입도 안내
https://dokdo.mofa.go.kr/kor/introduce/residence.jsp</ns0:t>
        </ns0:is>
      </ns0:c>
      <ns0:c r="P224" s="11">
        <ns0:f>LEN(F224)+MAX(LEN(G224),LEN(H224),LEN(I224),LEN(J224))</ns0:f>
        <ns0:v>55</ns0:v>
      </ns0:c>
    </ns0:row>
    <ns0:row r="225" ht="113" customHeight="1">
      <ns0:c r="A225" s="12" t="n">
        <ns0:v>920224</ns0:v>
      </ns0:c>
      <ns0:c r="B225" s="12" t="n">
        <ns0:v>910224</ns0:v>
      </ns0:c>
      <ns0:c r="C225" s="12" t="inlineStr">
        <ns0:is>
          <ns0:t>나의 독도 해설</ns0:t>
        </ns0:is>
      </ns0:c>
      <ns0:c r="D225" s="12" t="n">
        <ns0:v>4</ns0:v>
      </ns0:c>
      <ns0:c r="E225" s="12" t="n">
        <ns0:v>3</ns0:v>
      </ns0:c>
      <ns0:c r="F225" s="12" t="inlineStr">
        <ns0:is>
          <ns0:t>독도에 가는 날의 입도 가능성을 확인하려면 무엇을 우선 확인해야 하나요?</ns0:t>
        </ns0:is>
      </ns0:c>
      <ns0:c r="G225" s="12" t="inlineStr">
        <ns0:is>
          <ns0:t>당일 선사·관할 기관의 운항과 입도 안내</ns0:t>
        </ns0:is>
      </ns0:c>
      <ns0:c r="H225" s="12" t="inlineStr">
        <ns0:is>
          <ns0:t>몇 년 전 맑은 날의 여행 사진</ns0:t>
        </ns0:is>
      </ns0:c>
      <ns0:c r="I225" s="12" t="inlineStr">
        <ns0:is>
          <ns0:t>연평균 기온만</ns0:t>
        </ns0:is>
      </ns0:c>
      <ns0:c r="J225" s="12" t="inlineStr"/>
      <ns0:c r="K225" s="12" t="n">
        <ns0:v>1</ns0:v>
      </ns0:c>
      <ns0:c r="L225" s="12" t="inlineStr">
        <ns0:is>
          <ns0:t>실시간에 가까운 안전·운항 안내가 실제 방문 판단에 필요해요.</ns0:t>
        </ns0:is>
      </ns0:c>
      <ns0:c r="M225" s="12" t="inlineStr">
        <ns0:is>
          <ns0:t>독도 입도 여부는 기상과 바다 상태 등에 따라 달라져, 배표가 있어도 상륙이 보장되지는 않아요.</ns0:t>
        </ns0:is>
      </ns0:c>
      <ns0:c r="N225" s="12" t="inlineStr">
        <ns0:is>
          <ns0:t>dk-weather-access</ns0:t>
        </ns0:is>
      </ns0:c>
      <ns0:c r="O225" s="12" t="inlineStr">
        <ns0:is>
          <ns0:t>대한민국 외교부 · 주민 및 입도 안내
https://dokdo.mofa.go.kr/kor/introduce/residence.jsp</ns0:t>
        </ns0:is>
      </ns0:c>
      <ns0:c r="P225" s="13">
        <ns0:f>LEN(F225)+MAX(LEN(G225),LEN(H225),LEN(I225),LEN(J225))</ns0:f>
        <ns0:v>62</ns0:v>
      </ns0:c>
    </ns0:row>
    <ns0:row r="226" ht="113" customHeight="1">
      <ns0:c r="A226" s="10" t="n">
        <ns0:v>920225</ns0:v>
      </ns0:c>
      <ns0:c r="B226" s="10" t="n">
        <ns0:v>910225</ns0:v>
      </ns0:c>
      <ns0:c r="C226" s="10" t="inlineStr">
        <ns0:is>
          <ns0:t>나의 독도 해설</ns0:t>
        </ns0:is>
      </ns0:c>
      <ns0:c r="D226" s="10" t="n">
        <ns0:v>1</ns0:v>
      </ns0:c>
      <ns0:c r="E226" s="10" t="n">
        <ns0:v>1</ns0:v>
      </ns0:c>
      <ns0:c r="F226" s="10" t="inlineStr">
        <ns0:is>
          <ns0:t>독도 부근에서 겨울철에 주로 내리는 것은 무엇인가요?</ns0:t>
        </ns0:is>
      </ns0:c>
      <ns0:c r="G226" s="10" t="inlineStr">
        <ns0:is>
          <ns0:t>비</ns0:t>
        </ns0:is>
      </ns0:c>
      <ns0:c r="H226" s="10" t="inlineStr">
        <ns0:is>
          <ns0:t>눈</ns0:t>
        </ns0:is>
      </ns0:c>
      <ns0:c r="I226" s="10" t="inlineStr">
        <ns0:is>
          <ns0:t>우박</ns0:t>
        </ns0:is>
      </ns0:c>
      <ns0:c r="J226" s="10" t="inlineStr">
        <ns0:is>
          <ns0:t>안개</ns0:t>
        </ns0:is>
      </ns0:c>
      <ns0:c r="K226" s="10" t="n">
        <ns0:v>2</ns0:v>
      </ns0:c>
      <ns0:c r="L226" s="10" t="inlineStr">
        <ns0:is>
          <ns0:t>지역 기후 안내는 겨울철 강수가 주로 눈의 형태라고 설명해요.</ns0:t>
        </ns0:is>
      </ns0:c>
      <ns0:c r="M226" s="10" t="inlineStr">
        <ns0:is>
          <ns0:t>독도를 포함한 울릉도 부근 지역은 바다의 영향을 받으며 겨울철 강수가 주로 눈의 형태예요.</ns0:t>
        </ns0:is>
      </ns0:c>
      <ns0:c r="N226" s="10" t="inlineStr">
        <ns0:is>
          <ns0:t>dk-maritime-climate</ns0:t>
        </ns0:is>
      </ns0:c>
      <ns0:c r="O226" s="10" t="inlineStr">
        <ns0:is>
          <ns0:t>대한민국 외교부 · 독도의 자연환경
https://dokdo.mofa.go.kr/kor/introduce/nature.jsp</ns0:t>
        </ns0:is>
      </ns0:c>
      <ns0:c r="P226" s="11">
        <ns0:f>LEN(F226)+MAX(LEN(G226),LEN(H226),LEN(I226),LEN(J226))</ns0:f>
        <ns0:v>31</ns0:v>
      </ns0:c>
    </ns0:row>
    <ns0:row r="227" ht="113" customHeight="1">
      <ns0:c r="A227" s="12" t="n">
        <ns0:v>920226</ns0:v>
      </ns0:c>
      <ns0:c r="B227" s="12" t="n">
        <ns0:v>910226</ns0:v>
      </ns0:c>
      <ns0:c r="C227" s="12" t="inlineStr">
        <ns0:is>
          <ns0:t>나의 독도 해설</ns0:t>
        </ns0:is>
      </ns0:c>
      <ns0:c r="D227" s="12" t="n">
        <ns0:v>2</ns0:v>
      </ns0:c>
      <ns0:c r="E227" s="12" t="n">
        <ns0:v>2</ns0:v>
      </ns0:c>
      <ns0:c r="F227" s="12" t="inlineStr">
        <ns0:is>
          <ns0:t>바다의 영향을 많이 받는 독도 부근의 기후를 무엇이라고 하나요?</ns0:t>
        </ns0:is>
      </ns0:c>
      <ns0:c r="G227" s="12" t="inlineStr">
        <ns0:is>
          <ns0:t>사막 기후</ns0:t>
        </ns0:is>
      </ns0:c>
      <ns0:c r="H227" s="12" t="inlineStr">
        <ns0:is>
          <ns0:t>해양성 기후</ns0:t>
        </ns0:is>
      </ns0:c>
      <ns0:c r="I227" s="12" t="inlineStr">
        <ns0:is>
          <ns0:t>내륙성 기후</ns0:t>
        </ns0:is>
      </ns0:c>
      <ns0:c r="J227" s="12" t="inlineStr"/>
      <ns0:c r="K227" s="12" t="n">
        <ns0:v>2</ns0:v>
      </ns0:c>
      <ns0:c r="L227" s="12" t="inlineStr">
        <ns0:is>
          <ns0:t>독도 부근은 바다와 난류 영향을 많이 받는 해양성 기후로 설명돼요.</ns0:t>
        </ns0:is>
      </ns0:c>
      <ns0:c r="M227" s="12" t="inlineStr">
        <ns0:is>
          <ns0:t>독도를 포함한 울릉도 부근 지역은 바다의 영향을 받으며 겨울철 강수가 주로 눈의 형태예요.</ns0:t>
        </ns0:is>
      </ns0:c>
      <ns0:c r="N227" s="12" t="inlineStr">
        <ns0:is>
          <ns0:t>dk-maritime-climate</ns0:t>
        </ns0:is>
      </ns0:c>
      <ns0:c r="O227" s="12" t="inlineStr">
        <ns0:is>
          <ns0:t>대한민국 외교부 · 독도의 자연환경
https://dokdo.mofa.go.kr/kor/introduce/nature.jsp</ns0:t>
        </ns0:is>
      </ns0:c>
      <ns0:c r="P227" s="13">
        <ns0:f>LEN(F227)+MAX(LEN(G227),LEN(H227),LEN(I227),LEN(J227))</ns0:f>
        <ns0:v>41</ns0:v>
      </ns0:c>
    </ns0:row>
    <ns0:row r="228" ht="113" customHeight="1">
      <ns0:c r="A228" s="10" t="n">
        <ns0:v>920227</ns0:v>
      </ns0:c>
      <ns0:c r="B228" s="10" t="n">
        <ns0:v>910227</ns0:v>
      </ns0:c>
      <ns0:c r="C228" s="10" t="inlineStr">
        <ns0:is>
          <ns0:t>나의 독도 해설</ns0:t>
        </ns0:is>
      </ns0:c>
      <ns0:c r="D228" s="10" t="n">
        <ns0:v>3</ns0:v>
      </ns0:c>
      <ns0:c r="E228" s="10" t="n">
        <ns0:v>3</ns0:v>
      </ns0:c>
      <ns0:c r="F228" s="10" t="inlineStr">
        <ns0:is>
          <ns0:t>독도 부근 기후의 특징을 자료와 맞게 고른 것은 무엇인가요?</ns0:t>
        </ns0:is>
      </ns0:c>
      <ns0:c r="G228" s="10" t="inlineStr">
        <ns0:is>
          <ns0:t>겨울 강수는 주로 우박이고 안개는 없음</ns0:t>
        </ns0:is>
      </ns0:c>
      <ns0:c r="H228" s="10" t="inlineStr">
        <ns0:is>
          <ns0:t>한 해 내내 건조하며 눈은 내리지 않음</ns0:t>
        </ns0:is>
      </ns0:c>
      <ns0:c r="I228" s="10" t="inlineStr">
        <ns0:is>
          <ns0:t>안개가 잦고 겨울 강수는 주로 눈</ns0:t>
        </ns0:is>
      </ns0:c>
      <ns0:c r="J228" s="10" t="inlineStr"/>
      <ns0:c r="K228" s="10" t="n">
        <ns0:v>3</ns0:v>
      </ns0:c>
      <ns0:c r="L228" s="10" t="inlineStr">
        <ns0:is>
          <ns0:t>두 특징 모두 제시된 지역 기후 설명에 들어 있어요.</ns0:t>
        </ns0:is>
      </ns0:c>
      <ns0:c r="M228" s="10" t="inlineStr">
        <ns0:is>
          <ns0:t>독도를 포함한 울릉도 부근 지역은 바다의 영향을 받으며 겨울철 강수가 주로 눈의 형태예요.</ns0:t>
        </ns0:is>
      </ns0:c>
      <ns0:c r="N228" s="10" t="inlineStr">
        <ns0:is>
          <ns0:t>dk-maritime-climate</ns0:t>
        </ns0:is>
      </ns0:c>
      <ns0:c r="O228" s="10" t="inlineStr">
        <ns0:is>
          <ns0:t>대한민국 외교부 · 독도의 자연환경
https://dokdo.mofa.go.kr/kor/introduce/nature.jsp</ns0:t>
        </ns0:is>
      </ns0:c>
      <ns0:c r="P228" s="11">
        <ns0:f>LEN(F228)+MAX(LEN(G228),LEN(H228),LEN(I228),LEN(J228))</ns0:f>
        <ns0:v>54</ns0:v>
      </ns0:c>
    </ns0:row>
    <ns0:row r="229" ht="113" customHeight="1">
      <ns0:c r="A229" s="12" t="n">
        <ns0:v>920228</ns0:v>
      </ns0:c>
      <ns0:c r="B229" s="12" t="n">
        <ns0:v>910228</ns0:v>
      </ns0:c>
      <ns0:c r="C229" s="12" t="inlineStr">
        <ns0:is>
          <ns0:t>나의 독도 해설</ns0:t>
        </ns0:is>
      </ns0:c>
      <ns0:c r="D229" s="12" t="n">
        <ns0:v>4</ns0:v>
      </ns0:c>
      <ns0:c r="E229" s="12" t="n">
        <ns0:v>4</ns0:v>
      </ns0:c>
      <ns0:c r="F229" s="12" t="inlineStr">
        <ns0:is>
          <ns0:t>독도 여행 안내에 ‘겨울에는 눈이 주로 내리니 오늘도 반드시 눈이 온다’고 쓰면 무엇을 고쳐야 하나요?</ns0:t>
        </ns0:is>
      </ns0:c>
      <ns0:c r="G229" s="12" t="inlineStr">
        <ns0:is>
          <ns0:t>주된 기후 특징을 오늘의 확정 예보로 바꾼 부분</ns0:t>
        </ns0:is>
      </ns0:c>
      <ns0:c r="H229" s="12" t="inlineStr">
        <ns0:is>
          <ns0:t>겨울에 눈이 올 수 있다는 부분 자체</ns0:t>
        </ns0:is>
      </ns0:c>
      <ns0:c r="I229" s="12" t="inlineStr">
        <ns0:is>
          <ns0:t>독도가 바다의 영향을 받는다는 부분</ns0:t>
        </ns0:is>
      </ns0:c>
      <ns0:c r="J229" s="12" t="inlineStr"/>
      <ns0:c r="K229" s="12" t="n">
        <ns0:v>1</ns0:v>
      </ns0:c>
      <ns0:c r="L229" s="12" t="inlineStr">
        <ns0:is>
          <ns0:t>겨울의 주된 형태와 특정 날짜의 날씨는 달라요. 오늘 날씨는 별도 관측·예보로 확인해요.</ns0:t>
        </ns0:is>
      </ns0:c>
      <ns0:c r="M229" s="12" t="inlineStr">
        <ns0:is>
          <ns0:t>독도를 포함한 울릉도 부근 지역은 바다의 영향을 받으며 겨울철 강수가 주로 눈의 형태예요.</ns0:t>
        </ns0:is>
      </ns0:c>
      <ns0:c r="N229" s="12" t="inlineStr">
        <ns0:is>
          <ns0:t>dk-maritime-climate</ns0:t>
        </ns0:is>
      </ns0:c>
      <ns0:c r="O229" s="12" t="inlineStr">
        <ns0:is>
          <ns0:t>대한민국 외교부 · 독도의 자연환경
https://dokdo.mofa.go.kr/kor/introduce/nature.jsp</ns0:t>
        </ns0:is>
      </ns0:c>
      <ns0:c r="P229" s="13">
        <ns0:f>LEN(F229)+MAX(LEN(G229),LEN(H229),LEN(I229),LEN(J229))</ns0:f>
        <ns0:v>83</ns0:v>
      </ns0:c>
    </ns0:row>
    <ns0:row r="230" ht="113" customHeight="1">
      <ns0:c r="A230" s="10" t="n">
        <ns0:v>920229</ns0:v>
      </ns0:c>
      <ns0:c r="B230" s="10" t="n">
        <ns0:v>910229</ns0:v>
      </ns0:c>
      <ns0:c r="C230" s="10" t="inlineStr">
        <ns0:is>
          <ns0:t>나의 독도 해설</ns0:t>
        </ns0:is>
      </ns0:c>
      <ns0:c r="D230" s="10" t="n">
        <ns0:v>1</ns0:v>
      </ns0:c>
      <ns0:c r="E230" s="10" t="n">
        <ns0:v>1</ns0:v>
      </ns0:c>
      <ns0:c r="F230" s="10" t="inlineStr">
        <ns0:is>
          <ns0:t>독도안용복길 3에 있는 시설은 무엇인가요?</ns0:t>
        </ns0:is>
      </ns0:c>
      <ns0:c r="G230" s="10" t="inlineStr">
        <ns0:is>
          <ns0:t>동도 경비대</ns0:t>
        </ns0:is>
      </ns0:c>
      <ns0:c r="H230" s="10" t="inlineStr">
        <ns0:is>
          <ns0:t>서도 주민숙소</ns0:t>
        </ns0:is>
      </ns0:c>
      <ns0:c r="I230" s="10" t="inlineStr">
        <ns0:is>
          <ns0:t>동도 등대</ns0:t>
        </ns0:is>
      </ns0:c>
      <ns0:c r="J230" s="10" t="inlineStr"/>
      <ns0:c r="K230" s="10" t="n">
        <ns0:v>2</ns0:v>
      </ns0:c>
      <ns0:c r="L230" s="10" t="inlineStr">
        <ns0:is>
          <ns0:t>주소 안내에서 독도안용복길 3은 서도 주민숙소에 해당해요.</ns0:t>
        </ns0:is>
      </ns0:c>
      <ns0:c r="M230" s="10" t="inlineStr">
        <ns0:is>
          <ns0:t>독도안용복길 3은 서도 주민숙소이고, 동도 경비대와 등대는 독도이사부길을 써요.</ns0:t>
        </ns0:is>
      </ns0:c>
      <ns0:c r="N230" s="10" t="inlineStr">
        <ns0:is>
          <ns0:t>dk-admin-address</ns0:t>
        </ns0:is>
      </ns0:c>
      <ns0:c r="O230" s="10" t="inlineStr">
        <ns0:is>
          <ns0:t>대한민국 해양수산부 · 독도의 주소와 위치
https://www.mof.go.kr/doc/ko/selectDoc.do?bbsSeq=27&amp;docSeq=20937&amp;menuSeq=929</ns0:t>
        </ns0:is>
      </ns0:c>
      <ns0:c r="P230" s="11">
        <ns0:f>LEN(F230)+MAX(LEN(G230),LEN(H230),LEN(I230),LEN(J230))</ns0:f>
        <ns0:v>30</ns0:v>
      </ns0:c>
    </ns0:row>
    <ns0:row r="231" ht="113" customHeight="1">
      <ns0:c r="A231" s="12" t="n">
        <ns0:v>920230</ns0:v>
      </ns0:c>
      <ns0:c r="B231" s="12" t="n">
        <ns0:v>910230</ns0:v>
      </ns0:c>
      <ns0:c r="C231" s="12" t="inlineStr">
        <ns0:is>
          <ns0:t>나의 독도 해설</ns0:t>
        </ns0:is>
      </ns0:c>
      <ns0:c r="D231" s="12" t="n">
        <ns0:v>2</ns0:v>
      </ns0:c>
      <ns0:c r="E231" s="12" t="n">
        <ns0:v>2</ns0:v>
      </ns0:c>
      <ns0:c r="F231" s="12" t="inlineStr">
        <ns0:is>
          <ns0:t>동도의 경비대와 등대 주소에 공통으로 들어가는 길 이름은 무엇인가요?</ns0:t>
        </ns0:is>
      </ns0:c>
      <ns0:c r="G231" s="12" t="inlineStr">
        <ns0:is>
          <ns0:t>독도안용복길</ns0:t>
        </ns0:is>
      </ns0:c>
      <ns0:c r="H231" s="12" t="inlineStr">
        <ns0:is>
          <ns0:t>독도우산봉길</ns0:t>
        </ns0:is>
      </ns0:c>
      <ns0:c r="I231" s="12" t="inlineStr">
        <ns0:is>
          <ns0:t>독도이사부길</ns0:t>
        </ns0:is>
      </ns0:c>
      <ns0:c r="J231" s="12" t="inlineStr"/>
      <ns0:c r="K231" s="12" t="n">
        <ns0:v>3</ns0:v>
      </ns0:c>
      <ns0:c r="L231" s="12" t="inlineStr">
        <ns0:is>
          <ns0:t>경비대 55번과 등대 63번은 모두 독도이사부길 주소예요.</ns0:t>
        </ns0:is>
      </ns0:c>
      <ns0:c r="M231" s="12" t="inlineStr">
        <ns0:is>
          <ns0:t>독도안용복길 3은 서도 주민숙소이고, 동도 경비대와 등대는 독도이사부길을 써요.</ns0:t>
        </ns0:is>
      </ns0:c>
      <ns0:c r="N231" s="12" t="inlineStr">
        <ns0:is>
          <ns0:t>dk-admin-address</ns0:t>
        </ns0:is>
      </ns0:c>
      <ns0:c r="O231" s="12" t="inlineStr">
        <ns0:is>
          <ns0:t>대한민국 해양수산부 · 독도의 주소와 위치
https://www.mof.go.kr/doc/ko/selectDoc.do?bbsSeq=27&amp;docSeq=20937&amp;menuSeq=929</ns0:t>
        </ns0:is>
      </ns0:c>
      <ns0:c r="P231" s="13">
        <ns0:f>LEN(F231)+MAX(LEN(G231),LEN(H231),LEN(I231),LEN(J231))</ns0:f>
        <ns0:v>44</ns0:v>
      </ns0:c>
    </ns0:row>
    <ns0:row r="232" ht="113" customHeight="1">
      <ns0:c r="A232" s="10" t="n">
        <ns0:v>920231</ns0:v>
      </ns0:c>
      <ns0:c r="B232" s="10" t="n">
        <ns0:v>910231</ns0:v>
      </ns0:c>
      <ns0:c r="C232" s="10" t="inlineStr">
        <ns0:is>
          <ns0:t>나의 독도 해설</ns0:t>
        </ns0:is>
      </ns0:c>
      <ns0:c r="D232" s="10" t="n">
        <ns0:v>3</ns0:v>
      </ns0:c>
      <ns0:c r="E232" s="10" t="n">
        <ns0:v>3</ns0:v>
      </ns0:c>
      <ns0:c r="F232" s="10" t="inlineStr">
        <ns0:is>
          <ns0:t>주소표에서 독도이사부길 63에 해당하는 시설은 무엇인가요?</ns0:t>
        </ns0:is>
      </ns0:c>
      <ns0:c r="G232" s="10" t="inlineStr">
        <ns0:is>
          <ns0:t>동도 독도등대</ns0:t>
        </ns0:is>
      </ns0:c>
      <ns0:c r="H232" s="10" t="inlineStr">
        <ns0:is>
          <ns0:t>동도 독도경비대</ns0:t>
        </ns0:is>
      </ns0:c>
      <ns0:c r="I232" s="10" t="inlineStr">
        <ns0:is>
          <ns0:t>서도 주민숙소</ns0:t>
        </ns0:is>
      </ns0:c>
      <ns0:c r="J232" s="10" t="inlineStr"/>
      <ns0:c r="K232" s="10" t="n">
        <ns0:v>1</ns0:v>
      </ns0:c>
      <ns0:c r="L232" s="10" t="inlineStr">
        <ns0:is>
          <ns0:t>표에서 이사부길 63은 등대에 연결돼요.</ns0:t>
        </ns0:is>
      </ns0:c>
      <ns0:c r="M232" s="10" t="inlineStr">
        <ns0:is>
          <ns0:t>독도안용복길 3은 서도 주민숙소이고, 동도 경비대와 등대는 독도이사부길을 써요.</ns0:t>
        </ns0:is>
      </ns0:c>
      <ns0:c r="N232" s="10" t="inlineStr">
        <ns0:is>
          <ns0:t>dk-admin-address</ns0:t>
        </ns0:is>
      </ns0:c>
      <ns0:c r="O232" s="10" t="inlineStr">
        <ns0:is>
          <ns0:t>대한민국 해양수산부 · 독도의 주소와 위치
https://www.mof.go.kr/doc/ko/selectDoc.do?bbsSeq=27&amp;docSeq=20937&amp;menuSeq=929</ns0:t>
        </ns0:is>
      </ns0:c>
      <ns0:c r="P232" s="11">
        <ns0:f>LEN(F232)+MAX(LEN(G232),LEN(H232),LEN(I232),LEN(J232))</ns0:f>
        <ns0:v>40</ns0:v>
      </ns0:c>
    </ns0:row>
    <ns0:row r="233" ht="113" customHeight="1">
      <ns0:c r="A233" s="12" t="n">
        <ns0:v>920232</ns0:v>
      </ns0:c>
      <ns0:c r="B233" s="12" t="n">
        <ns0:v>910232</ns0:v>
      </ns0:c>
      <ns0:c r="C233" s="12" t="inlineStr">
        <ns0:is>
          <ns0:t>나의 독도 해설</ns0:t>
        </ns0:is>
      </ns0:c>
      <ns0:c r="D233" s="12" t="n">
        <ns0:v>4</ns0:v>
      </ns0:c>
      <ns0:c r="E233" s="12" t="n">
        <ns0:v>3</ns0:v>
      </ns0:c>
      <ns0:c r="F233" s="12" t="inlineStr">
        <ns0:is>
          <ns0:t>서도 주민숙소와 동도 등대에 편지를 보낼 주소를 순서대로 고르면 무엇인가요?</ns0:t>
        </ns0:is>
      </ns0:c>
      <ns0:c r="G233" s="12" t="inlineStr">
        <ns0:is>
          <ns0:t>독도이사부길 55 → 독도안용복길 3</ns0:t>
        </ns0:is>
      </ns0:c>
      <ns0:c r="H233" s="12" t="inlineStr">
        <ns0:is>
          <ns0:t>독도안용복길 3 → 독도이사부길 63</ns0:t>
        </ns0:is>
      </ns0:c>
      <ns0:c r="I233" s="12" t="inlineStr">
        <ns0:is>
          <ns0:t>독도이사부길 63 → 독도이사부길 55</ns0:t>
        </ns0:is>
      </ns0:c>
      <ns0:c r="J233" s="12" t="inlineStr"/>
      <ns0:c r="K233" s="12" t="n">
        <ns0:v>2</ns0:v>
      </ns0:c>
      <ns0:c r="L233" s="12" t="inlineStr">
        <ns0:is>
          <ns0:t>수신 시설의 섬과 길·번호를 각각 맞춘 조합이에요.</ns0:t>
        </ns0:is>
      </ns0:c>
      <ns0:c r="M233" s="12" t="inlineStr">
        <ns0:is>
          <ns0:t>독도안용복길 3은 서도 주민숙소이고, 동도 경비대와 등대는 독도이사부길을 써요.</ns0:t>
        </ns0:is>
      </ns0:c>
      <ns0:c r="N233" s="12" t="inlineStr">
        <ns0:is>
          <ns0:t>dk-admin-address</ns0:t>
        </ns0:is>
      </ns0:c>
      <ns0:c r="O233" s="12" t="inlineStr">
        <ns0:is>
          <ns0:t>대한민국 해양수산부 · 독도의 주소와 위치
https://www.mof.go.kr/doc/ko/selectDoc.do?bbsSeq=27&amp;docSeq=20937&amp;menuSeq=929</ns0:t>
        </ns0:is>
      </ns0:c>
      <ns0:c r="P233" s="13">
        <ns0:f>LEN(F233)+MAX(LEN(G233),LEN(H233),LEN(I233),LEN(J233))</ns0:f>
        <ns0:v>63</ns0:v>
      </ns0:c>
    </ns0:row>
    <ns0:row r="234" ht="113" customHeight="1">
      <ns0:c r="A234" s="10" t="n">
        <ns0:v>920233</ns0:v>
      </ns0:c>
      <ns0:c r="B234" s="10" t="n">
        <ns0:v>910233</ns0:v>
      </ns0:c>
      <ns0:c r="C234" s="10" t="inlineStr">
        <ns0:is>
          <ns0:t>나의 독도 해설</ns0:t>
        </ns0:is>
      </ns0:c>
      <ns0:c r="D234" s="10" t="n">
        <ns0:v>1</ns0:v>
      </ns0:c>
      <ns0:c r="E234" s="10" t="n">
        <ns0:v>1</ns0:v>
      </ns0:c>
      <ns0:c r="F234" s="10" t="inlineStr">
        <ns0:is>
          <ns0:t>일반적인 독도 탐방에서 기본 관람 구역으로 안내하는 곳은 어디인가요?</ns0:t>
        </ns0:is>
      </ns0:c>
      <ns0:c r="G234" s="10" t="inlineStr">
        <ns0:is>
          <ns0:t>서도 정상 전체</ns0:t>
        </ns0:is>
      </ns0:c>
      <ns0:c r="H234" s="10" t="inlineStr">
        <ns0:is>
          <ns0:t>동도 경비대 내부</ns0:t>
        </ns0:is>
      </ns0:c>
      <ns0:c r="I234" s="10" t="inlineStr">
        <ns0:is>
          <ns0:t>동도 선착장</ns0:t>
        </ns0:is>
      </ns0:c>
      <ns0:c r="J234" s="10" t="inlineStr"/>
      <ns0:c r="K234" s="10" t="n">
        <ns0:v>3</ns0:v>
      </ns0:c>
      <ns0:c r="L234" s="10" t="inlineStr">
        <ns0:is>
          <ns0:t>일반 입도 안내는 동도 선착장 구역의 관람을 기본으로 설명해요.</ns0:t>
        </ns0:is>
      </ns0:c>
      <ns0:c r="M234" s="10" t="inlineStr">
        <ns0:is>
          <ns0:t>일반 탐방의 기본 관람 구역은 동도 선착장이며 다른 구역 방문은 별도 안내와 허가를 확인해야 해요.</ns0:t>
        </ns0:is>
      </ns0:c>
      <ns0:c r="N234" s="10" t="inlineStr">
        <ns0:is>
          <ns0:t>dk-visiting-scope</ns0:t>
        </ns0:is>
      </ns0:c>
      <ns0:c r="O234" s="10" t="inlineStr">
        <ns0:is>
          <ns0:t>대한민국 외교부 · 주민 및 입도 안내
https://dokdo.mofa.go.kr/kor/introduce/residence.jsp</ns0:t>
        </ns0:is>
      </ns0:c>
      <ns0:c r="P234" s="11">
        <ns0:f>LEN(F234)+MAX(LEN(G234),LEN(H234),LEN(I234),LEN(J234))</ns0:f>
        <ns0:v>47</ns0:v>
      </ns0:c>
    </ns0:row>
    <ns0:row r="235" ht="113" customHeight="1">
      <ns0:c r="A235" s="12" t="n">
        <ns0:v>920234</ns0:v>
      </ns0:c>
      <ns0:c r="B235" s="12" t="n">
        <ns0:v>910234</ns0:v>
      </ns0:c>
      <ns0:c r="C235" s="12" t="inlineStr">
        <ns0:is>
          <ns0:t>나의 독도 해설</ns0:t>
        </ns0:is>
      </ns0:c>
      <ns0:c r="D235" s="12" t="n">
        <ns0:v>2</ns0:v>
      </ns0:c>
      <ns0:c r="E235" s="12" t="n">
        <ns0:v>2</ns0:v>
      </ns0:c>
      <ns0:c r="F235" s="12" t="inlineStr">
        <ns0:is>
          <ns0:t>독도 배표만 있으면 섬의 모든 곳에 들어갈 수 있나요?</ns0:t>
        </ns0:is>
      </ns0:c>
      <ns0:c r="G235" s="12" t="inlineStr">
        <ns0:is>
          <ns0:t>아니요, 허용 구역을 확인해야 해요</ns0:t>
        </ns0:is>
      </ns0:c>
      <ns0:c r="H235" s="12" t="inlineStr">
        <ns0:is>
          <ns0:t>네, 모든 구역에 들어갈 수 있어요</ns0:t>
        </ns0:is>
      </ns0:c>
      <ns0:c r="I235" s="12" t="inlineStr"/>
      <ns0:c r="J235" s="12" t="inlineStr"/>
      <ns0:c r="K235" s="12" t="n">
        <ns0:v>1</ns0:v>
      </ns0:c>
      <ns0:c r="L235" s="12" t="inlineStr">
        <ns0:is>
          <ns0:t>승선과 특정 구역 출입은 다른 절차이므로 허가된 범위를 따라야 해요.</ns0:t>
        </ns0:is>
      </ns0:c>
      <ns0:c r="M235" s="12" t="inlineStr">
        <ns0:is>
          <ns0:t>일반 탐방의 기본 관람 구역은 동도 선착장이며 다른 구역 방문은 별도 안내와 허가를 확인해야 해요.</ns0:t>
        </ns0:is>
      </ns0:c>
      <ns0:c r="N235" s="12" t="inlineStr">
        <ns0:is>
          <ns0:t>dk-visiting-scope</ns0:t>
        </ns0:is>
      </ns0:c>
      <ns0:c r="O235" s="12" t="inlineStr">
        <ns0:is>
          <ns0:t>대한민국 외교부 · 주민 및 입도 안내
https://dokdo.mofa.go.kr/kor/introduce/residence.jsp</ns0:t>
        </ns0:is>
      </ns0:c>
      <ns0:c r="P235" s="13">
        <ns0:f>LEN(F235)+MAX(LEN(G235),LEN(H235),LEN(I235),LEN(J235))</ns0:f>
        <ns0:v>49</ns0:v>
      </ns0:c>
    </ns0:row>
    <ns0:row r="236" ht="113" customHeight="1">
      <ns0:c r="A236" s="10" t="n">
        <ns0:v>920235</ns0:v>
      </ns0:c>
      <ns0:c r="B236" s="10" t="n">
        <ns0:v>910235</ns0:v>
      </ns0:c>
      <ns0:c r="C236" s="10" t="inlineStr">
        <ns0:is>
          <ns0:t>나의 독도 해설</ns0:t>
        </ns0:is>
      </ns0:c>
      <ns0:c r="D236" s="10" t="n">
        <ns0:v>3</ns0:v>
      </ns0:c>
      <ns0:c r="E236" s="10" t="n">
        <ns0:v>3</ns0:v>
      </ns0:c>
      <ns0:c r="F236" s="10" t="inlineStr">
        <ns0:is>
          <ns0:t>서도를 방문하려는 사람이 먼저 확인해야 할 것은 무엇인가요?</ns0:t>
        </ns0:is>
      </ns0:c>
      <ns0:c r="G236" s="10" t="inlineStr">
        <ns0:is>
          <ns0:t>관할 기관의 별도 방문 허가와 조건</ns0:t>
        </ns0:is>
      </ns0:c>
      <ns0:c r="H236" s="10" t="inlineStr">
        <ns0:is>
          <ns0:t>일반 동도 관람권만으로 서도도 허용된다는 가정</ns0:t>
        </ns0:is>
      </ns0:c>
      <ns0:c r="I236" s="10" t="inlineStr">
        <ns0:is>
          <ns0:t>예전 방문자의 허가가 자신에게도 적용된다는 가정</ns0:t>
        </ns0:is>
      </ns0:c>
      <ns0:c r="J236" s="10" t="inlineStr"/>
      <ns0:c r="K236" s="10" t="n">
        <ns0:v>1</ns0:v>
      </ns0:c>
      <ns0:c r="L236" s="10" t="inlineStr">
        <ns0:is>
          <ns0:t>서도 방문은 일반 동도 선착장 관람과 구분해 안내돼요.</ns0:t>
        </ns0:is>
      </ns0:c>
      <ns0:c r="M236" s="10" t="inlineStr">
        <ns0:is>
          <ns0:t>일반 탐방의 기본 관람 구역은 동도 선착장이며 다른 구역 방문은 별도 안내와 허가를 확인해야 해요.</ns0:t>
        </ns0:is>
      </ns0:c>
      <ns0:c r="N236" s="10" t="inlineStr">
        <ns0:is>
          <ns0:t>dk-visiting-scope</ns0:t>
        </ns0:is>
      </ns0:c>
      <ns0:c r="O236" s="10" t="inlineStr">
        <ns0:is>
          <ns0:t>대한민국 외교부 · 주민 및 입도 안내
https://dokdo.mofa.go.kr/kor/introduce/residence.jsp</ns0:t>
        </ns0:is>
      </ns0:c>
      <ns0:c r="P236" s="11">
        <ns0:f>LEN(F236)+MAX(LEN(G236),LEN(H236),LEN(I236),LEN(J236))</ns0:f>
        <ns0:v>59</ns0:v>
      </ns0:c>
    </ns0:row>
    <ns0:row r="237" ht="113" customHeight="1">
      <ns0:c r="A237" s="12" t="n">
        <ns0:v>920236</ns0:v>
      </ns0:c>
      <ns0:c r="B237" s="12" t="n">
        <ns0:v>910236</ns0:v>
      </ns0:c>
      <ns0:c r="C237" s="12" t="inlineStr">
        <ns0:is>
          <ns0:t>나의 독도 해설</ns0:t>
        </ns0:is>
      </ns0:c>
      <ns0:c r="D237" s="12" t="n">
        <ns0:v>4</ns0:v>
      </ns0:c>
      <ns0:c r="E237" s="12" t="n">
        <ns0:v>4</ns0:v>
      </ns0:c>
      <ns0:c r="F237" s="12" t="inlineStr">
        <ns0:is>
          <ns0:t>독도 여행 안내문에서 고쳐야 할 약속은 무엇인가요?</ns0:t>
        </ns0:is>
      </ns0:c>
      <ns0:c r="G237" s="12" t="inlineStr">
        <ns0:is>
          <ns0:t>일반 관람 구역과 입도 조건을 확인</ns0:t>
        </ns0:is>
      </ns0:c>
      <ns0:c r="H237" s="12" t="inlineStr">
        <ns0:is>
          <ns0:t>배표를 사면 동도와 서도의 모든 시설에 자유롭게 입장</ns0:t>
        </ns0:is>
      </ns0:c>
      <ns0:c r="I237" s="12" t="inlineStr">
        <ns0:is>
          <ns0:t>날씨에 따라 입도가 제한될 수 있다고 안내</ns0:t>
        </ns0:is>
      </ns0:c>
      <ns0:c r="J237" s="12" t="inlineStr"/>
      <ns0:c r="K237" s="12" t="n">
        <ns0:v>2</ns0:v>
      </ns0:c>
      <ns0:c r="L237" s="12" t="inlineStr">
        <ns0:is>
          <ns0:t>승선권만으로 출입 제한이 사라지지 않으며 실제 허가 범위를 따라야 해요.</ns0:t>
        </ns0:is>
      </ns0:c>
      <ns0:c r="M237" s="12" t="inlineStr">
        <ns0:is>
          <ns0:t>일반 탐방의 기본 관람 구역은 동도 선착장이며 다른 구역 방문은 별도 안내와 허가를 확인해야 해요.</ns0:t>
        </ns0:is>
      </ns0:c>
      <ns0:c r="N237" s="12" t="inlineStr">
        <ns0:is>
          <ns0:t>dk-visiting-scope</ns0:t>
        </ns0:is>
      </ns0:c>
      <ns0:c r="O237" s="12" t="inlineStr">
        <ns0:is>
          <ns0:t>대한민국 외교부 · 주민 및 입도 안내
https://dokdo.mofa.go.kr/kor/introduce/residence.jsp</ns0:t>
        </ns0:is>
      </ns0:c>
      <ns0:c r="P237" s="13">
        <ns0:f>LEN(F237)+MAX(LEN(G237),LEN(H237),LEN(I237),LEN(J237))</ns0:f>
        <ns0:v>57</ns0:v>
      </ns0:c>
    </ns0:row>
    <ns0:row r="238" ht="160" customHeight="1">
      <ns0:c r="A238" s="10" t="n">
        <ns0:v>920237</ns0:v>
      </ns0:c>
      <ns0:c r="B238" s="10" t="n">
        <ns0:v>910237</ns0:v>
      </ns0:c>
      <ns0:c r="C238" s="10" t="inlineStr">
        <ns0:is>
          <ns0:t>나의 독도 해설</ns0:t>
        </ns0:is>
      </ns0:c>
      <ns0:c r="D238" s="10" t="n">
        <ns0:v>1</ns0:v>
      </ns0:c>
      <ns0:c r="E238" s="10" t="n">
        <ns0:v>1</ns0:v>
      </ns0:c>
      <ns0:c r="F238" s="10" t="inlineStr">
        <ns0:is>
          <ns0:t>독도의 큰 두 섬 이름을 모두 적은 것은 무엇인가요?</ns0:t>
        </ns0:is>
      </ns0:c>
      <ns0:c r="G238" s="10" t="inlineStr">
        <ns0:is>
          <ns0:t>울릉도·죽도</ns0:t>
        </ns0:is>
      </ns0:c>
      <ns0:c r="H238" s="10" t="inlineStr">
        <ns0:is>
          <ns0:t>동도·오키섬</ns0:t>
        </ns0:is>
      </ns0:c>
      <ns0:c r="I238" s="10" t="inlineStr">
        <ns0:is>
          <ns0:t>동도·서도</ns0:t>
        </ns0:is>
      </ns0:c>
      <ns0:c r="J238" s="10" t="inlineStr"/>
      <ns0:c r="K238" s="10" t="n">
        <ns0:v>3</ns0:v>
      </ns0:c>
      <ns0:c r="L238" s="10" t="inlineStr">
        <ns0:is>
          <ns0:t>두 큰 섬과 주변 부속 도서가 독도를 이루어요.</ns0:t>
        </ns0:is>
      </ns0:c>
      <ns0:c r="M238" s="10" t="inlineStr">
        <ns0:is>
          <ns0:t>독도는 동도·서도와 부속 도서로 이루어진 화산섬이며, 자연환경과 역사 기록을 함께 배울 곳이에요.</ns0:t>
        </ns0:is>
      </ns0:c>
      <ns0:c r="N238" s="10" t="inlineStr">
        <ns0:is>
          <ns0:t>dk-whole-dokdo</ns0:t>
        </ns0:is>
      </ns0:c>
      <ns0:c r="O238" s="10" t="inlineStr">
        <ns0:is>
          <ns0:t>대한민국 외교부 · 독도의 구성 및 위치
https://dokdo.mofa.go.kr/kor/introduce/location.jsp
대한민국 한국해양과학기술원 · 독도 지형 및 지질
https://www.dokdo.re.kr/home/cms/cmsCont.do?cntnts_sn=66
대한민국 외교부 · 독도 주요시설물
https://dokdo.mofa.go.kr/kor/introduce/facility.jsp
대한민국 외교부 자료실 · 대한제국 칙령 제41호
https://dokdo.mofa.go.kr/kor/pds/part02_view02.jsp</ns0:t>
        </ns0:is>
      </ns0:c>
      <ns0:c r="P238" s="11">
        <ns0:f>LEN(F238)+MAX(LEN(G238),LEN(H238),LEN(I238),LEN(J238))</ns0:f>
        <ns0:v>35</ns0:v>
      </ns0:c>
    </ns0:row>
    <ns0:row r="239" ht="160" customHeight="1">
      <ns0:c r="A239" s="12" t="n">
        <ns0:v>920238</ns0:v>
      </ns0:c>
      <ns0:c r="B239" s="12" t="n">
        <ns0:v>910238</ns0:v>
      </ns0:c>
      <ns0:c r="C239" s="12" t="inlineStr">
        <ns0:is>
          <ns0:t>나의 독도 해설</ns0:t>
        </ns0:is>
      </ns0:c>
      <ns0:c r="D239" s="12" t="n">
        <ns0:v>2</ns0:v>
      </ns0:c>
      <ns0:c r="E239" s="12" t="n">
        <ns0:v>2</ns0:v>
      </ns0:c>
      <ns0:c r="F239" s="12" t="inlineStr">
        <ns0:is>
          <ns0:t>독도에서 더 높은 큰 섬과 등대가 있는 섬을 순서대로 고르면 무엇인가요?</ns0:t>
        </ns0:is>
      </ns0:c>
      <ns0:c r="G239" s="12" t="inlineStr">
        <ns0:is>
          <ns0:t>서도 → 동도</ns0:t>
        </ns0:is>
      </ns0:c>
      <ns0:c r="H239" s="12" t="inlineStr">
        <ns0:is>
          <ns0:t>동도 → 서도</ns0:t>
        </ns0:is>
      </ns0:c>
      <ns0:c r="I239" s="12" t="inlineStr">
        <ns0:is>
          <ns0:t>서도 → 서도</ns0:t>
        </ns0:is>
      </ns0:c>
      <ns0:c r="J239" s="12" t="inlineStr"/>
      <ns0:c r="K239" s="12" t="n">
        <ns0:v>1</ns0:v>
      </ns0:c>
      <ns0:c r="L239" s="12" t="inlineStr">
        <ns0:is>
          <ns0:t>서도가 더 높고 등대는 동도에 있어요.</ns0:t>
        </ns0:is>
      </ns0:c>
      <ns0:c r="M239" s="12" t="inlineStr">
        <ns0:is>
          <ns0:t>독도는 동도·서도와 부속 도서로 이루어진 화산섬이며, 자연환경과 역사 기록을 함께 배울 곳이에요.</ns0:t>
        </ns0:is>
      </ns0:c>
      <ns0:c r="N239" s="12" t="inlineStr">
        <ns0:is>
          <ns0:t>dk-whole-dokdo</ns0:t>
        </ns0:is>
      </ns0:c>
      <ns0:c r="O239" s="12" t="inlineStr">
        <ns0:is>
          <ns0:t>대한민국 외교부 · 독도의 구성 및 위치
https://dokdo.mofa.go.kr/kor/introduce/location.jsp
대한민국 한국해양과학기술원 · 독도 지형 및 지질
https://www.dokdo.re.kr/home/cms/cmsCont.do?cntnts_sn=66
대한민국 외교부 · 독도 주요시설물
https://dokdo.mofa.go.kr/kor/introduce/facility.jsp
대한민국 외교부 자료실 · 대한제국 칙령 제41호
https://dokdo.mofa.go.kr/kor/pds/part02_view02.jsp</ns0:t>
        </ns0:is>
      </ns0:c>
      <ns0:c r="P239" s="13">
        <ns0:f>LEN(F239)+MAX(LEN(G239),LEN(H239),LEN(I239),LEN(J239))</ns0:f>
        <ns0:v>47</ns0:v>
      </ns0:c>
    </ns0:row>
    <ns0:row r="240" ht="160" customHeight="1">
      <ns0:c r="A240" s="10" t="n">
        <ns0:v>920239</ns0:v>
      </ns0:c>
      <ns0:c r="B240" s="10" t="n">
        <ns0:v>910239</ns0:v>
      </ns0:c>
      <ns0:c r="C240" s="10" t="inlineStr">
        <ns0:is>
          <ns0:t>나의 독도 해설</ns0:t>
        </ns0:is>
      </ns0:c>
      <ns0:c r="D240" s="10" t="n">
        <ns0:v>3</ns0:v>
      </ns0:c>
      <ns0:c r="E240" s="10" t="n">
        <ns0:v>3</ns0:v>
      </ns0:c>
      <ns0:c r="F240" s="10" t="inlineStr">
        <ns0:is>
          <ns0:t>독도 안내 카드의 수치와 시설을 바르게 연결한 것은 무엇인가요?</ns0:t>
        </ns0:is>
      </ns0:c>
      <ns0:c r="G240" s="10" t="inlineStr">
        <ns0:is>
          <ns0:t>서도 98.6m·등대 / 동도 168.5m·주민숙소</ns0:t>
        </ns0:is>
      </ns0:c>
      <ns0:c r="H240" s="10" t="inlineStr">
        <ns0:is>
          <ns0:t>서도 168.5m·주민숙소 / 동도 98.6m·등대</ns0:t>
        </ns0:is>
      </ns0:c>
      <ns0:c r="I240" s="10" t="inlineStr">
        <ns0:is>
          <ns0:t>서도 168.5m·등대 / 동도 98.6m·주민숙소</ns0:t>
        </ns0:is>
      </ns0:c>
      <ns0:c r="J240" s="10" t="inlineStr"/>
      <ns0:c r="K240" s="10" t="n">
        <ns0:v>2</ns0:v>
      </ns0:c>
      <ns0:c r="L240" s="10" t="inlineStr">
        <ns0:is>
          <ns0:t>각 섬의 높이와 시설이 안내 카드와 모두 일치해요.</ns0:t>
        </ns0:is>
      </ns0:c>
      <ns0:c r="M240" s="10" t="inlineStr">
        <ns0:is>
          <ns0:t>독도는 동도·서도와 부속 도서로 이루어진 화산섬이며, 자연환경과 역사 기록을 함께 배울 곳이에요.</ns0:t>
        </ns0:is>
      </ns0:c>
      <ns0:c r="N240" s="10" t="inlineStr">
        <ns0:is>
          <ns0:t>dk-whole-dokdo</ns0:t>
        </ns0:is>
      </ns0:c>
      <ns0:c r="O240" s="10" t="inlineStr">
        <ns0:is>
          <ns0:t>대한민국 외교부 · 독도의 구성 및 위치
https://dokdo.mofa.go.kr/kor/introduce/location.jsp
대한민국 한국해양과학기술원 · 독도 지형 및 지질
https://www.dokdo.re.kr/home/cms/cmsCont.do?cntnts_sn=66
대한민국 외교부 · 독도 주요시설물
https://dokdo.mofa.go.kr/kor/introduce/facility.jsp
대한민국 외교부 자료실 · 대한제국 칙령 제41호
https://dokdo.mofa.go.kr/kor/pds/part02_view02.jsp</ns0:t>
        </ns0:is>
      </ns0:c>
      <ns0:c r="P240" s="11">
        <ns0:f>LEN(F240)+MAX(LEN(G240),LEN(H240),LEN(I240),LEN(J240))</ns0:f>
        <ns0:v>63</ns0:v>
      </ns0:c>
    </ns0:row>
    <ns0:row r="241" ht="160" customHeight="1">
      <ns0:c r="A241" s="12" t="n">
        <ns0:v>920240</ns0:v>
      </ns0:c>
      <ns0:c r="B241" s="12" t="n">
        <ns0:v>910240</ns0:v>
      </ns0:c>
      <ns0:c r="C241" s="12" t="inlineStr">
        <ns0:is>
          <ns0:t>나의 독도 해설</ns0:t>
        </ns0:is>
      </ns0:c>
      <ns0:c r="D241" s="12" t="n">
        <ns0:v>4</ns0:v>
      </ns0:c>
      <ns0:c r="E241" s="12" t="n">
        <ns0:v>3</ns0:v>
      </ns0:c>
      <ns0:c r="F241" s="12" t="inlineStr">
        <ns0:is>
          <ns0:t>독도 소개문에 넣을 설명으로 사실에 맞는 것은 무엇인가요?</ns0:t>
        </ns0:is>
      </ns0:c>
      <ns0:c r="G241" s="12" t="inlineStr">
        <ns0:is>
          <ns0:t>동도 한 섬만 있으며 강 하구 모래가 쌓여 생겼다</ns0:t>
        </ns0:is>
      </ns0:c>
      <ns0:c r="H241" s="12" t="inlineStr">
        <ns0:is>
          <ns0:t>두 큰 섬은 있지만 모두 산호가 자라 만들어졌다</ns0:t>
        </ns0:is>
      </ns0:c>
      <ns0:c r="I241" s="12" t="inlineStr">
        <ns0:is>
          <ns0:t>두 큰 섬과 부속 도서가 있고, 해저 화산활동으로 형성되었다</ns0:t>
        </ns0:is>
      </ns0:c>
      <ns0:c r="J241" s="12" t="inlineStr"/>
      <ns0:c r="K241" s="12" t="n">
        <ns0:v>3</ns0:v>
      </ns0:c>
      <ns0:c r="L241" s="12" t="inlineStr">
        <ns0:is>
          <ns0:t>구성과 형성 원인이 모두 자료와 맞아요.</ns0:t>
        </ns0:is>
      </ns0:c>
      <ns0:c r="M241" s="12" t="inlineStr">
        <ns0:is>
          <ns0:t>독도는 동도·서도와 부속 도서로 이루어진 화산섬이며, 자연환경과 역사 기록을 함께 배울 곳이에요.</ns0:t>
        </ns0:is>
      </ns0:c>
      <ns0:c r="N241" s="12" t="inlineStr">
        <ns0:is>
          <ns0:t>dk-whole-dokdo</ns0:t>
        </ns0:is>
      </ns0:c>
      <ns0:c r="O241" s="12" t="inlineStr">
        <ns0:is>
          <ns0:t>대한민국 외교부 · 독도의 구성 및 위치
https://dokdo.mofa.go.kr/kor/introduce/location.jsp
대한민국 한국해양과학기술원 · 독도 지형 및 지질
https://www.dokdo.re.kr/home/cms/cmsCont.do?cntnts_sn=66
대한민국 외교부 · 독도 주요시설물
https://dokdo.mofa.go.kr/kor/introduce/facility.jsp
대한민국 외교부 자료실 · 대한제국 칙령 제41호
https://dokdo.mofa.go.kr/kor/pds/part02_view02.jsp</ns0:t>
        </ns0:is>
      </ns0:c>
      <ns0:c r="P241" s="13">
        <ns0:f>LEN(F241)+MAX(LEN(G241),LEN(H241),LEN(I241),LEN(J241))</ns0:f>
        <ns0:v>65</ns0:v>
      </ns0:c>
    </ns0:row>
  </ns0:sheetData>
  <ns0:autoFilter ref="A1:P241"/>
  <ns0:pageMargins left="0.75" right="0.75" top="1" bottom="1" header="0.5" footer="0.5"/>
  <ns0:pageSetup orientation="landscape" paperSize="8" fitToHeight="0" fitToWidth="1"/>
</ns0:worksheet>
</file>

<file path=xl/worksheets/sheet3.xml><?xml version="1.0" encoding="utf-8"?>
<ns0:worksheet xmlns:ns0="http://schemas.openxmlformats.org/spreadsheetml/2006/main">
  <ns0:sheetPr>
    <ns0:outlinePr summaryBelow="1" summaryRight="1"/>
    <ns0:pageSetUpPr fitToPage="1"/>
  </ns0:sheetPr>
  <ns0:dimension ref="A1:G712"/>
  <ns0:sheetViews>
    <ns0:sheetView showGridLines="0" workbookViewId="0">
      <ns0:pane xSplit="2" ySplit="1" topLeftCell="C2" activePane="bottomRight" state="frozen"/>
      <ns0:selection pane="topRight"/>
      <ns0:selection pane="bottomLeft"/>
      <ns0:selection pane="bottomRight" activeCell="A1" sqref="A1"/>
    </ns0:sheetView>
  </ns0:sheetViews>
  <ns0:sheetFormatPr baseColWidth="8" defaultRowHeight="15"/>
  <ns0:cols>
    <ns0:col width="12" customWidth="1" min="1" max="1"/>
    <ns0:col width="11" customWidth="1" min="2" max="2"/>
    <ns0:col width="48" customWidth="1" min="3" max="3"/>
    <ns0:col width="10" customWidth="1" min="4" max="4"/>
    <ns0:col width="92" customWidth="1" min="5" max="5"/>
    <ns0:col width="49" customWidth="1" min="6" max="6"/>
    <ns0:col width="92" customWidth="1" min="7" max="7"/>
  </ns0:cols>
  <ns0:sheetData>
    <ns0:row r="1" ht="34" customHeight="1">
      <ns0:c r="A1" s="9" t="inlineStr">
        <ns0:is>
          <ns0:t>ID</ns0:t>
        </ns0:is>
      </ns0:c>
      <ns0:c r="B1" s="9" t="inlineStr">
        <ns0:is>
          <ns0:t>choice ID</ns0:t>
        </ns0:is>
      </ns0:c>
      <ns0:c r="C1" s="9" t="inlineStr">
        <ns0:is>
          <ns0:t>보기</ns0:t>
        </ns0:is>
      </ns0:c>
      <ns0:c r="D1" s="9" t="inlineStr">
        <ns0:is>
          <ns0:t>정답 여부</ns0:t>
        </ns0:is>
      </ns0:c>
      <ns0:c r="E1" s="9" t="inlineStr">
        <ns0:is>
          <ns0:t>보기별 해설</ns0:t>
        </ns0:is>
      </ns0:c>
      <ns0:c r="F1" s="9" t="inlineStr">
        <ns0:is>
          <ns0:t>English choice</ns0:t>
        </ns0:is>
      </ns0:c>
      <ns0:c r="G1" s="9" t="inlineStr">
        <ns0:is>
          <ns0:t>English feedback</ns0:t>
        </ns0:is>
      </ns0:c>
    </ns0:row>
    <ns0:row r="2" ht="33" customHeight="1">
      <ns0:c r="A2" s="10" t="n">
        <ns0:v>920001</ns0:v>
      </ns0:c>
      <ns0:c r="B2" s="10" t="inlineStr">
        <ns0:is>
          <ns0:t>a</ns0:t>
        </ns0:is>
      </ns0:c>
      <ns0:c r="C2" s="10" t="inlineStr">
        <ns0:is>
          <ns0:t>동도와 서도</ns0:t>
        </ns0:is>
      </ns0:c>
      <ns0:c r="D2" s="10" t="n">
        <ns0:v>1</ns0:v>
      </ns0:c>
      <ns0:c r="E2" s="10" t="inlineStr">
        <ns0:is>
          <ns0:t>동도와 서도가 독도의 두 큰 섬이에요. 둘레에는 작은 바위섬들도 있어요.</ns0:t>
        </ns0:is>
      </ns0:c>
      <ns0:c r="F2" s="10" t="inlineStr">
        <ns0:is>
          <ns0:t>Dongdo and Seodo</ns0:t>
        </ns0:is>
      </ns0:c>
      <ns0:c r="G2" s="10" t="inlineStr">
        <ns0:is>
          <ns0:t>Dongdo and Seodo are the two main islands, surrounded by smaller islets.</ns0:t>
        </ns0:is>
      </ns0:c>
    </ns0:row>
    <ns0:row r="3" ht="38" customHeight="1">
      <ns0:c r="A3" s="12" t="n">
        <ns0:v>920001</ns0:v>
      </ns0:c>
      <ns0:c r="B3" s="12" t="inlineStr">
        <ns0:is>
          <ns0:t>b</ns0:t>
        </ns0:is>
      </ns0:c>
      <ns0:c r="C3" s="12" t="inlineStr">
        <ns0:is>
          <ns0:t>울릉도와 동도</ns0:t>
        </ns0:is>
      </ns0:c>
      <ns0:c r="D3" s="12" t="n">
        <ns0:v>0</ns0:v>
      </ns0:c>
      <ns0:c r="E3" s="12" t="inlineStr">
        <ns0:is>
          <ns0:t>동도는 맞지만 울릉도는 독도에서 떨어진 별개의 섬이에요. 다른 큰 섬은 서도예요.</ns0:t>
        </ns0:is>
      </ns0:c>
      <ns0:c r="F3" s="12" t="inlineStr">
        <ns0:is>
          <ns0:t>Ulleungdo and Dongdo</ns0:t>
        </ns0:is>
      </ns0:c>
      <ns0:c r="G3" s="12" t="inlineStr">
        <ns0:is>
          <ns0:t>Dongdo belongs to Dokdo, but Ulleungdo is a separate island. The other main island is Seodo.</ns0:t>
        </ns0:is>
      </ns0:c>
    </ns0:row>
    <ns0:row r="4" ht="33" customHeight="1">
      <ns0:c r="A4" s="10" t="n">
        <ns0:v>920001</ns0:v>
      </ns0:c>
      <ns0:c r="B4" s="10" t="inlineStr">
        <ns0:is>
          <ns0:t>c</ns0:t>
        </ns0:is>
      </ns0:c>
      <ns0:c r="C4" s="10" t="inlineStr">
        <ns0:is>
          <ns0:t>제주도와 서도</ns0:t>
        </ns0:is>
      </ns0:c>
      <ns0:c r="D4" s="10" t="n">
        <ns0:v>0</ns0:v>
      </ns0:c>
      <ns0:c r="E4" s="10" t="inlineStr">
        <ns0:is>
          <ns0:t>서도는 맞지만 제주도는 독도를 이루는 섬이 아니에요. 서도와 짝을 이루는 큰 섬은 동도예요.</ns0:t>
        </ns0:is>
      </ns0:c>
      <ns0:c r="F4" s="10" t="inlineStr">
        <ns0:is>
          <ns0:t>Jejudo and Seodo</ns0:t>
        </ns0:is>
      </ns0:c>
      <ns0:c r="G4" s="10" t="inlineStr">
        <ns0:is>
          <ns0:t>Seodo belongs to Dokdo, but Jejudo does not. Its other main island is Dongdo.</ns0:t>
        </ns0:is>
      </ns0:c>
    </ns0:row>
    <ns0:row r="5" ht="33" customHeight="1">
      <ns0:c r="A5" s="12" t="n">
        <ns0:v>920001</ns0:v>
      </ns0:c>
      <ns0:c r="B5" s="12" t="inlineStr">
        <ns0:is>
          <ns0:t>d</ns0:t>
        </ns0:is>
      </ns0:c>
      <ns0:c r="C5" s="12" t="inlineStr">
        <ns0:is>
          <ns0:t>울릉도와 제주도</ns0:t>
        </ns0:is>
      </ns0:c>
      <ns0:c r="D5" s="12" t="n">
        <ns0:v>0</ns0:v>
      </ns0:c>
      <ns0:c r="E5" s="12" t="inlineStr">
        <ns0:is>
          <ns0:t>울릉도와 제주도는 모두 독도와 별개의 섬이에요. 독도의 두 큰 섬은 동도와 서도예요.</ns0:t>
        </ns0:is>
      </ns0:c>
      <ns0:c r="F5" s="12" t="inlineStr">
        <ns0:is>
          <ns0:t>Ulleungdo and Jejudo</ns0:t>
        </ns0:is>
      </ns0:c>
      <ns0:c r="G5" s="12" t="inlineStr">
        <ns0:is>
          <ns0:t>Both are separate from Dokdo. Dokdo’s main islands are Dongdo and Seodo.</ns0:t>
        </ns0:is>
      </ns0:c>
    </ns0:row>
    <ns0:row r="6" ht="33" customHeight="1">
      <ns0:c r="A6" s="10" t="n">
        <ns0:v>920002</ns0:v>
      </ns0:c>
      <ns0:c r="B6" s="10" t="inlineStr">
        <ns0:is>
          <ns0:t>a</ns0:t>
        </ns0:is>
      </ns0:c>
      <ns0:c r="C6" s="10" t="inlineStr">
        <ns0:is>
          <ns0:t>작은 바위섬들</ns0:t>
        </ns0:is>
      </ns0:c>
      <ns0:c r="D6" s="10" t="n">
        <ns0:v>1</ns0:v>
      </ns0:c>
      <ns0:c r="E6" s="10" t="inlineStr">
        <ns0:is>
          <ns0:t>독도에는 동도·서도뿐 아니라 둘레의 작은 바위섬들도 포함돼요.</ns0:t>
        </ns0:is>
      </ns0:c>
      <ns0:c r="F6" s="10" t="inlineStr">
        <ns0:is>
          <ns0:t>Smaller rocky islets</ns0:t>
        </ns0:is>
      </ns0:c>
      <ns0:c r="G6" s="10" t="inlineStr">
        <ns0:is>
          <ns0:t>Dokdo includes the surrounding rocky islets as well as Dongdo and Seodo.</ns0:t>
        </ns0:is>
      </ns0:c>
    </ns0:row>
    <ns0:row r="7" ht="33" customHeight="1">
      <ns0:c r="A7" s="12" t="n">
        <ns0:v>920002</ns0:v>
      </ns0:c>
      <ns0:c r="B7" s="12" t="inlineStr">
        <ns0:is>
          <ns0:t>b</ns0:t>
        </ns0:is>
      </ns0:c>
      <ns0:c r="C7" s="12" t="inlineStr">
        <ns0:is>
          <ns0:t>울릉도 본섬</ns0:t>
        </ns0:is>
      </ns0:c>
      <ns0:c r="D7" s="12" t="n">
        <ns0:v>0</ns0:v>
      </ns0:c>
      <ns0:c r="E7" s="12" t="inlineStr">
        <ns0:is>
          <ns0:t>울릉도는 독도 주변의 부속 바위섬이 아니라 별개의 섬이에요.</ns0:t>
        </ns0:is>
      </ns0:c>
      <ns0:c r="F7" s="12" t="inlineStr">
        <ns0:is>
          <ns0:t>The main island of Ulleungdo</ns0:t>
        </ns0:is>
      </ns0:c>
      <ns0:c r="G7" s="12" t="inlineStr">
        <ns0:is>
          <ns0:t>Ulleungdo is a separate island, not one of Dokdo’s associated islets.</ns0:t>
        </ns0:is>
      </ns0:c>
    </ns0:row>
    <ns0:row r="8" ht="33" customHeight="1">
      <ns0:c r="A8" s="10" t="n">
        <ns0:v>920002</ns0:v>
      </ns0:c>
      <ns0:c r="B8" s="10" t="inlineStr">
        <ns0:is>
          <ns0:t>c</ns0:t>
        </ns0:is>
      </ns0:c>
      <ns0:c r="C8" s="10" t="inlineStr">
        <ns0:is>
          <ns0:t>일본의 오키섬</ns0:t>
        </ns0:is>
      </ns0:c>
      <ns0:c r="D8" s="10" t="n">
        <ns0:v>0</ns0:v>
      </ns0:c>
      <ns0:c r="E8" s="10" t="inlineStr">
        <ns0:is>
          <ns0:t>오키섬은 독도의 부속 섬이 아니라 일본에 있는 별개의 섬들이에요.</ns0:t>
        </ns0:is>
      </ns0:c>
      <ns0:c r="F8" s="10" t="inlineStr">
        <ns0:is>
          <ns0:t>Japan’s Oki Islands</ns0:t>
        </ns0:is>
      </ns0:c>
      <ns0:c r="G8" s="10" t="inlineStr">
        <ns0:is>
          <ns0:t>The Oki Islands are in Japan and are not part of Dokdo.</ns0:t>
        </ns0:is>
      </ns0:c>
    </ns0:row>
    <ns0:row r="9" ht="33" customHeight="1">
      <ns0:c r="A9" s="12" t="n">
        <ns0:v>920003</ns0:v>
      </ns0:c>
      <ns0:c r="B9" s="12" t="inlineStr">
        <ns0:is>
          <ns0:t>b</ns0:t>
        </ns0:is>
      </ns0:c>
      <ns0:c r="C9" s="12" t="inlineStr">
        <ns0:is>
          <ns0:t>울릉도 전체</ns0:t>
        </ns0:is>
      </ns0:c>
      <ns0:c r="D9" s="12" t="n">
        <ns0:v>0</ns0:v>
      </ns0:c>
      <ns0:c r="E9" s="12" t="inlineStr">
        <ns0:is>
          <ns0:t>울릉도는 독도 구성 목록에 들어 있지 않아요. 주변 부속 바위섬을 더해야 해요.</ns0:t>
        </ns0:is>
      </ns0:c>
      <ns0:c r="F9" s="12" t="inlineStr">
        <ns0:is>
          <ns0:t>All of Ulleungdo</ns0:t>
        </ns0:is>
      </ns0:c>
      <ns0:c r="G9" s="12" t="inlineStr">
        <ns0:is>
          <ns0:t>Ulleungdo is not part of the listed land area. The missing land is the associated islets.</ns0:t>
        </ns0:is>
      </ns0:c>
    </ns0:row>
    <ns0:row r="10" ht="33" customHeight="1">
      <ns0:c r="A10" s="10" t="n">
        <ns0:v>920003</ns0:v>
      </ns0:c>
      <ns0:c r="B10" s="10" t="inlineStr">
        <ns0:is>
          <ns0:t>a</ns0:t>
        </ns0:is>
      </ns0:c>
      <ns0:c r="C10" s="10" t="inlineStr">
        <ns0:is>
          <ns0:t>주변의 부속 바위섬</ns0:t>
        </ns0:is>
      </ns0:c>
      <ns0:c r="D10" s="10" t="n">
        <ns0:v>1</ns0:v>
      </ns0:c>
      <ns0:c r="E10" s="10" t="inlineStr">
        <ns0:is>
          <ns0:t>자료는 두 큰 섬과 주변 부속 도서를 함께 독도의 구성으로 설명해요.</ns0:t>
        </ns0:is>
      </ns0:c>
      <ns0:c r="F10" s="10" t="inlineStr">
        <ns0:is>
          <ns0:t>The surrounding associated islets</ns0:t>
        </ns0:is>
      </ns0:c>
      <ns0:c r="G10" s="10" t="inlineStr">
        <ns0:is>
          <ns0:t>The description includes the associated islets as well as the two main islands.</ns0:t>
        </ns0:is>
      </ns0:c>
    </ns0:row>
    <ns0:row r="11" ht="33" customHeight="1">
      <ns0:c r="A11" s="12" t="n">
        <ns0:v>920003</ns0:v>
      </ns0:c>
      <ns0:c r="B11" s="12" t="inlineStr">
        <ns0:is>
          <ns0:t>c</ns0:t>
        </ns0:is>
      </ns0:c>
      <ns0:c r="C11" s="12" t="inlineStr">
        <ns0:is>
          <ns0:t>일본 오키섬 전체</ns0:t>
        </ns0:is>
      </ns0:c>
      <ns0:c r="D11" s="12" t="n">
        <ns0:v>0</ns0:v>
      </ns0:c>
      <ns0:c r="E11" s="12" t="inlineStr">
        <ns0:is>
          <ns0:t>오키섬은 독도를 이루는 섬이 아니므로 이 구성도에 더하지 않아요.</ns0:t>
        </ns0:is>
      </ns0:c>
      <ns0:c r="F11" s="12" t="inlineStr">
        <ns0:is>
          <ns0:t>All of Japan’s Oki Islands</ns0:t>
        </ns0:is>
      </ns0:c>
      <ns0:c r="G11" s="12" t="inlineStr">
        <ns0:is>
          <ns0:t>The Oki Islands do not form part of Dokdo.</ns0:t>
        </ns0:is>
      </ns0:c>
    </ns0:row>
    <ns0:row r="12" ht="33" customHeight="1">
      <ns0:c r="A12" s="10" t="n">
        <ns0:v>920004</ns0:v>
      </ns0:c>
      <ns0:c r="B12" s="10" t="inlineStr">
        <ns0:is>
          <ns0:t>b</ns0:t>
        </ns0:is>
      </ns0:c>
      <ns0:c r="C12" s="10" t="inlineStr">
        <ns0:is>
          <ns0:t>동도와 울릉도를 아우르는 이름이다</ns0:t>
        </ns0:is>
      </ns0:c>
      <ns0:c r="D12" s="10" t="n">
        <ns0:v>0</ns0:v>
      </ns0:c>
      <ns0:c r="E12" s="10" t="inlineStr">
        <ns0:is>
          <ns0:t>울릉도는 독도와 별개의 섬이므로 구성에 넣으면 안 돼요.</ns0:t>
        </ns0:is>
      </ns0:c>
      <ns0:c r="F12" s="10" t="inlineStr">
        <ns0:is>
          <ns0:t>It names Dongdo and Ulleungdo</ns0:t>
        </ns0:is>
      </ns0:c>
      <ns0:c r="G12" s="10" t="inlineStr">
        <ns0:is>
          <ns0:t>Ulleungdo is separate and should not be added to Dokdo’s composition.</ns0:t>
        </ns0:is>
      </ns0:c>
    </ns0:row>
    <ns0:row r="13" ht="33" customHeight="1">
      <ns0:c r="A13" s="12" t="n">
        <ns0:v>920004</ns0:v>
      </ns0:c>
      <ns0:c r="B13" s="12" t="inlineStr">
        <ns0:is>
          <ns0:t>c</ns0:t>
        </ns0:is>
      </ns0:c>
      <ns0:c r="C13" s="12" t="inlineStr">
        <ns0:is>
          <ns0:t>서도 한 섬만 가리키는 이름이다</ns0:t>
        </ns0:is>
      </ns0:c>
      <ns0:c r="D13" s="12" t="n">
        <ns0:v>0</ns0:v>
      </ns0:c>
      <ns0:c r="E13" s="12" t="inlineStr">
        <ns0:is>
          <ns0:t>서도만으로 바꾸어도 여전히 동도와 주변 바위섬을 빠뜨려요.</ns0:t>
        </ns0:is>
      </ns0:c>
      <ns0:c r="F13" s="12" t="inlineStr">
        <ns0:is>
          <ns0:t>It names Seodo alone</ns0:t>
        </ns0:is>
      </ns0:c>
      <ns0:c r="G13" s="12" t="inlineStr">
        <ns0:is>
          <ns0:t>Changing the answer to Seodo alone still omits Dongdo and the smaller islets.</ns0:t>
        </ns0:is>
      </ns0:c>
    </ns0:row>
    <ns0:row r="14" ht="38" customHeight="1">
      <ns0:c r="A14" s="10" t="n">
        <ns0:v>920004</ns0:v>
      </ns0:c>
      <ns0:c r="B14" s="10" t="inlineStr">
        <ns0:is>
          <ns0:t>a</ns0:t>
        </ns0:is>
      </ns0:c>
      <ns0:c r="C14" s="10" t="inlineStr">
        <ns0:is>
          <ns0:t>동도·서도와 주변 바위섬을 아우르는 이름이다</ns0:t>
        </ns0:is>
      </ns0:c>
      <ns0:c r="D14" s="10" t="n">
        <ns0:v>1</ns0:v>
      </ns0:c>
      <ns0:c r="E14" s="10" t="inlineStr">
        <ns0:is>
          <ns0:t>동도는 독도의 일부예요. 독도라는 이름은 서도와 부속 도서도 아울러요.</ns0:t>
        </ns0:is>
      </ns0:c>
      <ns0:c r="F14" s="10" t="inlineStr">
        <ns0:is>
          <ns0:t>It names Dongdo, Seodo and the surrounding islets</ns0:t>
        </ns0:is>
      </ns0:c>
      <ns0:c r="G14" s="10" t="inlineStr">
        <ns0:is>
          <ns0:t>Dongdo is only part of Dokdo, which also includes Seodo and associated islets.</ns0:t>
        </ns0:is>
      </ns0:c>
    </ns0:row>
    <ns0:row r="15" ht="33" customHeight="1">
      <ns0:c r="A15" s="12" t="n">
        <ns0:v>920005</ns0:v>
      </ns0:c>
      <ns0:c r="B15" s="12" t="inlineStr">
        <ns0:is>
          <ns0:t>b</ns0:t>
        </ns0:is>
      </ns0:c>
      <ns0:c r="C15" s="12" t="inlineStr">
        <ns0:is>
          <ns0:t>동북쪽</ns0:t>
        </ns0:is>
      </ns0:c>
      <ns0:c r="D15" s="12" t="n">
        <ns0:v>0</ns0:v>
      </ns0:c>
      <ns0:c r="E15" s="12" t="inlineStr">
        <ns0:is>
          <ns0:t>동쪽은 맞지만 북쪽이 아니라 남쪽이에요. 독도는 울릉도의 동남쪽에 있어요.</ns0:t>
        </ns0:is>
      </ns0:c>
      <ns0:c r="F15" s="12" t="inlineStr">
        <ns0:is>
          <ns0:t>Northeast</ns0:t>
        </ns0:is>
      </ns0:c>
      <ns0:c r="G15" s="12" t="inlineStr">
        <ns0:is>
          <ns0:t>East is right, but the north–south part is reversed. Dokdo is southeast.</ns0:t>
        </ns0:is>
      </ns0:c>
    </ns0:row>
    <ns0:row r="16" ht="33" customHeight="1">
      <ns0:c r="A16" s="10" t="n">
        <ns0:v>920005</ns0:v>
      </ns0:c>
      <ns0:c r="B16" s="10" t="inlineStr">
        <ns0:is>
          <ns0:t>a</ns0:t>
        </ns0:is>
      </ns0:c>
      <ns0:c r="C16" s="10" t="inlineStr">
        <ns0:is>
          <ns0:t>동남쪽</ns0:t>
        </ns0:is>
      </ns0:c>
      <ns0:c r="D16" s="10" t="n">
        <ns0:v>1</ns0:v>
      </ns0:c>
      <ns0:c r="E16" s="10" t="inlineStr">
        <ns0:is>
          <ns0:t>울릉도에서 동쪽이면서 남쪽인 방향으로 가면 독도가 있어요.</ns0:t>
        </ns0:is>
      </ns0:c>
      <ns0:c r="F16" s="10" t="inlineStr">
        <ns0:is>
          <ns0:t>Southeast</ns0:t>
        </ns0:is>
      </ns0:c>
      <ns0:c r="G16" s="10" t="inlineStr">
        <ns0:is>
          <ns0:t>Dokdo is both east and south of Ulleungdo: southeast.</ns0:t>
        </ns0:is>
      </ns0:c>
    </ns0:row>
    <ns0:row r="17" ht="33" customHeight="1">
      <ns0:c r="A17" s="12" t="n">
        <ns0:v>920005</ns0:v>
      </ns0:c>
      <ns0:c r="B17" s="12" t="inlineStr">
        <ns0:is>
          <ns0:t>c</ns0:t>
        </ns0:is>
      </ns0:c>
      <ns0:c r="C17" s="12" t="inlineStr">
        <ns0:is>
          <ns0:t>서남쪽</ns0:t>
        </ns0:is>
      </ns0:c>
      <ns0:c r="D17" s="12" t="n">
        <ns0:v>0</ns0:v>
      </ns0:c>
      <ns0:c r="E17" s="12" t="inlineStr">
        <ns0:is>
          <ns0:t>남쪽은 맞지만 서쪽이 아니라 동쪽이에요.</ns0:t>
        </ns0:is>
      </ns0:c>
      <ns0:c r="F17" s="12" t="inlineStr">
        <ns0:is>
          <ns0:t>Southwest</ns0:t>
        </ns0:is>
      </ns0:c>
      <ns0:c r="G17" s="12" t="inlineStr">
        <ns0:is>
          <ns0:t>South is right, but Dokdo is east rather than west of Ulleungdo.</ns0:t>
        </ns0:is>
      </ns0:c>
    </ns0:row>
    <ns0:row r="18" ht="33" customHeight="1">
      <ns0:c r="A18" s="10" t="n">
        <ns0:v>920005</ns0:v>
      </ns0:c>
      <ns0:c r="B18" s="10" t="inlineStr">
        <ns0:is>
          <ns0:t>d</ns0:t>
        </ns0:is>
      </ns0:c>
      <ns0:c r="C18" s="10" t="inlineStr">
        <ns0:is>
          <ns0:t>서북쪽</ns0:t>
        </ns0:is>
      </ns0:c>
      <ns0:c r="D18" s="10" t="n">
        <ns0:v>0</ns0:v>
      </ns0:c>
      <ns0:c r="E18" s="10" t="inlineStr">
        <ns0:is>
          <ns0:t>울릉도에서 독도를 보는 방향은 서북쪽이 아니라 그 반대인 동남쪽이에요.</ns0:t>
        </ns0:is>
      </ns0:c>
      <ns0:c r="F18" s="10" t="inlineStr">
        <ns0:is>
          <ns0:t>Northwest</ns0:t>
        </ns0:is>
      </ns0:c>
      <ns0:c r="G18" s="10" t="inlineStr">
        <ns0:is>
          <ns0:t>Northwest is the opposite of the direction from Ulleungdo to Dokdo.</ns0:t>
        </ns0:is>
      </ns0:c>
    </ns0:row>
    <ns0:row r="19" ht="33" customHeight="1">
      <ns0:c r="A19" s="12" t="n">
        <ns0:v>920006</ns0:v>
      </ns0:c>
      <ns0:c r="B19" s="12" t="inlineStr">
        <ns0:is>
          <ns0:t>b</ns0:t>
        </ns0:is>
      </ns0:c>
      <ns0:c r="C19" s="12" t="inlineStr">
        <ns0:is>
          <ns0:t>157.5km</ns0:t>
        </ns0:is>
      </ns0:c>
      <ns0:c r="D19" s="12" t="n">
        <ns0:v>0</ns0:v>
      </ns0:c>
      <ns0:c r="E19" s="12" t="inlineStr">
        <ns0:is>
          <ns0:t>157.5km는 독도와 일본 오키섬 사이 거리예요.</ns0:t>
        </ns0:is>
      </ns0:c>
      <ns0:c r="F19" s="12" t="inlineStr">
        <ns0:is>
          <ns0:t>157.5 km</ns0:t>
        </ns0:is>
      </ns0:c>
      <ns0:c r="G19" s="12" t="inlineStr">
        <ns0:is>
          <ns0:t>157.5 km is the distance between Dokdo and Japan’s Oki Islands.</ns0:t>
        </ns0:is>
      </ns0:c>
    </ns0:row>
    <ns0:row r="20" ht="33" customHeight="1">
      <ns0:c r="A20" s="10" t="n">
        <ns0:v>920006</ns0:v>
      </ns0:c>
      <ns0:c r="B20" s="10" t="inlineStr">
        <ns0:is>
          <ns0:t>c</ns0:t>
        </ns0:is>
      </ns0:c>
      <ns0:c r="C20" s="10" t="inlineStr">
        <ns0:is>
          <ns0:t>8.74km</ns0:t>
        </ns0:is>
      </ns0:c>
      <ns0:c r="D20" s="10" t="n">
        <ns0:v>0</ns0:v>
      </ns0:c>
      <ns0:c r="E20" s="10" t="inlineStr">
        <ns0:is>
          <ns0:t>87.4km에서 소수점을 한 자리 옮긴 값이에요. 실제 안내값보다 열 배 작아요.</ns0:t>
        </ns0:is>
      </ns0:c>
      <ns0:c r="F20" s="10" t="inlineStr">
        <ns0:is>
          <ns0:t>8.74 km</ns0:t>
        </ns0:is>
      </ns0:c>
      <ns0:c r="G20" s="10" t="inlineStr">
        <ns0:is>
          <ns0:t>This shifts the decimal point: it is one tenth of the stated distance.</ns0:t>
        </ns0:is>
      </ns0:c>
    </ns0:row>
    <ns0:row r="21" ht="33" customHeight="1">
      <ns0:c r="A21" s="12" t="n">
        <ns0:v>920006</ns0:v>
      </ns0:c>
      <ns0:c r="B21" s="12" t="inlineStr">
        <ns0:is>
          <ns0:t>a</ns0:t>
        </ns0:is>
      </ns0:c>
      <ns0:c r="C21" s="12" t="inlineStr">
        <ns0:is>
          <ns0:t>87.4km</ns0:t>
        </ns0:is>
      </ns0:c>
      <ns0:c r="D21" s="12" t="n">
        <ns0:v>1</ns0:v>
      </ns0:c>
      <ns0:c r="E21" s="12" t="inlineStr">
        <ns0:is>
          <ns0:t>87.4km가 울릉도와 독도 사이 거리예요.</ns0:t>
        </ns0:is>
      </ns0:c>
      <ns0:c r="F21" s="12" t="inlineStr">
        <ns0:is>
          <ns0:t>87.4 km</ns0:t>
        </ns0:is>
      </ns0:c>
      <ns0:c r="G21" s="12" t="inlineStr">
        <ns0:is>
          <ns0:t>The distance between Ulleungdo and Dokdo is about 87.4 km.</ns0:t>
        </ns0:is>
      </ns0:c>
    </ns0:row>
    <ns0:row r="22" ht="33" customHeight="1">
      <ns0:c r="A22" s="10" t="n">
        <ns0:v>920006</ns0:v>
      </ns0:c>
      <ns0:c r="B22" s="10" t="inlineStr">
        <ns0:is>
          <ns0:t>d</ns0:t>
        </ns0:is>
      </ns0:c>
      <ns0:c r="C22" s="10" t="inlineStr">
        <ns0:is>
          <ns0:t>874km</ns0:t>
        </ns0:is>
      </ns0:c>
      <ns0:c r="D22" s="10" t="n">
        <ns0:v>0</ns0:v>
      </ns0:c>
      <ns0:c r="E22" s="10" t="inlineStr">
        <ns0:is>
          <ns0:t>874km는 안내값 87.4km의 열 배예요.</ns0:t>
        </ns0:is>
      </ns0:c>
      <ns0:c r="F22" s="10" t="inlineStr">
        <ns0:is>
          <ns0:t>874 km</ns0:t>
        </ns0:is>
      </ns0:c>
      <ns0:c r="G22" s="10" t="inlineStr">
        <ns0:is>
          <ns0:t>874 km is ten times the stated 87.4 km.</ns0:t>
        </ns0:is>
      </ns0:c>
    </ns0:row>
    <ns0:row r="23" ht="33" customHeight="1">
      <ns0:c r="A23" s="12" t="n">
        <ns0:v>920007</ns0:v>
      </ns0:c>
      <ns0:c r="B23" s="12" t="inlineStr">
        <ns0:is>
          <ns0:t>a</ns0:t>
        </ns0:is>
      </ns0:c>
      <ns0:c r="C23" s="12" t="inlineStr">
        <ns0:is>
          <ns0:t>울릉도</ns0:t>
        </ns0:is>
      </ns0:c>
      <ns0:c r="D23" s="12" t="n">
        <ns0:v>1</ns0:v>
      </ns0:c>
      <ns0:c r="E23" s="12" t="inlineStr">
        <ns0:is>
          <ns0:t>87.4km가 157.5km보다 짧으므로 울릉도가 더 가까워요.</ns0:t>
        </ns0:is>
      </ns0:c>
      <ns0:c r="F23" s="12" t="inlineStr">
        <ns0:is>
          <ns0:t>Ulleungdo</ns0:t>
        </ns0:is>
      </ns0:c>
      <ns0:c r="G23" s="12" t="inlineStr">
        <ns0:is>
          <ns0:t>87.4 km is less than 157.5 km, so Ulleungdo is nearer.</ns0:t>
        </ns0:is>
      </ns0:c>
    </ns0:row>
    <ns0:row r="24" ht="33" customHeight="1">
      <ns0:c r="A24" s="10" t="n">
        <ns0:v>920007</ns0:v>
      </ns0:c>
      <ns0:c r="B24" s="10" t="inlineStr">
        <ns0:is>
          <ns0:t>b</ns0:t>
        </ns0:is>
      </ns0:c>
      <ns0:c r="C24" s="10" t="inlineStr">
        <ns0:is>
          <ns0:t>일본 오키섬</ns0:t>
        </ns0:is>
      </ns0:c>
      <ns0:c r="D24" s="10" t="n">
        <ns0:v>0</ns0:v>
      </ns0:c>
      <ns0:c r="E24" s="10" t="inlineStr">
        <ns0:is>
          <ns0:t>오키섬까지는 157.5km로, 울릉도까지 87.4km보다 멀어요.</ns0:t>
        </ns0:is>
      </ns0:c>
      <ns0:c r="F24" s="10" t="inlineStr">
        <ns0:is>
          <ns0:t>Japan’s Oki Islands</ns0:t>
        </ns0:is>
      </ns0:c>
      <ns0:c r="G24" s="10" t="inlineStr">
        <ns0:is>
          <ns0:t>The Oki Islands are 157.5 km away, farther than Ulleungdo’s 87.4 km.</ns0:t>
        </ns0:is>
      </ns0:c>
    </ns0:row>
    <ns0:row r="25" ht="33" customHeight="1">
      <ns0:c r="A25" s="12" t="n">
        <ns0:v>920008</ns0:v>
      </ns0:c>
      <ns0:c r="B25" s="12" t="inlineStr">
        <ns0:is>
          <ns0:t>b</ns0:t>
        </ns0:is>
      </ns0:c>
      <ns0:c r="C25" s="12" t="inlineStr">
        <ns0:is>
          <ns0:t>244.9km</ns0:t>
        </ns0:is>
      </ns0:c>
      <ns0:c r="D25" s="12" t="n">
        <ns0:v>0</ns0:v>
      </ns0:c>
      <ns0:c r="E25" s="12" t="inlineStr">
        <ns0:is>
          <ns0:t>244.9km는 두 거리를 더한 값이에요. 얼마나 더 가까운지는 빼서 구해요.</ns0:t>
        </ns0:is>
      </ns0:c>
      <ns0:c r="F25" s="12" t="inlineStr">
        <ns0:is>
          <ns0:t>244.9 km</ns0:t>
        </ns0:is>
      </ns0:c>
      <ns0:c r="G25" s="12" t="inlineStr">
        <ns0:is>
          <ns0:t>244.9 km is the sum, not the difference.</ns0:t>
        </ns0:is>
      </ns0:c>
    </ns0:row>
    <ns0:row r="26" ht="33" customHeight="1">
      <ns0:c r="A26" s="10" t="n">
        <ns0:v>920008</ns0:v>
      </ns0:c>
      <ns0:c r="B26" s="10" t="inlineStr">
        <ns0:is>
          <ns0:t>c</ns0:t>
        </ns0:is>
      </ns0:c>
      <ns0:c r="C26" s="10" t="inlineStr">
        <ns0:is>
          <ns0:t>87.4km</ns0:t>
        </ns0:is>
      </ns0:c>
      <ns0:c r="D26" s="10" t="n">
        <ns0:v>0</ns0:v>
      </ns0:c>
      <ns0:c r="E26" s="10" t="inlineStr">
        <ns0:is>
          <ns0:t>87.4km는 울릉도까지의 거리이지, 두 거리의 차이가 아니에요.</ns0:t>
        </ns0:is>
      </ns0:c>
      <ns0:c r="F26" s="10" t="inlineStr">
        <ns0:is>
          <ns0:t>87.4 km</ns0:t>
        </ns0:is>
      </ns0:c>
      <ns0:c r="G26" s="10" t="inlineStr">
        <ns0:is>
          <ns0:t>87.4 km is the full distance to Ulleungdo, not the difference.</ns0:t>
        </ns0:is>
      </ns0:c>
    </ns0:row>
    <ns0:row r="27" ht="33" customHeight="1">
      <ns0:c r="A27" s="12" t="n">
        <ns0:v>920008</ns0:v>
      </ns0:c>
      <ns0:c r="B27" s="12" t="inlineStr">
        <ns0:is>
          <ns0:t>d</ns0:t>
        </ns0:is>
      </ns0:c>
      <ns0:c r="C27" s="12" t="inlineStr">
        <ns0:is>
          <ns0:t>157.5km</ns0:t>
        </ns0:is>
      </ns0:c>
      <ns0:c r="D27" s="12" t="n">
        <ns0:v>0</ns0:v>
      </ns0:c>
      <ns0:c r="E27" s="12" t="inlineStr">
        <ns0:is>
          <ns0:t>157.5km는 오키섬까지의 거리예요. 여기서 87.4km를 빼야 해요.</ns0:t>
        </ns0:is>
      </ns0:c>
      <ns0:c r="F27" s="12" t="inlineStr">
        <ns0:is>
          <ns0:t>157.5 km</ns0:t>
        </ns0:is>
      </ns0:c>
      <ns0:c r="G27" s="12" t="inlineStr">
        <ns0:is>
          <ns0:t>157.5 km is the distance to the Oki Islands. Subtract 87.4 km from it.</ns0:t>
        </ns0:is>
      </ns0:c>
    </ns0:row>
    <ns0:row r="28" ht="33" customHeight="1">
      <ns0:c r="A28" s="10" t="n">
        <ns0:v>920008</ns0:v>
      </ns0:c>
      <ns0:c r="B28" s="10" t="inlineStr">
        <ns0:is>
          <ns0:t>a</ns0:t>
        </ns0:is>
      </ns0:c>
      <ns0:c r="C28" s="10" t="inlineStr">
        <ns0:is>
          <ns0:t>70.1km</ns0:t>
        </ns0:is>
      </ns0:c>
      <ns0:c r="D28" s="10" t="n">
        <ns0:v>1</ns0:v>
      </ns0:c>
      <ns0:c r="E28" s="10" t="inlineStr">
        <ns0:is>
          <ns0:t>두 거리를 빼면 157.5−87.4=70.1km예요. 울릉도가 그만큼 더 가까워요.</ns0:t>
        </ns0:is>
      </ns0:c>
      <ns0:c r="F28" s="10" t="inlineStr">
        <ns0:is>
          <ns0:t>70.1 km</ns0:t>
        </ns0:is>
      </ns0:c>
      <ns0:c r="G28" s="10" t="inlineStr">
        <ns0:is>
          <ns0:t>Subtracting gives 157.5 − 87.4 = 70.1 km, the difference in distance.</ns0:t>
        </ns0:is>
      </ns0:c>
    </ns0:row>
    <ns0:row r="29" ht="33" customHeight="1">
      <ns0:c r="A29" s="12" t="n">
        <ns0:v>920009</ns0:v>
      </ns0:c>
      <ns0:c r="B29" s="12" t="inlineStr">
        <ns0:is>
          <ns0:t>b</ns0:t>
        </ns0:is>
      </ns0:c>
      <ns0:c r="C29" s="12" t="inlineStr">
        <ns0:is>
          <ns0:t>서도</ns0:t>
        </ns0:is>
      </ns0:c>
      <ns0:c r="D29" s="12" t="n">
        <ns0:v>0</ns0:v>
      </ns0:c>
      <ns0:c r="E29" s="12" t="inlineStr">
        <ns0:is>
          <ns0:t>서도의 ‘서’는 서쪽을 뜻해요. 동쪽의 큰 섬은 동도예요.</ns0:t>
        </ns0:is>
      </ns0:c>
      <ns0:c r="F29" s="12" t="inlineStr">
        <ns0:is>
          <ns0:t>Seodo</ns0:t>
        </ns0:is>
      </ns0:c>
      <ns0:c r="G29" s="12" t="inlineStr">
        <ns0:is>
          <ns0:t>“Seo” means west. The eastern island is Dongdo.</ns0:t>
        </ns0:is>
      </ns0:c>
    </ns0:row>
    <ns0:row r="30" ht="33" customHeight="1">
      <ns0:c r="A30" s="10" t="n">
        <ns0:v>920009</ns0:v>
      </ns0:c>
      <ns0:c r="B30" s="10" t="inlineStr">
        <ns0:is>
          <ns0:t>a</ns0:t>
        </ns0:is>
      </ns0:c>
      <ns0:c r="C30" s="10" t="inlineStr">
        <ns0:is>
          <ns0:t>동도</ns0:t>
        </ns0:is>
      </ns0:c>
      <ns0:c r="D30" s="10" t="n">
        <ns0:v>1</ns0:v>
      </ns0:c>
      <ns0:c r="E30" s="10" t="inlineStr">
        <ns0:is>
          <ns0:t>동도의 ‘동’은 동쪽을 뜻해요. 서도보다 동쪽에 있는 큰 섬이에요.</ns0:t>
        </ns0:is>
      </ns0:c>
      <ns0:c r="F30" s="10" t="inlineStr">
        <ns0:is>
          <ns0:t>Dongdo</ns0:t>
        </ns0:is>
      </ns0:c>
      <ns0:c r="G30" s="10" t="inlineStr">
        <ns0:is>
          <ns0:t>“Dong” means east; Dongdo is the eastern main island.</ns0:t>
        </ns0:is>
      </ns0:c>
    </ns0:row>
    <ns0:row r="31" ht="33" customHeight="1">
      <ns0:c r="A31" s="12" t="n">
        <ns0:v>920010</ns0:v>
      </ns0:c>
      <ns0:c r="B31" s="12" t="inlineStr">
        <ns0:is>
          <ns0:t>a</ns0:t>
        </ns0:is>
      </ns0:c>
      <ns0:c r="C31" s="12" t="inlineStr">
        <ns0:is>
          <ns0:t>서도</ns0:t>
        </ns0:is>
      </ns0:c>
      <ns0:c r="D31" s="12" t="n">
        <ns0:v>1</ns0:v>
      </ns0:c>
      <ns0:c r="E31" s="12" t="inlineStr">
        <ns0:is>
          <ns0:t>서쪽 큰 섬은 서도이고, 동쪽 큰 섬은 동도예요.</ns0:t>
        </ns0:is>
      </ns0:c>
      <ns0:c r="F31" s="12" t="inlineStr">
        <ns0:is>
          <ns0:t>Seodo</ns0:t>
        </ns0:is>
      </ns0:c>
      <ns0:c r="G31" s="12" t="inlineStr">
        <ns0:is>
          <ns0:t>Seodo is the western island; Dongdo is the eastern one.</ns0:t>
        </ns0:is>
      </ns0:c>
    </ns0:row>
    <ns0:row r="32" ht="33" customHeight="1">
      <ns0:c r="A32" s="10" t="n">
        <ns0:v>920010</ns0:v>
      </ns0:c>
      <ns0:c r="B32" s="10" t="inlineStr">
        <ns0:is>
          <ns0:t>b</ns0:t>
        </ns0:is>
      </ns0:c>
      <ns0:c r="C32" s="10" t="inlineStr">
        <ns0:is>
          <ns0:t>동도</ns0:t>
        </ns0:is>
      </ns0:c>
      <ns0:c r="D32" s="10" t="n">
        <ns0:v>0</ns0:v>
      </ns0:c>
      <ns0:c r="E32" s="10" t="inlineStr">
        <ns0:is>
          <ns0:t>동도는 동쪽 섬의 이름이므로 서쪽에 붙이면 두 이름이 뒤바뀌어요.</ns0:t>
        </ns0:is>
      </ns0:c>
      <ns0:c r="F32" s="10" t="inlineStr">
        <ns0:is>
          <ns0:t>Dongdo</ns0:t>
        </ns0:is>
      </ns0:c>
      <ns0:c r="G32" s="10" t="inlineStr">
        <ns0:is>
          <ns0:t>Dongdo names the eastern island; placing it on the western one swaps the labels.</ns0:t>
        </ns0:is>
      </ns0:c>
    </ns0:row>
    <ns0:row r="33" ht="33" customHeight="1">
      <ns0:c r="A33" s="12" t="n">
        <ns0:v>920011</ns0:v>
      </ns0:c>
      <ns0:c r="B33" s="12" t="inlineStr">
        <ns0:is>
          <ns0:t>b</ns0:t>
        </ns0:is>
      </ns0:c>
      <ns0:c r="C33" s="12" t="inlineStr">
        <ns0:is>
          <ns0:t>동도</ns0:t>
        </ns0:is>
      </ns0:c>
      <ns0:c r="D33" s="12" t="n">
        <ns0:v>0</ns0:v>
      </ns0:c>
      <ns0:c r="E33" s="12" t="inlineStr">
        <ns0:is>
          <ns0:t>동도는 이미 동쪽 자리에 있어요. A는 서도 자리예요.</ns0:t>
        </ns0:is>
      </ns0:c>
      <ns0:c r="F33" s="12" t="inlineStr">
        <ns0:is>
          <ns0:t>Dongdo</ns0:t>
        </ns0:is>
      </ns0:c>
      <ns0:c r="G33" s="12" t="inlineStr">
        <ns0:is>
          <ns0:t>Dongdo is already shown at the eastern position. A is Seodo.</ns0:t>
        </ns0:is>
      </ns0:c>
    </ns0:row>
    <ns0:row r="34" ht="33" customHeight="1">
      <ns0:c r="A34" s="10" t="n">
        <ns0:v>920011</ns0:v>
      </ns0:c>
      <ns0:c r="B34" s="10" t="inlineStr">
        <ns0:is>
          <ns0:t>a</ns0:t>
        </ns0:is>
      </ns0:c>
      <ns0:c r="C34" s="10" t="inlineStr">
        <ns0:is>
          <ns0:t>서도</ns0:t>
        </ns0:is>
      </ns0:c>
      <ns0:c r="D34" s="10" t="n">
        <ns0:v>1</ns0:v>
      </ns0:c>
      <ns0:c r="E34" s="10" t="inlineStr">
        <ns0:is>
          <ns0:t>A는 서쪽 자리에 있으므로 서도예요. 오른쪽 동도와 짝을 이루어요.</ns0:t>
        </ns0:is>
      </ns0:c>
      <ns0:c r="F34" s="10" t="inlineStr">
        <ns0:is>
          <ns0:t>Seodo</ns0:t>
        </ns0:is>
      </ns0:c>
      <ns0:c r="G34" s="10" t="inlineStr">
        <ns0:is>
          <ns0:t>A occupies the western position, so it is Seodo.</ns0:t>
        </ns0:is>
      </ns0:c>
    </ns0:row>
    <ns0:row r="35" ht="33" customHeight="1">
      <ns0:c r="A35" s="12" t="n">
        <ns0:v>920012</ns0:v>
      </ns0:c>
      <ns0:c r="B35" s="12" t="inlineStr">
        <ns0:is>
          <ns0:t>a</ns0:t>
        </ns0:is>
      </ns0:c>
      <ns0:c r="C35" s="12" t="inlineStr">
        <ns0:is>
          <ns0:t>왼쪽</ns0:t>
        </ns0:is>
      </ns0:c>
      <ns0:c r="D35" s="12" t="n">
        <ns0:v>1</ns0:v>
      </ns0:c>
      <ns0:c r="E35" s="12" t="inlineStr">
        <ns0:is>
          <ns0:t>이 위치표에서는 동쪽이 왼쪽이에요. 동쪽 섬인 동도도 왼쪽에 놓여요.</ns0:t>
        </ns0:is>
      </ns0:c>
      <ns0:c r="F35" s="12" t="inlineStr">
        <ns0:is>
          <ns0:t>Left</ns0:t>
        </ns0:is>
      </ns0:c>
      <ns0:c r="G35" s="12" t="inlineStr">
        <ns0:is>
          <ns0:t>East points left in this key, so the eastern island, Dongdo, is on the left.</ns0:t>
        </ns0:is>
      </ns0:c>
    </ns0:row>
    <ns0:row r="36" ht="33" customHeight="1">
      <ns0:c r="A36" s="10" t="n">
        <ns0:v>920012</ns0:v>
      </ns0:c>
      <ns0:c r="B36" s="10" t="inlineStr">
        <ns0:is>
          <ns0:t>b</ns0:t>
        </ns0:is>
      </ns0:c>
      <ns0:c r="C36" s="10" t="inlineStr">
        <ns0:is>
          <ns0:t>오른쪽</ns0:t>
        </ns0:is>
      </ns0:c>
      <ns0:c r="D36" s="10" t="n">
        <ns0:v>0</ns0:v>
      </ns0:c>
      <ns0:c r="E36" s="10" t="inlineStr">
        <ns0:is>
          <ns0:t>오른쪽은 이 표에서 서쪽이에요. 화면의 오른쪽이 늘 동쪽인 것은 아니에요.</ns0:t>
        </ns0:is>
      </ns0:c>
      <ns0:c r="F36" s="10" t="inlineStr">
        <ns0:is>
          <ns0:t>Right</ns0:t>
        </ns0:is>
      </ns0:c>
      <ns0:c r="G36" s="10" t="inlineStr">
        <ns0:is>
          <ns0:t>Right is west in this key. East is not always on the screen’s right.</ns0:t>
        </ns0:is>
      </ns0:c>
    </ns0:row>
    <ns0:row r="37" ht="33" customHeight="1">
      <ns0:c r="A37" s="12" t="n">
        <ns0:v>920013</ns0:v>
      </ns0:c>
      <ns0:c r="B37" s="12" t="inlineStr">
        <ns0:is>
          <ns0:t>a</ns0:t>
        </ns0:is>
      </ns0:c>
      <ns0:c r="C37" s="12" t="inlineStr">
        <ns0:is>
          <ns0:t>맑고 시야가 트인 날</ns0:t>
        </ns0:is>
      </ns0:c>
      <ns0:c r="D37" s="12" t="n">
        <ns0:v>1</ns0:v>
      </ns0:c>
      <ns0:c r="E37" s="12" t="inlineStr">
        <ns0:is>
          <ns0:t>맑고 시야가 트여야 멀리 있는 독도를 볼 수 있어요.</ns0:t>
        </ns0:is>
      </ns0:c>
      <ns0:c r="F37" s="12" t="inlineStr">
        <ns0:is>
          <ns0:t>Clear weather with good visibility</ns0:t>
        </ns0:is>
      </ns0:c>
      <ns0:c r="G37" s="12" t="inlineStr">
        <ns0:is>
          <ns0:t>Clear air allows a distant island such as Dokdo to be visible.</ns0:t>
        </ns0:is>
      </ns0:c>
    </ns0:row>
    <ns0:row r="38" ht="33" customHeight="1">
      <ns0:c r="A38" s="10" t="n">
        <ns0:v>920013</ns0:v>
      </ns0:c>
      <ns0:c r="B38" s="10" t="inlineStr">
        <ns0:is>
          <ns0:t>b</ns0:t>
        </ns0:is>
      </ns0:c>
      <ns0:c r="C38" s="10" t="inlineStr">
        <ns0:is>
          <ns0:t>짙은 안개가 낀 날</ns0:t>
        </ns0:is>
      </ns0:c>
      <ns0:c r="D38" s="10" t="n">
        <ns0:v>0</ns0:v>
      </ns0:c>
      <ns0:c r="E38" s="10" t="inlineStr">
        <ns0:is>
          <ns0:t>짙은 안개는 시야를 가려 먼 독도를 보기 어렵게 해요.</ns0:t>
        </ns0:is>
      </ns0:c>
      <ns0:c r="F38" s="10" t="inlineStr">
        <ns0:is>
          <ns0:t>Dense fog</ns0:t>
        </ns0:is>
      </ns0:c>
      <ns0:c r="G38" s="10" t="inlineStr">
        <ns0:is>
          <ns0:t>Dense fog obscures distant objects.</ns0:t>
        </ns0:is>
      </ns0:c>
    </ns0:row>
    <ns0:row r="39" ht="33" customHeight="1">
      <ns0:c r="A39" s="12" t="n">
        <ns0:v>920013</ns0:v>
      </ns0:c>
      <ns0:c r="B39" s="12" t="inlineStr">
        <ns0:is>
          <ns0:t>c</ns0:t>
        </ns0:is>
      </ns0:c>
      <ns0:c r="C39" s="12" t="inlineStr">
        <ns0:is>
          <ns0:t>앞이 흐릴 만큼 비가 오는 날</ns0:t>
        </ns0:is>
      </ns0:c>
      <ns0:c r="D39" s="12" t="n">
        <ns0:v>0</ns0:v>
      </ns0:c>
      <ns0:c r="E39" s="12" t="inlineStr">
        <ns0:is>
          <ns0:t>비가 앞을 가리면 멀리 있는 섬을 구별하기 어려워요.</ns0:t>
        </ns0:is>
      </ns0:c>
      <ns0:c r="F39" s="12" t="inlineStr">
        <ns0:is>
          <ns0:t>Rain that obscures the view</ns0:t>
        </ns0:is>
      </ns0:c>
      <ns0:c r="G39" s="12" t="inlineStr">
        <ns0:is>
          <ns0:t>Rain that obscures the view makes a distant island harder to distinguish.</ns0:t>
        </ns0:is>
      </ns0:c>
    </ns0:row>
    <ns0:row r="40" ht="33" customHeight="1">
      <ns0:c r="A40" s="10" t="n">
        <ns0:v>920014</ns0:v>
      </ns0:c>
      <ns0:c r="B40" s="10" t="inlineStr">
        <ns0:is>
          <ns0:t>b</ns0:t>
        </ns0:is>
      </ns0:c>
      <ns0:c r="C40" s="10" t="inlineStr">
        <ns0:is>
          <ns0:t>짙은 안개가 바다를 덮음</ns0:t>
        </ns0:is>
      </ns0:c>
      <ns0:c r="D40" s="10" t="n">
        <ns0:v>0</ns0:v>
      </ns0:c>
      <ns0:c r="E40" s="10" t="inlineStr">
        <ns0:is>
          <ns0:t>짙은 안개는 멀리 있는 독도를 보는 시야를 가려요.</ns0:t>
        </ns0:is>
      </ns0:c>
      <ns0:c r="F40" s="10" t="inlineStr">
        <ns0:is>
          <ns0:t>Dense fog over the sea</ns0:t>
        </ns0:is>
      </ns0:c>
      <ns0:c r="G40" s="10" t="inlineStr">
        <ns0:is>
          <ns0:t>Dense fog obscures the view of distant Dokdo.</ns0:t>
        </ns0:is>
      </ns0:c>
    </ns0:row>
    <ns0:row r="41" ht="33" customHeight="1">
      <ns0:c r="A41" s="12" t="n">
        <ns0:v>920014</ns0:v>
      </ns0:c>
      <ns0:c r="B41" s="12" t="inlineStr">
        <ns0:is>
          <ns0:t>a</ns0:t>
        </ns0:is>
      </ns0:c>
      <ns0:c r="C41" s="12" t="inlineStr">
        <ns0:is>
          <ns0:t>안개가 적고 시야가 맑음</ns0:t>
        </ns0:is>
      </ns0:c>
      <ns0:c r="D41" s="12" t="n">
        <ns0:v>1</ns0:v>
      </ns0:c>
      <ns0:c r="E41" s="12" t="inlineStr">
        <ns0:is>
          <ns0:t>멀리 있는 섬을 보려면 시야를 가리는 안개 등이 적어야 해요.</ns0:t>
        </ns0:is>
      </ns0:c>
      <ns0:c r="F41" s="12" t="inlineStr">
        <ns0:is>
          <ns0:t>Little fog and clear visibility</ns0:t>
        </ns0:is>
      </ns0:c>
      <ns0:c r="G41" s="12" t="inlineStr">
        <ns0:is>
          <ns0:t>Distant viewing requires conditions with little obscuring fog.</ns0:t>
        </ns0:is>
      </ns0:c>
    </ns0:row>
    <ns0:row r="42" ht="33" customHeight="1">
      <ns0:c r="A42" s="10" t="n">
        <ns0:v>920014</ns0:v>
      </ns0:c>
      <ns0:c r="B42" s="10" t="inlineStr">
        <ns0:is>
          <ns0:t>c</ns0:t>
        </ns0:is>
      </ns0:c>
      <ns0:c r="C42" s="10" t="inlineStr">
        <ns0:is>
          <ns0:t>비가 강하게 내려 시야가 흐림</ns0:t>
        </ns0:is>
      </ns0:c>
      <ns0:c r="D42" s="10" t="n">
        <ns0:v>0</ns0:v>
      </ns0:c>
      <ns0:c r="E42" s="10" t="inlineStr">
        <ns0:is>
          <ns0:t>시야를 가리는 비는 맑은 날의 관찰 조건과 달라요.</ns0:t>
        </ns0:is>
      </ns0:c>
      <ns0:c r="F42" s="10" t="inlineStr">
        <ns0:is>
          <ns0:t>Heavy rain reducing visibility</ns0:t>
        </ns0:is>
      </ns0:c>
      <ns0:c r="G42" s="10" t="inlineStr">
        <ns0:is>
          <ns0:t>Rain that obscures visibility differs from the clear conditions needed.</ns0:t>
        </ns0:is>
      </ns0:c>
    </ns0:row>
    <ns0:row r="43" ht="33" customHeight="1">
      <ns0:c r="A43" s="12" t="n">
        <ns0:v>920015</ns0:v>
      </ns0:c>
      <ns0:c r="B43" s="12" t="inlineStr">
        <ns0:is>
          <ns0:t>b</ns0:t>
        </ns0:is>
      </ns0:c>
      <ns0:c r="C43" s="12" t="inlineStr">
        <ns0:is>
          <ns0:t>짙은 안개가 낄 때</ns0:t>
        </ns0:is>
      </ns0:c>
      <ns0:c r="D43" s="12" t="n">
        <ns0:v>0</ns0:v>
      </ns0:c>
      <ns0:c r="E43" s="12" t="inlineStr">
        <ns0:is>
          <ns0:t>제시된 기록에는 맑은 날이라고 되어 있어요. 안개가 낀 날이라는 설명이 아니에요.</ns0:t>
        </ns0:is>
      </ns0:c>
      <ns0:c r="F43" s="12" t="inlineStr">
        <ns0:is>
          <ns0:t>When there is dense fog</ns0:t>
        </ns0:is>
      </ns0:c>
      <ns0:c r="G43" s="12" t="inlineStr">
        <ns0:is>
          <ns0:t>The supplied account says clear weather, not fog.</ns0:t>
        </ns0:is>
      </ns0:c>
    </ns0:row>
    <ns0:row r="44" ht="33" customHeight="1">
      <ns0:c r="A44" s="10" t="n">
        <ns0:v>920015</ns0:v>
      </ns0:c>
      <ns0:c r="B44" s="10" t="inlineStr">
        <ns0:is>
          <ns0:t>c</ns0:t>
        </ns0:is>
      </ns0:c>
      <ns0:c r="C44" s="10" t="inlineStr">
        <ns0:is>
          <ns0:t>계절에 상관없이 모든 날</ns0:t>
        </ns0:is>
      </ns0:c>
      <ns0:c r="D44" s="10" t="n">
        <ns0:v>0</ns0:v>
      </ns0:c>
      <ns0:c r="E44" s="10" t="inlineStr">
        <ns0:is>
          <ns0:t>기록은 ‘맑으면’이라는 조건을 달고 있어요. 모든 날 보인다고 쓰지 않았어요.</ns0:t>
        </ns0:is>
      </ns0:c>
      <ns0:c r="F44" s="10" t="inlineStr">
        <ns0:is>
          <ns0:t>Every day regardless of conditions</ns0:t>
        </ns0:is>
      </ns0:c>
      <ns0:c r="G44" s="10" t="inlineStr">
        <ns0:is>
          <ns0:t>The account gives a clear-weather condition; it does not say every day.</ns0:t>
        </ns0:is>
      </ns0:c>
    </ns0:row>
    <ns0:row r="45" ht="33" customHeight="1">
      <ns0:c r="A45" s="12" t="n">
        <ns0:v>920015</ns0:v>
      </ns0:c>
      <ns0:c r="B45" s="12" t="inlineStr">
        <ns0:is>
          <ns0:t>a</ns0:t>
        </ns0:is>
      </ns0:c>
      <ns0:c r="C45" s="12" t="inlineStr">
        <ns0:is>
          <ns0:t>날씨가 맑을 때</ns0:t>
        </ns0:is>
      </ns0:c>
      <ns0:c r="D45" s="12" t="n">
        <ns0:v>1</ns0:v>
      </ns0:c>
      <ns0:c r="E45" s="12" t="inlineStr">
        <ns0:is>
          <ns0:t>역문은 날씨가 맑으면 바라볼 수 있다고 설명해요.</ns0:t>
        </ns0:is>
      </ns0:c>
      <ns0:c r="F45" s="12" t="inlineStr">
        <ns0:is>
          <ns0:t>When the weather is clear</ns0:t>
        </ns0:is>
      </ns0:c>
      <ns0:c r="G45" s="12" t="inlineStr">
        <ns0:is>
          <ns0:t>The translation says the islands can be seen when the weather is clear.</ns0:t>
        </ns0:is>
      </ns0:c>
    </ns0:row>
    <ns0:row r="46" ht="33" customHeight="1">
      <ns0:c r="A46" s="10" t="n">
        <ns0:v>920016</ns0:v>
      </ns0:c>
      <ns0:c r="B46" s="10" t="inlineStr">
        <ns0:is>
          <ns0:t>b</ns0:t>
        </ns0:is>
      </ns0:c>
      <ns0:c r="C46" s="10" t="inlineStr">
        <ns0:is>
          <ns0:t>B일</ns0:t>
        </ns0:is>
      </ns0:c>
      <ns0:c r="D46" s="10" t="n">
        <ns0:v>0</ns0:v>
      </ns0:c>
      <ns0:c r="E46" s="10" t="inlineStr">
        <ns0:is>
          <ns0:t>B일의 짙은 안개는 독도를 향한 시야를 가려요.</ns0:t>
        </ns0:is>
      </ns0:c>
      <ns0:c r="F46" s="10" t="inlineStr">
        <ns0:is>
          <ns0:t>Day B</ns0:t>
        </ns0:is>
      </ns0:c>
      <ns0:c r="G46" s="10" t="inlineStr">
        <ns0:is>
          <ns0:t>Dense fog on day B obscures the view toward Dokdo.</ns0:t>
        </ns0:is>
      </ns0:c>
    </ns0:row>
    <ns0:row r="47" ht="33" customHeight="1">
      <ns0:c r="A47" s="12" t="n">
        <ns0:v>920016</ns0:v>
      </ns0:c>
      <ns0:c r="B47" s="12" t="inlineStr">
        <ns0:is>
          <ns0:t>a</ns0:t>
        </ns0:is>
      </ns0:c>
      <ns0:c r="C47" s="12" t="inlineStr">
        <ns0:is>
          <ns0:t>A일</ns0:t>
        </ns0:is>
      </ns0:c>
      <ns0:c r="D47" s="12" t="n">
        <ns0:v>1</ns0:v>
      </ns0:c>
      <ns0:c r="E47" s="12" t="inlineStr">
        <ns0:is>
          <ns0:t>A일은 시야가 맑아 멀리 있는 독도를 바라보기에 더 적합해요.</ns0:t>
        </ns0:is>
      </ns0:c>
      <ns0:c r="F47" s="12" t="inlineStr">
        <ns0:is>
          <ns0:t>Day A</ns0:t>
        </ns0:is>
      </ns0:c>
      <ns0:c r="G47" s="12" t="inlineStr">
        <ns0:is>
          <ns0:t>Day A has clearer visibility for viewing the distant islands.</ns0:t>
        </ns0:is>
      </ns0:c>
    </ns0:row>
    <ns0:row r="48" ht="33" customHeight="1">
      <ns0:c r="A48" s="10" t="n">
        <ns0:v>920017</ns0:v>
      </ns0:c>
      <ns0:c r="B48" s="10" t="inlineStr">
        <ns0:is>
          <ns0:t>a</ns0:t>
        </ns0:is>
      </ns0:c>
      <ns0:c r="C48" s="10" t="inlineStr">
        <ns0:is>
          <ns0:t>동도와 서도</ns0:t>
        </ns0:is>
      </ns0:c>
      <ns0:c r="D48" s="10" t="n">
        <ns0:v>1</ns0:v>
      </ns0:c>
      <ns0:c r="E48" s="10" t="inlineStr">
        <ns0:is>
          <ns0:t>부속 도서 89개에 동도와 서도 두 큰 섬을 따로 더해 구성해요.</ns0:t>
        </ns0:is>
      </ns0:c>
      <ns0:c r="F48" s="10" t="inlineStr">
        <ns0:is>
          <ns0:t>Dongdo and Seodo</ns0:t>
        </ns0:is>
      </ns0:c>
      <ns0:c r="G48" s="10" t="inlineStr">
        <ns0:is>
          <ns0:t>The 89 associated islets are in addition to Dongdo and Seodo.</ns0:t>
        </ns0:is>
      </ns0:c>
    </ns0:row>
    <ns0:row r="49" ht="38" customHeight="1">
      <ns0:c r="A49" s="12" t="n">
        <ns0:v>920017</ns0:v>
      </ns0:c>
      <ns0:c r="B49" s="12" t="inlineStr">
        <ns0:is>
          <ns0:t>b</ns0:t>
        </ns0:is>
      </ns0:c>
      <ns0:c r="C49" s="12" t="inlineStr">
        <ns0:is>
          <ns0:t>울릉도와 독도</ns0:t>
        </ns0:is>
      </ns0:c>
      <ns0:c r="D49" s="12" t="n">
        <ns0:v>0</ns0:v>
      </ns0:c>
      <ns0:c r="E49" s="12" t="inlineStr">
        <ns0:is>
          <ns0:t>독도는 구성 전체의 이름이고, 울릉도는 별개예요. 따로 구분하는 큰 섬은 동도·서도예요.</ns0:t>
        </ns0:is>
      </ns0:c>
      <ns0:c r="F49" s="12" t="inlineStr">
        <ns0:is>
          <ns0:t>Ulleungdo and Dokdo</ns0:t>
        </ns0:is>
      </ns0:c>
      <ns0:c r="G49" s="12" t="inlineStr">
        <ns0:is>
          <ns0:t>Dokdo names the whole group and Ulleungdo is separate; the main islands are Dongdo and Seodo.</ns0:t>
        </ns0:is>
      </ns0:c>
    </ns0:row>
    <ns0:row r="50" ht="33" customHeight="1">
      <ns0:c r="A50" s="10" t="n">
        <ns0:v>920017</ns0:v>
      </ns0:c>
      <ns0:c r="B50" s="10" t="inlineStr">
        <ns0:is>
          <ns0:t>c</ns0:t>
        </ns0:is>
      </ns0:c>
      <ns0:c r="C50" s="10" t="inlineStr">
        <ns0:is>
          <ns0:t>동도와 울릉도</ns0:t>
        </ns0:is>
      </ns0:c>
      <ns0:c r="D50" s="10" t="n">
        <ns0:v>0</ns0:v>
      </ns0:c>
      <ns0:c r="E50" s="10" t="inlineStr">
        <ns0:is>
          <ns0:t>울릉도 대신 서도가 들어가야 해요.</ns0:t>
        </ns0:is>
      </ns0:c>
      <ns0:c r="F50" s="10" t="inlineStr">
        <ns0:is>
          <ns0:t>Dongdo and Ulleungdo</ns0:t>
        </ns0:is>
      </ns0:c>
      <ns0:c r="G50" s="10" t="inlineStr">
        <ns0:is>
          <ns0:t>Seodo, not Ulleungdo, is the other main island.</ns0:t>
        </ns0:is>
      </ns0:c>
    </ns0:row>
    <ns0:row r="51" ht="33" customHeight="1">
      <ns0:c r="A51" s="12" t="n">
        <ns0:v>920018</ns0:v>
      </ns0:c>
      <ns0:c r="B51" s="12" t="inlineStr">
        <ns0:is>
          <ns0:t>a</ns0:t>
        </ns0:is>
      </ns0:c>
      <ns0:c r="C51" s="12" t="inlineStr">
        <ns0:is>
          <ns0:t>91개</ns0:t>
        </ns0:is>
      </ns0:c>
      <ns0:c r="D51" s="12" t="n">
        <ns0:v>1</ns0:v>
      </ns0:c>
      <ns0:c r="E51" s="12" t="inlineStr">
        <ns0:is>
          <ns0:t>두 큰 섬 2개와 부속 도서 89개를 더하면 91개예요.</ns0:t>
        </ns0:is>
      </ns0:c>
      <ns0:c r="F51" s="12" t="inlineStr">
        <ns0:is>
          <ns0:t>91</ns0:t>
        </ns0:is>
      </ns0:c>
      <ns0:c r="G51" s="12" t="inlineStr">
        <ns0:is>
          <ns0:t>Two main islands plus 89 associated islets equals 91.</ns0:t>
        </ns0:is>
      </ns0:c>
    </ns0:row>
    <ns0:row r="52" ht="33" customHeight="1">
      <ns0:c r="A52" s="10" t="n">
        <ns0:v>920018</ns0:v>
      </ns0:c>
      <ns0:c r="B52" s="10" t="inlineStr">
        <ns0:is>
          <ns0:t>b</ns0:t>
        </ns0:is>
      </ns0:c>
      <ns0:c r="C52" s="10" t="inlineStr">
        <ns0:is>
          <ns0:t>89개</ns0:t>
        </ns0:is>
      </ns0:c>
      <ns0:c r="D52" s="10" t="n">
        <ns0:v>0</ns0:v>
      </ns0:c>
      <ns0:c r="E52" s="10" t="inlineStr">
        <ns0:is>
          <ns0:t>89개는 두 큰 섬을 뺀 부속 도서의 수예요.</ns0:t>
        </ns0:is>
      </ns0:c>
      <ns0:c r="F52" s="10" t="inlineStr">
        <ns0:is>
          <ns0:t>89</ns0:t>
        </ns0:is>
      </ns0:c>
      <ns0:c r="G52" s="10" t="inlineStr">
        <ns0:is>
          <ns0:t>89 counts only the associated islets.</ns0:t>
        </ns0:is>
      </ns0:c>
    </ns0:row>
    <ns0:row r="53" ht="33" customHeight="1">
      <ns0:c r="A53" s="12" t="n">
        <ns0:v>920018</ns0:v>
      </ns0:c>
      <ns0:c r="B53" s="12" t="inlineStr">
        <ns0:is>
          <ns0:t>c</ns0:t>
        </ns0:is>
      </ns0:c>
      <ns0:c r="C53" s="12" t="inlineStr">
        <ns0:is>
          <ns0:t>90개</ns0:t>
        </ns0:is>
      </ns0:c>
      <ns0:c r="D53" s="12" t="n">
        <ns0:v>0</ns0:v>
      </ns0:c>
      <ns0:c r="E53" s="12" t="inlineStr">
        <ns0:is>
          <ns0:t>두 큰 섬 중 하나만 더한 수예요. 동도와 서도를 모두 더해야 해요.</ns0:t>
        </ns0:is>
      </ns0:c>
      <ns0:c r="F53" s="12" t="inlineStr">
        <ns0:is>
          <ns0:t>90</ns0:t>
        </ns0:is>
      </ns0:c>
      <ns0:c r="G53" s="12" t="inlineStr">
        <ns0:is>
          <ns0:t>90 adds only one main island; both Dongdo and Seodo must be included.</ns0:t>
        </ns0:is>
      </ns0:c>
    </ns0:row>
    <ns0:row r="54" ht="33" customHeight="1">
      <ns0:c r="A54" s="10" t="n">
        <ns0:v>920018</ns0:v>
      </ns0:c>
      <ns0:c r="B54" s="10" t="inlineStr">
        <ns0:is>
          <ns0:t>d</ns0:t>
        </ns0:is>
      </ns0:c>
      <ns0:c r="C54" s="10" t="inlineStr">
        <ns0:is>
          <ns0:t>93개</ns0:t>
        </ns0:is>
      </ns0:c>
      <ns0:c r="D54" s="10" t="n">
        <ns0:v>0</ns0:v>
      </ns0:c>
      <ns0:c r="E54" s="10" t="inlineStr">
        <ns0:is>
          <ns0:t>두 큰 섬을 두 번 더하지 않아요. 89+2로 계산해요.</ns0:t>
        </ns0:is>
      </ns0:c>
      <ns0:c r="F54" s="10" t="inlineStr">
        <ns0:is>
          <ns0:t>93</ns0:t>
        </ns0:is>
      </ns0:c>
      <ns0:c r="G54" s="10" t="inlineStr">
        <ns0:is>
          <ns0:t>Do not count the main islands twice: calculate 89 + 2.</ns0:t>
        </ns0:is>
      </ns0:c>
    </ns0:row>
    <ns0:row r="55" ht="33" customHeight="1">
      <ns0:c r="A55" s="12" t="n">
        <ns0:v>920019</ns0:v>
      </ns0:c>
      <ns0:c r="B55" s="12" t="inlineStr">
        <ns0:is>
          <ns0:t>b</ns0:t>
        </ns0:is>
      </ns0:c>
      <ns0:c r="C55" s="12" t="inlineStr">
        <ns0:is>
          <ns0:t>73,297㎡</ns0:t>
        </ns0:is>
      </ns0:c>
      <ns0:c r="D55" s="12" t="n">
        <ns0:v>0</ns0:v>
      </ns0:c>
      <ns0:c r="E55" s="12" t="inlineStr">
        <ns0:is>
          <ns0:t>73,297㎡는 동도 하나의 면적이에요.</ns0:t>
        </ns0:is>
      </ns0:c>
      <ns0:c r="F55" s="12" t="inlineStr">
        <ns0:is>
          <ns0:t>73,297 m²</ns0:t>
        </ns0:is>
      </ns0:c>
      <ns0:c r="G55" s="12" t="inlineStr">
        <ns0:is>
          <ns0:t>73,297 m² is Dongdo’s area.</ns0:t>
        </ns0:is>
      </ns0:c>
    </ns0:row>
    <ns0:row r="56" ht="33" customHeight="1">
      <ns0:c r="A56" s="10" t="n">
        <ns0:v>920019</ns0:v>
      </ns0:c>
      <ns0:c r="B56" s="10" t="inlineStr">
        <ns0:is>
          <ns0:t>a</ns0:t>
        </ns0:is>
      </ns0:c>
      <ns0:c r="C56" s="10" t="inlineStr">
        <ns0:is>
          <ns0:t>25,517㎡</ns0:t>
        </ns0:is>
      </ns0:c>
      <ns0:c r="D56" s="10" t="n">
        <ns0:v>1</ns0:v>
      </ns0:c>
      <ns0:c r="E56" s="10" t="inlineStr">
        <ns0:is>
          <ns0:t>부속 도서 행의 값이 25,517㎡예요. 전체 면적이나 큰 섬 하나의 면적과 구분해요.</ns0:t>
        </ns0:is>
      </ns0:c>
      <ns0:c r="F56" s="10" t="inlineStr">
        <ns0:is>
          <ns0:t>25,517 m²</ns0:t>
        </ns0:is>
      </ns0:c>
      <ns0:c r="G56" s="10" t="inlineStr">
        <ns0:is>
          <ns0:t>The associated-islets row is 25,517 m², not the total or a main island’s area.</ns0:t>
        </ns0:is>
      </ns0:c>
    </ns0:row>
    <ns0:row r="57" ht="33" customHeight="1">
      <ns0:c r="A57" s="12" t="n">
        <ns0:v>920019</ns0:v>
      </ns0:c>
      <ns0:c r="B57" s="12" t="inlineStr">
        <ns0:is>
          <ns0:t>c</ns0:t>
        </ns0:is>
      </ns0:c>
      <ns0:c r="C57" s="12" t="inlineStr">
        <ns0:is>
          <ns0:t>88,740㎡</ns0:t>
        </ns0:is>
      </ns0:c>
      <ns0:c r="D57" s="12" t="n">
        <ns0:v>0</ns0:v>
      </ns0:c>
      <ns0:c r="E57" s="12" t="inlineStr">
        <ns0:is>
          <ns0:t>88,740㎡는 서도 하나의 면적이에요.</ns0:t>
        </ns0:is>
      </ns0:c>
      <ns0:c r="F57" s="12" t="inlineStr">
        <ns0:is>
          <ns0:t>88,740 m²</ns0:t>
        </ns0:is>
      </ns0:c>
      <ns0:c r="G57" s="12" t="inlineStr">
        <ns0:is>
          <ns0:t>88,740 m² is Seodo’s area.</ns0:t>
        </ns0:is>
      </ns0:c>
    </ns0:row>
    <ns0:row r="58" ht="33" customHeight="1">
      <ns0:c r="A58" s="10" t="n">
        <ns0:v>920019</ns0:v>
      </ns0:c>
      <ns0:c r="B58" s="10" t="inlineStr">
        <ns0:is>
          <ns0:t>d</ns0:t>
        </ns0:is>
      </ns0:c>
      <ns0:c r="C58" s="10" t="inlineStr">
        <ns0:is>
          <ns0:t>187,554㎡</ns0:t>
        </ns0:is>
      </ns0:c>
      <ns0:c r="D58" s="10" t="n">
        <ns0:v>0</ns0:v>
      </ns0:c>
      <ns0:c r="E58" s="10" t="inlineStr">
        <ns0:is>
          <ns0:t>187,554㎡는 동도·서도·부속 도서를 모두 합친 면적이에요.</ns0:t>
        </ns0:is>
      </ns0:c>
      <ns0:c r="F58" s="10" t="inlineStr">
        <ns0:is>
          <ns0:t>187,554 m²</ns0:t>
        </ns0:is>
      </ns0:c>
      <ns0:c r="G58" s="10" t="inlineStr">
        <ns0:is>
          <ns0:t>187,554 m² is the total including both main islands.</ns0:t>
        </ns0:is>
      </ns0:c>
    </ns0:row>
    <ns0:row r="59" ht="33" customHeight="1">
      <ns0:c r="A59" s="12" t="n">
        <ns0:v>920020</ns0:v>
      </ns0:c>
      <ns0:c r="B59" s="12" t="inlineStr">
        <ns0:is>
          <ns0:t>b</ns0:t>
        </ns0:is>
      </ns0:c>
      <ns0:c r="C59" s="12" t="inlineStr">
        <ns0:is>
          <ns0:t>두 섬 사이 바다 25,517㎡</ns0:t>
        </ns0:is>
      </ns0:c>
      <ns0:c r="D59" s="12" t="n">
        <ns0:v>0</ns0:v>
      </ns0:c>
      <ns0:c r="E59" s="12" t="inlineStr">
        <ns0:is>
          <ns0:t>이 표는 땅 면적이에요. 차이는 바다가 아니라 부속 도서의 면적이에요.</ns0:t>
        </ns0:is>
      </ns0:c>
      <ns0:c r="F59" s="12" t="inlineStr">
        <ns0:is>
          <ns0:t>25,517 m² of sea between the islands</ns0:t>
        </ns0:is>
      </ns0:c>
      <ns0:c r="G59" s="12" t="inlineStr">
        <ns0:is>
          <ns0:t>The table lists land area; the difference is islet land, not sea.</ns0:t>
        </ns0:is>
      </ns0:c>
    </ns0:row>
    <ns0:row r="60" ht="33" customHeight="1">
      <ns0:c r="A60" s="10" t="n">
        <ns0:v>920020</ns0:v>
      </ns0:c>
      <ns0:c r="B60" s="10" t="inlineStr">
        <ns0:is>
          <ns0:t>a</ns0:t>
        </ns0:is>
      </ns0:c>
      <ns0:c r="C60" s="10" t="inlineStr">
        <ns0:is>
          <ns0:t>부속 도서 25,517㎡</ns0:t>
        </ns0:is>
      </ns0:c>
      <ns0:c r="D60" s="10" t="n">
        <ns0:v>1</ns0:v>
      </ns0:c>
      <ns0:c r="E60" s="10" t="inlineStr">
        <ns0:is>
          <ns0:t>187,554−73,297−88,740=25,517㎡예요. 빠진 값은 부속 도서의 땅 면적이에요.</ns0:t>
        </ns0:is>
      </ns0:c>
      <ns0:c r="F60" s="10" t="inlineStr">
        <ns0:is>
          <ns0:t>25,517 m² of associated islets</ns0:t>
        </ns0:is>
      </ns0:c>
      <ns0:c r="G60" s="10" t="inlineStr">
        <ns0:is>
          <ns0:t>187,554 − 73,297 − 88,740 = 25,517 m², the land area of the associated islets.</ns0:t>
        </ns0:is>
      </ns0:c>
    </ns0:row>
    <ns0:row r="61" ht="33" customHeight="1">
      <ns0:c r="A61" s="12" t="n">
        <ns0:v>920020</ns0:v>
      </ns0:c>
      <ns0:c r="B61" s="12" t="inlineStr">
        <ns0:is>
          <ns0:t>c</ns0:t>
        </ns0:is>
      </ns0:c>
      <ns0:c r="C61" s="12" t="inlineStr">
        <ns0:is>
          <ns0:t>울릉도 25,517㎡</ns0:t>
        </ns0:is>
      </ns0:c>
      <ns0:c r="D61" s="12" t="n">
        <ns0:v>0</ns0:v>
      </ns0:c>
      <ns0:c r="E61" s="12" t="inlineStr">
        <ns0:is>
          <ns0:t>울릉도는 독도 전체 면적에 포함되지 않아요.</ns0:t>
        </ns0:is>
      </ns0:c>
      <ns0:c r="F61" s="12" t="inlineStr">
        <ns0:is>
          <ns0:t>25,517 m² of Ulleungdo</ns0:t>
        </ns0:is>
      </ns0:c>
      <ns0:c r="G61" s="12" t="inlineStr">
        <ns0:is>
          <ns0:t>Ulleungdo is not included in Dokdo’s total area.</ns0:t>
        </ns0:is>
      </ns0:c>
    </ns0:row>
    <ns0:row r="62" ht="33" customHeight="1">
      <ns0:c r="A62" s="10" t="n">
        <ns0:v>920021</ns0:v>
      </ns0:c>
      <ns0:c r="B62" s="10" t="inlineStr">
        <ns0:is>
          <ns0:t>a</ns0:t>
        </ns0:is>
      </ns0:c>
      <ns0:c r="C62" s="10" t="inlineStr">
        <ns0:is>
          <ns0:t>서도</ns0:t>
        </ns0:is>
      </ns0:c>
      <ns0:c r="D62" s="10" t="n">
        <ns0:v>1</ns0:v>
      </ns0:c>
      <ns0:c r="E62" s="10" t="inlineStr">
        <ns0:is>
          <ns0:t>서도의 최고 높이는 168.5m로 동도의 98.6m보다 높아요.</ns0:t>
        </ns0:is>
      </ns0:c>
      <ns0:c r="F62" s="10" t="inlineStr">
        <ns0:is>
          <ns0:t>Seodo</ns0:t>
        </ns0:is>
      </ns0:c>
      <ns0:c r="G62" s="10" t="inlineStr">
        <ns0:is>
          <ns0:t>Seodo reaches 168.5 m, higher than Dongdo’s 98.6 m.</ns0:t>
        </ns0:is>
      </ns0:c>
    </ns0:row>
    <ns0:row r="63" ht="33" customHeight="1">
      <ns0:c r="A63" s="12" t="n">
        <ns0:v>920021</ns0:v>
      </ns0:c>
      <ns0:c r="B63" s="12" t="inlineStr">
        <ns0:is>
          <ns0:t>b</ns0:t>
        </ns0:is>
      </ns0:c>
      <ns0:c r="C63" s="12" t="inlineStr">
        <ns0:is>
          <ns0:t>동도</ns0:t>
        </ns0:is>
      </ns0:c>
      <ns0:c r="D63" s="12" t="n">
        <ns0:v>0</ns0:v>
      </ns0:c>
      <ns0:c r="E63" s="12" t="inlineStr">
        <ns0:is>
          <ns0:t>동도는 98.6m예요. 서도 168.5m가 더 높아요.</ns0:t>
        </ns0:is>
      </ns0:c>
      <ns0:c r="F63" s="12" t="inlineStr">
        <ns0:is>
          <ns0:t>Dongdo</ns0:t>
        </ns0:is>
      </ns0:c>
      <ns0:c r="G63" s="12" t="inlineStr">
        <ns0:is>
          <ns0:t>Dongdo reaches 98.6 m; Seodo is higher at 168.5 m.</ns0:t>
        </ns0:is>
      </ns0:c>
    </ns0:row>
    <ns0:row r="64" ht="33" customHeight="1">
      <ns0:c r="A64" s="10" t="n">
        <ns0:v>920022</ns0:v>
      </ns0:c>
      <ns0:c r="B64" s="10" t="inlineStr">
        <ns0:is>
          <ns0:t>b</ns0:t>
        </ns0:is>
      </ns0:c>
      <ns0:c r="C64" s="10" t="inlineStr">
        <ns0:is>
          <ns0:t>서도</ns0:t>
        </ns0:is>
      </ns0:c>
      <ns0:c r="D64" s="10" t="n">
        <ns0:v>0</ns0:v>
      </ns0:c>
      <ns0:c r="E64" s="10" t="inlineStr">
        <ns0:is>
          <ns0:t>서도의 최고 높이는 168.5m예요.</ns0:t>
        </ns0:is>
      </ns0:c>
      <ns0:c r="F64" s="10" t="inlineStr">
        <ns0:is>
          <ns0:t>Seodo</ns0:t>
        </ns0:is>
      </ns0:c>
      <ns0:c r="G64" s="10" t="inlineStr">
        <ns0:is>
          <ns0:t>Seodo’s maximum elevation is 168.5 m.</ns0:t>
        </ns0:is>
      </ns0:c>
    </ns0:row>
    <ns0:row r="65" ht="33" customHeight="1">
      <ns0:c r="A65" s="12" t="n">
        <ns0:v>920022</ns0:v>
      </ns0:c>
      <ns0:c r="B65" s="12" t="inlineStr">
        <ns0:is>
          <ns0:t>a</ns0:t>
        </ns0:is>
      </ns0:c>
      <ns0:c r="C65" s="12" t="inlineStr">
        <ns0:is>
          <ns0:t>동도</ns0:t>
        </ns0:is>
      </ns0:c>
      <ns0:c r="D65" s="12" t="n">
        <ns0:v>1</ns0:v>
      </ns0:c>
      <ns0:c r="E65" s="12" t="inlineStr">
        <ns0:is>
          <ns0:t>98.6m는 동도의 최고 높이예요. 서도의 값과 구분해요.</ns0:t>
        </ns0:is>
      </ns0:c>
      <ns0:c r="F65" s="12" t="inlineStr">
        <ns0:is>
          <ns0:t>Dongdo</ns0:t>
        </ns0:is>
      </ns0:c>
      <ns0:c r="G65" s="12" t="inlineStr">
        <ns0:is>
          <ns0:t>98.6 m is Dongdo’s maximum elevation.</ns0:t>
        </ns0:is>
      </ns0:c>
    </ns0:row>
    <ns0:row r="66" ht="33" customHeight="1">
      <ns0:c r="A66" s="10" t="n">
        <ns0:v>920023</ns0:v>
      </ns0:c>
      <ns0:c r="B66" s="10" t="inlineStr">
        <ns0:is>
          <ns0:t>b</ns0:t>
        </ns0:is>
      </ns0:c>
      <ns0:c r="C66" s="10" t="inlineStr">
        <ns0:is>
          <ns0:t>267.1m</ns0:t>
        </ns0:is>
      </ns0:c>
      <ns0:c r="D66" s="10" t="n">
        <ns0:v>0</ns0:v>
      </ns0:c>
      <ns0:c r="E66" s="10" t="inlineStr">
        <ns0:is>
          <ns0:t>267.1m는 두 높이를 더한 값이에요. 높이 차이는 빼서 구해요.</ns0:t>
        </ns0:is>
      </ns0:c>
      <ns0:c r="F66" s="10" t="inlineStr">
        <ns0:is>
          <ns0:t>267.1 m</ns0:t>
        </ns0:is>
      </ns0:c>
      <ns0:c r="G66" s="10" t="inlineStr">
        <ns0:is>
          <ns0:t>267.1 m is the sum; a difference requires subtraction.</ns0:t>
        </ns0:is>
      </ns0:c>
    </ns0:row>
    <ns0:row r="67" ht="33" customHeight="1">
      <ns0:c r="A67" s="12" t="n">
        <ns0:v>920023</ns0:v>
      </ns0:c>
      <ns0:c r="B67" s="12" t="inlineStr">
        <ns0:is>
          <ns0:t>c</ns0:t>
        </ns0:is>
      </ns0:c>
      <ns0:c r="C67" s="12" t="inlineStr">
        <ns0:is>
          <ns0:t>98.6m</ns0:t>
        </ns0:is>
      </ns0:c>
      <ns0:c r="D67" s="12" t="n">
        <ns0:v>0</ns0:v>
      </ns0:c>
      <ns0:c r="E67" s="12" t="inlineStr">
        <ns0:is>
          <ns0:t>98.6m는 동도의 높이 자체이고 두 섬의 높이 차이는 아니에요.</ns0:t>
        </ns0:is>
      </ns0:c>
      <ns0:c r="F67" s="12" t="inlineStr">
        <ns0:is>
          <ns0:t>98.6 m</ns0:t>
        </ns0:is>
      </ns0:c>
      <ns0:c r="G67" s="12" t="inlineStr">
        <ns0:is>
          <ns0:t>98.6 m is Dongdo’s elevation, not the difference.</ns0:t>
        </ns0:is>
      </ns0:c>
    </ns0:row>
    <ns0:row r="68" ht="33" customHeight="1">
      <ns0:c r="A68" s="10" t="n">
        <ns0:v>920023</ns0:v>
      </ns0:c>
      <ns0:c r="B68" s="10" t="inlineStr">
        <ns0:is>
          <ns0:t>a</ns0:t>
        </ns0:is>
      </ns0:c>
      <ns0:c r="C68" s="10" t="inlineStr">
        <ns0:is>
          <ns0:t>69.9m</ns0:t>
        </ns0:is>
      </ns0:c>
      <ns0:c r="D68" s="10" t="n">
        <ns0:v>1</ns0:v>
      </ns0:c>
      <ns0:c r="E68" s="10" t="inlineStr">
        <ns0:is>
          <ns0:t>168.5−98.6=69.9m예요. 두 최고 높이를 같은 단위로 빼요.</ns0:t>
        </ns0:is>
      </ns0:c>
      <ns0:c r="F68" s="10" t="inlineStr">
        <ns0:is>
          <ns0:t>69.9 m</ns0:t>
        </ns0:is>
      </ns0:c>
      <ns0:c r="G68" s="10" t="inlineStr">
        <ns0:is>
          <ns0:t>Subtracting the two elevations gives 168.5 − 98.6 = 69.9 m.</ns0:t>
        </ns0:is>
      </ns0:c>
    </ns0:row>
    <ns0:row r="69" ht="33" customHeight="1">
      <ns0:c r="A69" s="12" t="n">
        <ns0:v>920023</ns0:v>
      </ns0:c>
      <ns0:c r="B69" s="12" t="inlineStr">
        <ns0:is>
          <ns0:t>d</ns0:t>
        </ns0:is>
      </ns0:c>
      <ns0:c r="C69" s="12" t="inlineStr">
        <ns0:is>
          <ns0:t>151m</ns0:t>
        </ns0:is>
      </ns0:c>
      <ns0:c r="D69" s="12" t="n">
        <ns0:v>0</ns0:v>
      </ns0:c>
      <ns0:c r="E69" s="12" t="inlineStr">
        <ns0:is>
          <ns0:t>151m는 두 섬의 해안 사이 거리로 쓰는 값이에요. 이 높이 차이와 다릅니다.</ns0:t>
        </ns0:is>
      </ns0:c>
      <ns0:c r="F69" s="12" t="inlineStr">
        <ns0:is>
          <ns0:t>151 m</ns0:t>
        </ns0:is>
      </ns0:c>
      <ns0:c r="G69" s="12" t="inlineStr">
        <ns0:is>
          <ns0:t>151 m describes the shore-to-shore gap, not the elevation difference.</ns0:t>
        </ns0:is>
      </ns0:c>
    </ns0:row>
    <ns0:row r="70" ht="33" customHeight="1">
      <ns0:c r="A70" s="10" t="n">
        <ns0:v>920024</ns0:v>
      </ns0:c>
      <ns0:c r="B70" s="10" t="inlineStr">
        <ns0:is>
          <ns0:t>b</ns0:t>
        </ns0:is>
      </ns0:c>
      <ns0:c r="C70" s="10" t="inlineStr">
        <ns0:is>
          <ns0:t>동도만</ns0:t>
        </ns0:is>
      </ns0:c>
      <ns0:c r="D70" s="10" t="n">
        <ns0:v>0</ns0:v>
      </ns0:c>
      <ns0:c r="E70" s="10" t="inlineStr">
        <ns0:is>
          <ns0:t>동도는 최고점도 100m에 못 미쳐요. 100m를 넘는 것은 서도예요.</ns0:t>
        </ns0:is>
      </ns0:c>
      <ns0:c r="F70" s="10" t="inlineStr">
        <ns0:is>
          <ns0:t>Dongdo only</ns0:t>
        </ns0:is>
      </ns0:c>
      <ns0:c r="G70" s="10" t="inlineStr">
        <ns0:is>
          <ns0:t>Dongdo’s peak is below 100 m; Seodo exceeds it.</ns0:t>
        </ns0:is>
      </ns0:c>
    </ns0:row>
    <ns0:row r="71" ht="33" customHeight="1">
      <ns0:c r="A71" s="12" t="n">
        <ns0:v>920024</ns0:v>
      </ns0:c>
      <ns0:c r="B71" s="12" t="inlineStr">
        <ns0:is>
          <ns0:t>c</ns0:t>
        </ns0:is>
      </ns0:c>
      <ns0:c r="C71" s="12" t="inlineStr">
        <ns0:is>
          <ns0:t>두 섬 모두</ns0:t>
        </ns0:is>
      </ns0:c>
      <ns0:c r="D71" s="12" t="n">
        <ns0:v>0</ns0:v>
      </ns0:c>
      <ns0:c r="E71" s="12" t="inlineStr">
        <ns0:is>
          <ns0:t>동도의 98.6m는 100m보다 낮으므로 두 섬 모두는 아니에요.</ns0:t>
        </ns0:is>
      </ns0:c>
      <ns0:c r="F71" s="12" t="inlineStr">
        <ns0:is>
          <ns0:t>Both islands</ns0:t>
        </ns0:is>
      </ns0:c>
      <ns0:c r="G71" s="12" t="inlineStr">
        <ns0:is>
          <ns0:t>Dongdo’s 98.6 m is below 100 m.</ns0:t>
        </ns0:is>
      </ns0:c>
    </ns0:row>
    <ns0:row r="72" ht="33" customHeight="1">
      <ns0:c r="A72" s="10" t="n">
        <ns0:v>920024</ns0:v>
      </ns0:c>
      <ns0:c r="B72" s="10" t="inlineStr">
        <ns0:is>
          <ns0:t>d</ns0:t>
        </ns0:is>
      </ns0:c>
      <ns0:c r="C72" s="10" t="inlineStr">
        <ns0:is>
          <ns0:t>어느 섬도 없음</ns0:t>
        </ns0:is>
      </ns0:c>
      <ns0:c r="D72" s="10" t="n">
        <ns0:v>0</ns0:v>
      </ns0:c>
      <ns0:c r="E72" s="10" t="inlineStr">
        <ns0:is>
          <ns0:t>서도의 168.5m는 100m보다 높아요.</ns0:t>
        </ns0:is>
      </ns0:c>
      <ns0:c r="F72" s="10" t="inlineStr">
        <ns0:is>
          <ns0:t>Neither island</ns0:t>
        </ns0:is>
      </ns0:c>
      <ns0:c r="G72" s="10" t="inlineStr">
        <ns0:is>
          <ns0:t>Seodo’s 168.5 m is above 100 m.</ns0:t>
        </ns0:is>
      </ns0:c>
    </ns0:row>
    <ns0:row r="73" ht="38" customHeight="1">
      <ns0:c r="A73" s="12" t="n">
        <ns0:v>920024</ns0:v>
      </ns0:c>
      <ns0:c r="B73" s="12" t="inlineStr">
        <ns0:is>
          <ns0:t>a</ns0:t>
        </ns0:is>
      </ns0:c>
      <ns0:c r="C73" s="12" t="inlineStr">
        <ns0:is>
          <ns0:t>서도만</ns0:t>
        </ns0:is>
      </ns0:c>
      <ns0:c r="D73" s="12" t="n">
        <ns0:v>1</ns0:v>
      </ns0:c>
      <ns0:c r="E73" s="12" t="inlineStr">
        <ns0:is>
          <ns0:t>서도는 168.5m까지 올라가지만 동도의 최고점은 98.6m예요. 동도에 100m 지점을 표시하면 최고 높이를 넘어요.</ns0:t>
        </ns0:is>
      </ns0:c>
      <ns0:c r="F73" s="12" t="inlineStr">
        <ns0:is>
          <ns0:t>Seodo only</ns0:t>
        </ns0:is>
      </ns0:c>
      <ns0:c r="G73" s="12" t="inlineStr">
        <ns0:is>
          <ns0:t>Seodo reaches 168.5 m; Dongdo peaks at 98.6 m and therefore has no point at 100 m.</ns0:t>
        </ns0:is>
      </ns0:c>
    </ns0:row>
    <ns0:row r="74" ht="33" customHeight="1">
      <ns0:c r="A74" s="10" t="n">
        <ns0:v>920025</ns0:v>
      </ns0:c>
      <ns0:c r="B74" s="10" t="inlineStr">
        <ns0:is>
          <ns0:t>a</ns0:t>
        </ns0:is>
      </ns0:c>
      <ns0:c r="C74" s="10" t="inlineStr">
        <ns0:is>
          <ns0:t>서도</ns0:t>
        </ns0:is>
      </ns0:c>
      <ns0:c r="D74" s="10" t="n">
        <ns0:v>1</ns0:v>
      </ns0:c>
      <ns0:c r="E74" s="10" t="inlineStr">
        <ns0:is>
          <ns0:t>서도는 88,740㎡, 동도는 73,297㎡이므로 서도가 더 넓어요.</ns0:t>
        </ns0:is>
      </ns0:c>
      <ns0:c r="F74" s="10" t="inlineStr">
        <ns0:is>
          <ns0:t>Seodo</ns0:t>
        </ns0:is>
      </ns0:c>
      <ns0:c r="G74" s="10" t="inlineStr">
        <ns0:is>
          <ns0:t>Seodo’s 88,740 m² exceeds Dongdo’s 73,297 m².</ns0:t>
        </ns0:is>
      </ns0:c>
    </ns0:row>
    <ns0:row r="75" ht="33" customHeight="1">
      <ns0:c r="A75" s="12" t="n">
        <ns0:v>920025</ns0:v>
      </ns0:c>
      <ns0:c r="B75" s="12" t="inlineStr">
        <ns0:is>
          <ns0:t>b</ns0:t>
        </ns0:is>
      </ns0:c>
      <ns0:c r="C75" s="12" t="inlineStr">
        <ns0:is>
          <ns0:t>동도</ns0:t>
        </ns0:is>
      </ns0:c>
      <ns0:c r="D75" s="12" t="n">
        <ns0:v>0</ns0:v>
      </ns0:c>
      <ns0:c r="E75" s="12" t="inlineStr">
        <ns0:is>
          <ns0:t>동도는 둘레가 더 길지만 면적은 서도보다 작아요.</ns0:t>
        </ns0:is>
      </ns0:c>
      <ns0:c r="F75" s="12" t="inlineStr">
        <ns0:is>
          <ns0:t>Dongdo</ns0:t>
        </ns0:is>
      </ns0:c>
      <ns0:c r="G75" s="12" t="inlineStr">
        <ns0:is>
          <ns0:t>Dongdo has a longer coastline but a smaller area.</ns0:t>
        </ns0:is>
      </ns0:c>
    </ns0:row>
    <ns0:row r="76" ht="33" customHeight="1">
      <ns0:c r="A76" s="10" t="n">
        <ns0:v>920026</ns0:v>
      </ns0:c>
      <ns0:c r="B76" s="10" t="inlineStr">
        <ns0:is>
          <ns0:t>b</ns0:t>
        </ns0:is>
      </ns0:c>
      <ns0:c r="C76" s="10" t="inlineStr">
        <ns0:is>
          <ns0:t>봉우리의 높이</ns0:t>
        </ns0:is>
      </ns0:c>
      <ns0:c r="D76" s="10" t="n">
        <ns0:v>0</ns0:v>
      </ns0:c>
      <ns0:c r="E76" s="10" t="inlineStr">
        <ns0:is>
          <ns0:t>높이는 m로 표시해요. ㎡는 땅이 얼마나 넓은지 나타내요.</ns0:t>
        </ns0:is>
      </ns0:c>
      <ns0:c r="F76" s="10" t="inlineStr">
        <ns0:is>
          <ns0:t>Peak elevation</ns0:t>
        </ns0:is>
      </ns0:c>
      <ns0:c r="G76" s="10" t="inlineStr">
        <ns0:is>
          <ns0:t>Elevation is in metres; square metres describe area.</ns0:t>
        </ns0:is>
      </ns0:c>
    </ns0:row>
    <ns0:row r="77" ht="33" customHeight="1">
      <ns0:c r="A77" s="12" t="n">
        <ns0:v>920026</ns0:v>
      </ns0:c>
      <ns0:c r="B77" s="12" t="inlineStr">
        <ns0:is>
          <ns0:t>c</ns0:t>
        </ns0:is>
      </ns0:c>
      <ns0:c r="C77" s="12" t="inlineStr">
        <ns0:is>
          <ns0:t>해안선을 따라 잰 길이</ns0:t>
        </ns0:is>
      </ns0:c>
      <ns0:c r="D77" s="12" t="n">
        <ns0:v>0</ns0:v>
      </ns0:c>
      <ns0:c r="E77" s="12" t="inlineStr">
        <ns0:is>
          <ns0:t>해안선의 길이는 m나 km로 표시해요. ㎡는 길이 단위가 아니에요.</ns0:t>
        </ns0:is>
      </ns0:c>
      <ns0:c r="F77" s="12" t="inlineStr">
        <ns0:is>
          <ns0:t>Length along the coastline</ns0:t>
        </ns0:is>
      </ns0:c>
      <ns0:c r="G77" s="12" t="inlineStr">
        <ns0:is>
          <ns0:t>Coastline length is in metres or kilometres, not square metres.</ns0:t>
        </ns0:is>
      </ns0:c>
    </ns0:row>
    <ns0:row r="78" ht="33" customHeight="1">
      <ns0:c r="A78" s="10" t="n">
        <ns0:v>920026</ns0:v>
      </ns0:c>
      <ns0:c r="B78" s="10" t="inlineStr">
        <ns0:is>
          <ns0:t>a</ns0:t>
        </ns0:is>
      </ns0:c>
      <ns0:c r="C78" s="10" t="inlineStr">
        <ns0:is>
          <ns0:t>땅의 넓이</ns0:t>
        </ns0:is>
      </ns0:c>
      <ns0:c r="D78" s="10" t="n">
        <ns0:v>1</ns0:v>
      </ns0:c>
      <ns0:c r="E78" s="10" t="inlineStr">
        <ns0:is>
          <ns0:t>제곱미터는 넓이를 나타내요. 섬의 높이를 나타내는 미터와 달라요.</ns0:t>
        </ns0:is>
      </ns0:c>
      <ns0:c r="F78" s="10" t="inlineStr">
        <ns0:is>
          <ns0:t>Land area</ns0:t>
        </ns0:is>
      </ns0:c>
      <ns0:c r="G78" s="10" t="inlineStr">
        <ns0:is>
          <ns0:t>Square metres measure area, unlike metres used for elevation.</ns0:t>
        </ns0:is>
      </ns0:c>
    </ns0:row>
    <ns0:row r="79" ht="33" customHeight="1">
      <ns0:c r="A79" s="12" t="n">
        <ns0:v>920027</ns0:v>
      </ns0:c>
      <ns0:c r="B79" s="12" t="inlineStr">
        <ns0:is>
          <ns0:t>b</ns0:t>
        </ns0:is>
      </ns0:c>
      <ns0:c r="C79" s="12" t="inlineStr">
        <ns0:is>
          <ns0:t>서도</ns0:t>
        </ns0:is>
      </ns0:c>
      <ns0:c r="D79" s="12" t="n">
        <ns0:v>0</ns0:v>
      </ns0:c>
      <ns0:c r="E79" s="12" t="inlineStr">
        <ns0:is>
          <ns0:t>서도는 면적이 크지만 둘레 값은 2.6km로 동도보다 짧아요.</ns0:t>
        </ns0:is>
      </ns0:c>
      <ns0:c r="F79" s="12" t="inlineStr">
        <ns0:is>
          <ns0:t>Seodo</ns0:t>
        </ns0:is>
      </ns0:c>
      <ns0:c r="G79" s="12" t="inlineStr">
        <ns0:is>
          <ns0:t>Seodo has the larger area, but its listed coastline is shorter.</ns0:t>
        </ns0:is>
      </ns0:c>
    </ns0:row>
    <ns0:row r="80" ht="33" customHeight="1">
      <ns0:c r="A80" s="10" t="n">
        <ns0:v>920027</ns0:v>
      </ns0:c>
      <ns0:c r="B80" s="10" t="inlineStr">
        <ns0:is>
          <ns0:t>a</ns0:t>
        </ns0:is>
      </ns0:c>
      <ns0:c r="C80" s="10" t="inlineStr">
        <ns0:is>
          <ns0:t>동도</ns0:t>
        </ns0:is>
      </ns0:c>
      <ns0:c r="D80" s="10" t="n">
        <ns0:v>1</ns0:v>
      </ns0:c>
      <ns0:c r="E80" s="10" t="inlineStr">
        <ns0:is>
          <ns0:t>동도 둘레는 2.8km, 서도는 2.6km예요. 둘레를 비교하면 동도가 더 길어요.</ns0:t>
        </ns0:is>
      </ns0:c>
      <ns0:c r="F80" s="10" t="inlineStr">
        <ns0:is>
          <ns0:t>Dongdo</ns0:t>
        </ns0:is>
      </ns0:c>
      <ns0:c r="G80" s="10" t="inlineStr">
        <ns0:is>
          <ns0:t>Dongdo’s 2.8 km coastline is longer than Seodo’s 2.6 km.</ns0:t>
        </ns0:is>
      </ns0:c>
    </ns0:row>
    <ns0:row r="81" ht="38" customHeight="1">
      <ns0:c r="A81" s="12" t="n">
        <ns0:v>920028</ns0:v>
      </ns0:c>
      <ns0:c r="B81" s="12" t="inlineStr">
        <ns0:is>
          <ns0:t>a</ns0:t>
        </ns0:is>
      </ns0:c>
      <ns0:c r="C81" s="12" t="inlineStr">
        <ns0:is>
          <ns0:t>서도는 더 넓고, 동도는 둘레가 더 길다</ns0:t>
        </ns0:is>
      </ns0:c>
      <ns0:c r="D81" s="12" t="n">
        <ns0:v>1</ns0:v>
      </ns0:c>
      <ns0:c r="E81" s="12" t="inlineStr">
        <ns0:is>
          <ns0:t>넓이와 둘레는 서로 다른 값이에요. 표에서는 두 항목에서 더 큰 섬이 서로 달라요.</ns0:t>
        </ns0:is>
      </ns0:c>
      <ns0:c r="F81" s="12" t="inlineStr">
        <ns0:is>
          <ns0:t>Seodo has more area; Dongdo has a longer coastline</ns0:t>
        </ns0:is>
      </ns0:c>
      <ns0:c r="G81" s="12" t="inlineStr">
        <ns0:is>
          <ns0:t>Area and coastline length are distinct quantities; different islands lead in each.</ns0:t>
        </ns0:is>
      </ns0:c>
    </ns0:row>
    <ns0:row r="82" ht="38" customHeight="1">
      <ns0:c r="A82" s="10" t="n">
        <ns0:v>920028</ns0:v>
      </ns0:c>
      <ns0:c r="B82" s="10" t="inlineStr">
        <ns0:is>
          <ns0:t>b</ns0:t>
        </ns0:is>
      </ns0:c>
      <ns0:c r="C82" s="10" t="inlineStr">
        <ns0:is>
          <ns0:t>서도가 더 넓으므로 둘레도 더 길다</ns0:t>
        </ns0:is>
      </ns0:c>
      <ns0:c r="D82" s="10" t="n">
        <ns0:v>0</ns0:v>
      </ns0:c>
      <ns0:c r="E82" s="10" t="inlineStr">
        <ns0:is>
          <ns0:t>면적이 크다고 둘레도 반드시 긴 것은 아니에요. 표의 둘레는 동도가 더 길어요.</ns0:t>
        </ns0:is>
      </ns0:c>
      <ns0:c r="F82" s="10" t="inlineStr">
        <ns0:is>
          <ns0:t>Seodo has more area and therefore a longer coastline</ns0:t>
        </ns0:is>
      </ns0:c>
      <ns0:c r="G82" s="10" t="inlineStr">
        <ns0:is>
          <ns0:t>Larger area does not necessarily mean a longer coastline; the table shows Dongdo’s is longer.</ns0:t>
        </ns0:is>
      </ns0:c>
    </ns0:row>
    <ns0:row r="83" ht="38" customHeight="1">
      <ns0:c r="A83" s="12" t="n">
        <ns0:v>920028</ns0:v>
      </ns0:c>
      <ns0:c r="B83" s="12" t="inlineStr">
        <ns0:is>
          <ns0:t>c</ns0:t>
        </ns0:is>
      </ns0:c>
      <ns0:c r="C83" s="12" t="inlineStr">
        <ns0:is>
          <ns0:t>동도가 더 넓고 둘레도 더 길다</ns0:t>
        </ns0:is>
      </ns0:c>
      <ns0:c r="D83" s="12" t="n">
        <ns0:v>0</ns0:v>
      </ns0:c>
      <ns0:c r="E83" s="12" t="inlineStr">
        <ns0:is>
          <ns0:t>동도의 둘레는 더 길지만 면적은 서도가 더 넓어요.</ns0:t>
        </ns0:is>
      </ns0:c>
      <ns0:c r="F83" s="12" t="inlineStr">
        <ns0:is>
          <ns0:t>Dongdo has both more area and a longer coastline</ns0:t>
        </ns0:is>
      </ns0:c>
      <ns0:c r="G83" s="12" t="inlineStr">
        <ns0:is>
          <ns0:t>Dongdo’s coastline is longer, but Seodo’s area is larger.</ns0:t>
        </ns0:is>
      </ns0:c>
    </ns0:row>
    <ns0:row r="84" ht="33" customHeight="1">
      <ns0:c r="A84" s="10" t="n">
        <ns0:v>920029</ns0:v>
      </ns0:c>
      <ns0:c r="B84" s="10" t="inlineStr">
        <ns0:is>
          <ns0:t>b</ns0:t>
        </ns0:is>
      </ns0:c>
      <ns0:c r="C84" s="10" t="inlineStr">
        <ns0:is>
          <ns0:t>육지 도로</ns0:t>
        </ns0:is>
      </ns0:c>
      <ns0:c r="D84" s="10" t="n">
        <ns0:v>0</ns0:v>
      </ns0:c>
      <ns0:c r="E84" s="10" t="inlineStr">
        <ns0:is>
          <ns0:t>두 섬 사이에 육지 도로로 이어진 구간이 있는 것은 아니에요.</ns0:t>
        </ns0:is>
      </ns0:c>
      <ns0:c r="F84" s="10" t="inlineStr">
        <ns0:is>
          <ns0:t>A land road</ns0:t>
        </ns0:is>
      </ns0:c>
      <ns0:c r="G84" s="10" t="inlineStr">
        <ns0:is>
          <ns0:t>The exposed islands are not joined by a land road.</ns0:t>
        </ns0:is>
      </ns0:c>
    </ns0:row>
    <ns0:row r="85" ht="33" customHeight="1">
      <ns0:c r="A85" s="12" t="n">
        <ns0:v>920029</ns0:v>
      </ns0:c>
      <ns0:c r="B85" s="12" t="inlineStr">
        <ns0:is>
          <ns0:t>a</ns0:t>
        </ns0:is>
      </ns0:c>
      <ns0:c r="C85" s="12" t="inlineStr">
        <ns0:is>
          <ns0:t>바다</ns0:t>
        </ns0:is>
      </ns0:c>
      <ns0:c r="D85" s="12" t="n">
        <ns0:v>1</ns0:v>
      </ns0:c>
      <ns0:c r="E85" s="12" t="inlineStr">
        <ns0:is>
          <ns0:t>두 섬의 물 위 육지는 바다를 사이에 두고 떨어져 있어요.</ns0:t>
        </ns0:is>
      </ns0:c>
      <ns0:c r="F85" s="12" t="inlineStr">
        <ns0:is>
          <ns0:t>Sea</ns0:t>
        </ns0:is>
      </ns0:c>
      <ns0:c r="G85" s="12" t="inlineStr">
        <ns0:is>
          <ns0:t>Their exposed land areas are separated by seawater.</ns0:t>
        </ns0:is>
      </ns0:c>
    </ns0:row>
    <ns0:row r="86" ht="33" customHeight="1">
      <ns0:c r="A86" s="10" t="n">
        <ns0:v>920029</ns0:v>
      </ns0:c>
      <ns0:c r="B86" s="10" t="inlineStr">
        <ns0:is>
          <ns0:t>c</ns0:t>
        </ns0:is>
      </ns0:c>
      <ns0:c r="C86" s="10" t="inlineStr">
        <ns0:is>
          <ns0:t>강</ns0:t>
        </ns0:is>
      </ns0:c>
      <ns0:c r="D86" s="10" t="n">
        <ns0:v>0</ns0:v>
      </ns0:c>
      <ns0:c r="E86" s="10" t="inlineStr">
        <ns0:is>
          <ns0:t>두 섬 사이의 물은 강물이 아니라 바닷물이에요.</ns0:t>
        </ns0:is>
      </ns0:c>
      <ns0:c r="F86" s="10" t="inlineStr">
        <ns0:is>
          <ns0:t>A river</ns0:t>
        </ns0:is>
      </ns0:c>
      <ns0:c r="G86" s="10" t="inlineStr">
        <ns0:is>
          <ns0:t>The water between them is sea, not a river.</ns0:t>
        </ns0:is>
      </ns0:c>
    </ns0:row>
    <ns0:row r="87" ht="33" customHeight="1">
      <ns0:c r="A87" s="12" t="n">
        <ns0:v>920030</ns0:v>
      </ns0:c>
      <ns0:c r="B87" s="12" t="inlineStr">
        <ns0:is>
          <ns0:t>a</ns0:t>
        </ns0:is>
      </ns0:c>
      <ns0:c r="C87" s="12" t="inlineStr">
        <ns0:is>
          <ns0:t>151m</ns0:t>
        </ns0:is>
      </ns0:c>
      <ns0:c r="D87" s="12" t="n">
        <ns0:v>1</ns0:v>
      </ns0:c>
      <ns0:c r="E87" s="12" t="inlineStr">
        <ns0:is>
          <ns0:t>약 151m는 두 큰 섬의 가장 가까운 해안 사이 간격이에요.</ns0:t>
        </ns0:is>
      </ns0:c>
      <ns0:c r="F87" s="12" t="inlineStr">
        <ns0:is>
          <ns0:t>151 m</ns0:t>
        </ns0:is>
      </ns0:c>
      <ns0:c r="G87" s="12" t="inlineStr">
        <ns0:is>
          <ns0:t>About 151 m is the gap between the nearest shores of the main islands.</ns0:t>
        </ns0:is>
      </ns0:c>
    </ns0:row>
    <ns0:row r="88" ht="33" customHeight="1">
      <ns0:c r="A88" s="10" t="n">
        <ns0:v>920030</ns0:v>
      </ns0:c>
      <ns0:c r="B88" s="10" t="inlineStr">
        <ns0:is>
          <ns0:t>b</ns0:t>
        </ns0:is>
      </ns0:c>
      <ns0:c r="C88" s="10" t="inlineStr">
        <ns0:is>
          <ns0:t>87.4km</ns0:t>
        </ns0:is>
      </ns0:c>
      <ns0:c r="D88" s="10" t="n">
        <ns0:v>0</ns0:v>
      </ns0:c>
      <ns0:c r="E88" s="10" t="inlineStr">
        <ns0:is>
          <ns0:t>87.4km는 울릉도와 독도 사이 거리예요.</ns0:t>
        </ns0:is>
      </ns0:c>
      <ns0:c r="F88" s="10" t="inlineStr">
        <ns0:is>
          <ns0:t>87.4 km</ns0:t>
        </ns0:is>
      </ns0:c>
      <ns0:c r="G88" s="10" t="inlineStr">
        <ns0:is>
          <ns0:t>87.4 km is the Ulleungdo–Dokdo distance.</ns0:t>
        </ns0:is>
      </ns0:c>
    </ns0:row>
    <ns0:row r="89" ht="33" customHeight="1">
      <ns0:c r="A89" s="12" t="n">
        <ns0:v>920030</ns0:v>
      </ns0:c>
      <ns0:c r="B89" s="12" t="inlineStr">
        <ns0:is>
          <ns0:t>c</ns0:t>
        </ns0:is>
      </ns0:c>
      <ns0:c r="C89" s="12" t="inlineStr">
        <ns0:is>
          <ns0:t>98.6m</ns0:t>
        </ns0:is>
      </ns0:c>
      <ns0:c r="D89" s="12" t="n">
        <ns0:v>0</ns0:v>
      </ns0:c>
      <ns0:c r="E89" s="12" t="inlineStr">
        <ns0:is>
          <ns0:t>98.6m는 동도의 최고 높이예요. 섬 사이 거리와 달라요.</ns0:t>
        </ns0:is>
      </ns0:c>
      <ns0:c r="F89" s="12" t="inlineStr">
        <ns0:is>
          <ns0:t>98.6 m</ns0:t>
        </ns0:is>
      </ns0:c>
      <ns0:c r="G89" s="12" t="inlineStr">
        <ns0:is>
          <ns0:t>98.6 m is Dongdo’s peak elevation, not the gap.</ns0:t>
        </ns0:is>
      </ns0:c>
    </ns0:row>
    <ns0:row r="90" ht="33" customHeight="1">
      <ns0:c r="A90" s="10" t="n">
        <ns0:v>920030</ns0:v>
      </ns0:c>
      <ns0:c r="B90" s="10" t="inlineStr">
        <ns0:is>
          <ns0:t>d</ns0:t>
        </ns0:is>
      </ns0:c>
      <ns0:c r="C90" s="10" t="inlineStr">
        <ns0:is>
          <ns0:t>168.5m</ns0:t>
        </ns0:is>
      </ns0:c>
      <ns0:c r="D90" s="10" t="n">
        <ns0:v>0</ns0:v>
      </ns0:c>
      <ns0:c r="E90" s="10" t="inlineStr">
        <ns0:is>
          <ns0:t>168.5m는 서도의 최고 높이예요.</ns0:t>
        </ns0:is>
      </ns0:c>
      <ns0:c r="F90" s="10" t="inlineStr">
        <ns0:is>
          <ns0:t>168.5 m</ns0:t>
        </ns0:is>
      </ns0:c>
      <ns0:c r="G90" s="10" t="inlineStr">
        <ns0:is>
          <ns0:t>168.5 m is Seodo’s peak elevation.</ns0:t>
        </ns0:is>
      </ns0:c>
    </ns0:row>
    <ns0:row r="91" ht="33" customHeight="1">
      <ns0:c r="A91" s="12" t="n">
        <ns0:v>920031</ns0:v>
      </ns0:c>
      <ns0:c r="B91" s="12" t="inlineStr">
        <ns0:is>
          <ns0:t>b</ns0:t>
        </ns0:is>
      </ns0:c>
      <ns0:c r="C91" s="12" t="inlineStr">
        <ns0:is>
          <ns0:t>두 섬의 정상</ns0:t>
        </ns0:is>
      </ns0:c>
      <ns0:c r="D91" s="12" t="n">
        <ns0:v>0</ns0:v>
      </ns0:c>
      <ns0:c r="E91" s="12" t="inlineStr">
        <ns0:is>
          <ns0:t>정상은 해안과 다른 위치에 있어요. 정상끼리 연결한 거리를 151m라고 붙일 수 없어요.</ns0:t>
        </ns0:is>
      </ns0:c>
      <ns0:c r="F91" s="12" t="inlineStr">
        <ns0:is>
          <ns0:t>At the two peaks</ns0:t>
        </ns0:is>
      </ns0:c>
      <ns0:c r="G91" s="12" t="inlineStr">
        <ns0:is>
          <ns0:t>Peaks are not the nearest shore points, so their distance is not labelled 151 m.</ns0:t>
        </ns0:is>
      </ns0:c>
    </ns0:row>
    <ns0:row r="92" ht="33" customHeight="1">
      <ns0:c r="A92" s="10" t="n">
        <ns0:v>920031</ns0:v>
      </ns0:c>
      <ns0:c r="B92" s="10" t="inlineStr">
        <ns0:is>
          <ns0:t>c</ns0:t>
        </ns0:is>
      </ns0:c>
      <ns0:c r="C92" s="10" t="inlineStr">
        <ns0:is>
          <ns0:t>등대와 주민숙소</ns0:t>
        </ns0:is>
      </ns0:c>
      <ns0:c r="D92" s="10" t="n">
        <ns0:v>0</ns0:v>
      </ns0:c>
      <ns0:c r="E92" s="10" t="inlineStr">
        <ns0:is>
          <ns0:t>시설 간 거리는 해안 사이 간격과 별개의 값이에요.</ns0:t>
        </ns0:is>
      </ns0:c>
      <ns0:c r="F92" s="10" t="inlineStr">
        <ns0:is>
          <ns0:t>At the lighthouse and residence</ns0:t>
        </ns0:is>
      </ns0:c>
      <ns0:c r="G92" s="10" t="inlineStr">
        <ns0:is>
          <ns0:t>A facility-to-facility distance is a different measurement.</ns0:t>
        </ns0:is>
      </ns0:c>
    </ns0:row>
    <ns0:row r="93" ht="33" customHeight="1">
      <ns0:c r="A93" s="12" t="n">
        <ns0:v>920031</ns0:v>
      </ns0:c>
      <ns0:c r="B93" s="12" t="inlineStr">
        <ns0:is>
          <ns0:t>a</ns0:t>
        </ns0:is>
      </ns0:c>
      <ns0:c r="C93" s="12" t="inlineStr">
        <ns0:is>
          <ns0:t>서로 가장 가까운 두 해안</ns0:t>
        </ns0:is>
      </ns0:c>
      <ns0:c r="D93" s="12" t="n">
        <ns0:v>1</ns0:v>
      </ns0:c>
      <ns0:c r="E93" s="12" t="inlineStr">
        <ns0:is>
          <ns0:t>151m는 가장 가까운 해안 사이 거리이므로 그 두 지점을 연결해요.</ns0:t>
        </ns0:is>
      </ns0:c>
      <ns0:c r="F93" s="12" t="inlineStr">
        <ns0:is>
          <ns0:t>At the nearest points on the two shores</ns0:t>
        </ns0:is>
      </ns0:c>
      <ns0:c r="G93" s="12" t="inlineStr">
        <ns0:is>
          <ns0:t>The measurement is shore-to-shore, so the line connects those nearest points.</ns0:t>
        </ns0:is>
      </ns0:c>
    </ns0:row>
    <ns0:row r="94" ht="33" customHeight="1">
      <ns0:c r="A94" s="10" t="n">
        <ns0:v>920032</ns0:v>
      </ns0:c>
      <ns0:c r="B94" s="10" t="inlineStr">
        <ns0:is>
          <ns0:t>b</ns0:t>
        </ns0:is>
      </ns0:c>
      <ns0:c r="C94" s="10" t="inlineStr">
        <ns0:is>
          <ns0:t>7,550cm</ns0:t>
        </ns0:is>
      </ns0:c>
      <ns0:c r="D94" s="10" t="n">
        <ns0:v>0</ns0:v>
      </ns0:c>
      <ns0:c r="E94" s="10" t="inlineStr">
        <ns0:is>
          <ns0:t>151에 50을 곱한 값이에요. 지도 길이는 실제 거리를 축척값으로 나누어 구해요.</ns0:t>
        </ns0:is>
      </ns0:c>
      <ns0:c r="F94" s="10" t="inlineStr">
        <ns0:is>
          <ns0:t>7,550 cm</ns0:t>
        </ns0:is>
      </ns0:c>
      <ns0:c r="G94" s="10" t="inlineStr">
        <ns0:is>
          <ns0:t>That multiplies by 50; map length requires division by 50.</ns0:t>
        </ns0:is>
      </ns0:c>
    </ns0:row>
    <ns0:row r="95" ht="33" customHeight="1">
      <ns0:c r="A95" s="12" t="n">
        <ns0:v>920032</ns0:v>
      </ns0:c>
      <ns0:c r="B95" s="12" t="inlineStr">
        <ns0:is>
          <ns0:t>a</ns0:t>
        </ns0:is>
      </ns0:c>
      <ns0:c r="C95" s="12" t="inlineStr">
        <ns0:is>
          <ns0:t>3.02cm</ns0:t>
        </ns0:is>
      </ns0:c>
      <ns0:c r="D95" s="12" t="n">
        <ns0:v>1</ns0:v>
      </ns0:c>
      <ns0:c r="E95" s="12" t="inlineStr">
        <ns0:is>
          <ns0:t>151÷50=3.02cm예요. 실제 간격을 1cm가 나타내는 거리로 나누어요.</ns0:t>
        </ns0:is>
      </ns0:c>
      <ns0:c r="F95" s="12" t="inlineStr">
        <ns0:is>
          <ns0:t>3.02 cm</ns0:t>
        </ns0:is>
      </ns0:c>
      <ns0:c r="G95" s="12" t="inlineStr">
        <ns0:is>
          <ns0:t>151 ÷ 50 = 3.02 cm.</ns0:t>
        </ns0:is>
      </ns0:c>
    </ns0:row>
    <ns0:row r="96" ht="33" customHeight="1">
      <ns0:c r="A96" s="10" t="n">
        <ns0:v>920032</ns0:v>
      </ns0:c>
      <ns0:c r="B96" s="10" t="inlineStr">
        <ns0:is>
          <ns0:t>c</ns0:t>
        </ns0:is>
      </ns0:c>
      <ns0:c r="C96" s="10" t="inlineStr">
        <ns0:is>
          <ns0:t>151cm</ns0:t>
        </ns0:is>
      </ns0:c>
      <ns0:c r="D96" s="10" t="n">
        <ns0:v>0</ns0:v>
      </ns0:c>
      <ns0:c r="E96" s="10" t="inlineStr">
        <ns0:is>
          <ns0:t>1cm가 1m를 뜻하는 지도가 아니에요. 여기서는 1cm가 50m예요.</ns0:t>
        </ns0:is>
      </ns0:c>
      <ns0:c r="F96" s="10" t="inlineStr">
        <ns0:is>
          <ns0:t>151 cm</ns0:t>
        </ns0:is>
      </ns0:c>
      <ns0:c r="G96" s="10" t="inlineStr">
        <ns0:is>
          <ns0:t>This map uses 50 m per centimetre, not 1 m per centimetre.</ns0:t>
        </ns0:is>
      </ns0:c>
    </ns0:row>
    <ns0:row r="97" ht="33" customHeight="1">
      <ns0:c r="A97" s="12" t="n">
        <ns0:v>920032</ns0:v>
      </ns0:c>
      <ns0:c r="B97" s="12" t="inlineStr">
        <ns0:is>
          <ns0:t>d</ns0:t>
        </ns0:is>
      </ns0:c>
      <ns0:c r="C97" s="12" t="inlineStr">
        <ns0:is>
          <ns0:t>0.302cm</ns0:t>
        </ns0:is>
      </ns0:c>
      <ns0:c r="D97" s="12" t="n">
        <ns0:v>0</ns0:v>
      </ns0:c>
      <ns0:c r="E97" s="12" t="inlineStr">
        <ns0:is>
          <ns0:t>3.02cm에서 소수점을 한 자리 더 옮긴 값이에요.</ns0:t>
        </ns0:is>
      </ns0:c>
      <ns0:c r="F97" s="12" t="inlineStr">
        <ns0:is>
          <ns0:t>0.302 cm</ns0:t>
        </ns0:is>
      </ns0:c>
      <ns0:c r="G97" s="12" t="inlineStr">
        <ns0:is>
          <ns0:t>This is one tenth of the required 3.02 cm.</ns0:t>
        </ns0:is>
      </ns0:c>
    </ns0:row>
    <ns0:row r="98" ht="33" customHeight="1">
      <ns0:c r="A98" s="10" t="n">
        <ns0:v>920033</ns0:v>
      </ns0:c>
      <ns0:c r="B98" s="10" t="inlineStr">
        <ns0:is>
          <ns0:t>a</ns0:t>
        </ns0:is>
      </ns0:c>
      <ns0:c r="C98" s="10" t="inlineStr">
        <ns0:is>
          <ns0:t>서도</ns0:t>
        </ns0:is>
      </ns0:c>
      <ns0:c r="D98" s="10" t="n">
        <ns0:v>1</ns0:v>
      </ns0:c>
      <ns0:c r="E98" s="10" t="inlineStr">
        <ns0:is>
          <ns0:t>서도는 높고 가파르게 솟은 봉우리의 모습이 두드러져요.</ns0:t>
        </ns0:is>
      </ns0:c>
      <ns0:c r="F98" s="10" t="inlineStr">
        <ns0:is>
          <ns0:t>Seodo</ns0:t>
        </ns0:is>
      </ns0:c>
      <ns0:c r="G98" s="10" t="inlineStr">
        <ns0:is>
          <ns0:t>Seodo is characterised by its higher, steeply rising peak.</ns0:t>
        </ns0:is>
      </ns0:c>
    </ns0:row>
    <ns0:row r="99" ht="33" customHeight="1">
      <ns0:c r="A99" s="12" t="n">
        <ns0:v>920033</ns0:v>
      </ns0:c>
      <ns0:c r="B99" s="12" t="inlineStr">
        <ns0:is>
          <ns0:t>b</ns0:t>
        </ns0:is>
      </ns0:c>
      <ns0:c r="C99" s="12" t="inlineStr">
        <ns0:is>
          <ns0:t>동도</ns0:t>
        </ns0:is>
      </ns0:c>
      <ns0:c r="D99" s="12" t="n">
        <ns0:v>0</ns0:v>
      </ns0:c>
      <ns0:c r="E99" s="12" t="inlineStr">
        <ns0:is>
          <ns0:t>동도에도 절벽이 있지만 상부에는 비교적 평탄한 공간이 있어요.</ns0:t>
        </ns0:is>
      </ns0:c>
      <ns0:c r="F99" s="12" t="inlineStr">
        <ns0:is>
          <ns0:t>Dongdo</ns0:t>
        </ns0:is>
      </ns0:c>
      <ns0:c r="G99" s="12" t="inlineStr">
        <ns0:is>
          <ns0:t>Dongdo has cliffs too, but its upper area is comparatively level.</ns0:t>
        </ns0:is>
      </ns0:c>
    </ns0:row>
    <ns0:row r="100" ht="33" customHeight="1">
      <ns0:c r="A100" s="10" t="n">
        <ns0:v>920034</ns0:v>
      </ns0:c>
      <ns0:c r="B100" s="10" t="inlineStr">
        <ns0:is>
          <ns0:t>b</ns0:t>
        </ns0:is>
      </ns0:c>
      <ns0:c r="C100" s="10" t="inlineStr">
        <ns0:is>
          <ns0:t>서도</ns0:t>
        </ns0:is>
      </ns0:c>
      <ns0:c r="D100" s="10" t="n">
        <ns0:v>0</ns0:v>
      </ns0:c>
      <ns0:c r="E100" s="10" t="inlineStr">
        <ns0:is>
          <ns0:t>서도는 정상 접근이 어려운 가파른 지형이에요. 질문의 시설은 동도에 있어요.</ns0:t>
        </ns0:is>
      </ns0:c>
      <ns0:c r="F100" s="10" t="inlineStr">
        <ns0:is>
          <ns0:t>Seodo</ns0:t>
        </ns0:is>
      </ns0:c>
      <ns0:c r="G100" s="10" t="inlineStr">
        <ns0:is>
          <ns0:t>Seodo’s steep peak is difficult to access; these facilities are on Dongdo.</ns0:t>
        </ns0:is>
      </ns0:c>
    </ns0:row>
    <ns0:row r="101" ht="33" customHeight="1">
      <ns0:c r="A101" s="12" t="n">
        <ns0:v>920034</ns0:v>
      </ns0:c>
      <ns0:c r="B101" s="12" t="inlineStr">
        <ns0:is>
          <ns0:t>a</ns0:t>
        </ns0:is>
      </ns0:c>
      <ns0:c r="C101" s="12" t="inlineStr">
        <ns0:is>
          <ns0:t>동도</ns0:t>
        </ns0:is>
      </ns0:c>
      <ns0:c r="D101" s="12" t="n">
        <ns0:v>1</ns0:v>
      </ns0:c>
      <ns0:c r="E101" s="12" t="inlineStr">
        <ns0:is>
          <ns0:t>동도 상부의 비교적 평탄한 곳에는 헬기장과 여러 시설이 있어요.</ns0:t>
        </ns0:is>
      </ns0:c>
      <ns0:c r="F101" s="12" t="inlineStr">
        <ns0:is>
          <ns0:t>Dongdo</ns0:t>
        </ns0:is>
      </ns0:c>
      <ns0:c r="G101" s="12" t="inlineStr">
        <ns0:is>
          <ns0:t>Dongdo’s relatively level upper area accommodates the helipad and other facilities.</ns0:t>
        </ns0:is>
      </ns0:c>
    </ns0:row>
    <ns0:row r="102" ht="33" customHeight="1">
      <ns0:c r="A102" s="10" t="n">
        <ns0:v>920035</ns0:v>
      </ns0:c>
      <ns0:c r="B102" s="10" t="inlineStr">
        <ns0:is>
          <ns0:t>a</ns0:t>
        </ns0:is>
      </ns0:c>
      <ns0:c r="C102" s="10" t="inlineStr">
        <ns0:is>
          <ns0:t>동도</ns0:t>
        </ns0:is>
      </ns0:c>
      <ns0:c r="D102" s="10" t="n">
        <ns0:v>1</ns0:v>
      </ns0:c>
      <ns0:c r="E102" s="10" t="inlineStr">
        <ns0:is>
          <ns0:t>A는 정상 부근이 비교적 평탄하고 시설이 있는 섬이므로 동도예요.</ns0:t>
        </ns0:is>
      </ns0:c>
      <ns0:c r="F102" s="10" t="inlineStr">
        <ns0:is>
          <ns0:t>Dongdo</ns0:t>
        </ns0:is>
      </ns0:c>
      <ns0:c r="G102" s="10" t="inlineStr">
        <ns0:is>
          <ns0:t>A describes the relatively level upper area with facilities on Dongdo.</ns0:t>
        </ns0:is>
      </ns0:c>
    </ns0:row>
    <ns0:row r="103" ht="33" customHeight="1">
      <ns0:c r="A103" s="12" t="n">
        <ns0:v>920035</ns0:v>
      </ns0:c>
      <ns0:c r="B103" s="12" t="inlineStr">
        <ns0:is>
          <ns0:t>b</ns0:t>
        </ns0:is>
      </ns0:c>
      <ns0:c r="C103" s="12" t="inlineStr">
        <ns0:is>
          <ns0:t>서도</ns0:t>
        </ns0:is>
      </ns0:c>
      <ns0:c r="D103" s="12" t="n">
        <ns0:v>0</ns0:v>
      </ns0:c>
      <ns0:c r="E103" s="12" t="inlineStr">
        <ns0:is>
          <ns0:t>서도는 가파른 봉우리라는 B의 설명에 해당해요.</ns0:t>
        </ns0:is>
      </ns0:c>
      <ns0:c r="F103" s="12" t="inlineStr">
        <ns0:is>
          <ns0:t>Seodo</ns0:t>
        </ns0:is>
      </ns0:c>
      <ns0:c r="G103" s="12" t="inlineStr">
        <ns0:is>
          <ns0:t>Seodo matches B’s steep-peak description.</ns0:t>
        </ns0:is>
      </ns0:c>
    </ns0:row>
    <ns0:row r="104" ht="38" customHeight="1">
      <ns0:c r="A104" s="10" t="n">
        <ns0:v>920036</ns0:v>
      </ns0:c>
      <ns0:c r="B104" s="10" t="inlineStr">
        <ns0:is>
          <ns0:t>a</ns0:t>
        </ns0:is>
      </ns0:c>
      <ns0:c r="C104" s="10" t="inlineStr">
        <ns0:is>
          <ns0:t>동도 상부의 비교적 평탄한 공간을 살린다</ns0:t>
        </ns0:is>
      </ns0:c>
      <ns0:c r="D104" s="10" t="n">
        <ns0:v>1</ns0:v>
      </ns0:c>
      <ns0:c r="E104" s="10" t="inlineStr">
        <ns0:is>
          <ns0:t>두 섬의 차이를 보여주려면 동도의 낮은 상부 공간과 주변 절벽을 함께 표현해야 해요.</ns0:t>
        </ns0:is>
      </ns0:c>
      <ns0:c r="F104" s="10" t="inlineStr">
        <ns0:is>
          <ns0:t>Restore Dongdo’s comparatively level upper area</ns0:t>
        </ns0:is>
      </ns0:c>
      <ns0:c r="G104" s="10" t="inlineStr">
        <ns0:is>
          <ns0:t>Represent Dongdo’s comparatively level upper area as well as its coastal cliffs.</ns0:t>
        </ns0:is>
      </ns0:c>
    </ns0:row>
    <ns0:row r="105" ht="33" customHeight="1">
      <ns0:c r="A105" s="12" t="n">
        <ns0:v>920036</ns0:v>
      </ns0:c>
      <ns0:c r="B105" s="12" t="inlineStr">
        <ns0:is>
          <ns0:t>b</ns0:t>
        </ns0:is>
      </ns0:c>
      <ns0:c r="C105" s="12" t="inlineStr">
        <ns0:is>
          <ns0:t>동도를 서도보다 더 높게 만든다</ns0:t>
        </ns0:is>
      </ns0:c>
      <ns0:c r="D105" s="12" t="n">
        <ns0:v>0</ns0:v>
      </ns0:c>
      <ns0:c r="E105" s="12" t="inlineStr">
        <ns0:is>
          <ns0:t>실제로 더 높은 섬은 서도예요. 높이를 뒤집으면 또 다른 오류예요.</ns0:t>
        </ns0:is>
      </ns0:c>
      <ns0:c r="F105" s="12" t="inlineStr">
        <ns0:is>
          <ns0:t>Make Dongdo higher than Seodo</ns0:t>
        </ns0:is>
      </ns0:c>
      <ns0:c r="G105" s="12" t="inlineStr">
        <ns0:is>
          <ns0:t>Seodo is the higher island; reversing the heights adds an error.</ns0:t>
        </ns0:is>
      </ns0:c>
    </ns0:row>
    <ns0:row r="106" ht="33" customHeight="1">
      <ns0:c r="A106" s="10" t="n">
        <ns0:v>920036</ns0:v>
      </ns0:c>
      <ns0:c r="B106" s="10" t="inlineStr">
        <ns0:is>
          <ns0:t>c</ns0:t>
        </ns0:is>
      </ns0:c>
      <ns0:c r="C106" s="10" t="inlineStr">
        <ns0:is>
          <ns0:t>동도의 해안 절벽을 모두 없앤다</ns0:t>
        </ns0:is>
      </ns0:c>
      <ns0:c r="D106" s="10" t="n">
        <ns0:v>0</ns0:v>
      </ns0:c>
      <ns0:c r="E106" s="10" t="inlineStr">
        <ns0:is>
          <ns0:t>평탄한 상부가 있다는 말은 섬 전체가 평평하다는 뜻이 아니에요.</ns0:t>
        </ns0:is>
      </ns0:c>
      <ns0:c r="F106" s="10" t="inlineStr">
        <ns0:is>
          <ns0:t>Remove all of Dongdo’s coastal cliffs</ns0:t>
        </ns0:is>
      </ns0:c>
      <ns0:c r="G106" s="10" t="inlineStr">
        <ns0:is>
          <ns0:t>A level upper area does not mean the entire island lacks cliffs.</ns0:t>
        </ns0:is>
      </ns0:c>
    </ns0:row>
    <ns0:row r="107" ht="33" customHeight="1">
      <ns0:c r="A107" s="12" t="n">
        <ns0:v>920037</ns0:v>
      </ns0:c>
      <ns0:c r="B107" s="12" t="inlineStr">
        <ns0:is>
          <ns0:t>b</ns0:t>
        </ns0:is>
      </ns0:c>
      <ns0:c r="C107" s="12" t="inlineStr">
        <ns0:is>
          <ns0:t>해수면에서 끝나요</ns0:t>
        </ns0:is>
      </ns0:c>
      <ns0:c r="D107" s="12" t="n">
        <ns0:v>0</ns0:v>
      </ns0:c>
      <ns0:c r="E107" s="12" t="inlineStr">
        <ns0:is>
          <ns0:t>물 위에서 보이는 곳만 전부가 아니에요. 아래에도 화산체가 이어져요.</ns0:t>
        </ns0:is>
      </ns0:c>
      <ns0:c r="F107" s="12" t="inlineStr">
        <ns0:is>
          <ns0:t>It ends at sea level</ns0:t>
        </ns0:is>
      </ns0:c>
      <ns0:c r="G107" s="12" t="inlineStr">
        <ns0:is>
          <ns0:t>The visible land is not the whole structure; it continues below the surface.</ns0:t>
        </ns0:is>
      </ns0:c>
    </ns0:row>
    <ns0:row r="108" ht="33" customHeight="1">
      <ns0:c r="A108" s="10" t="n">
        <ns0:v>920037</ns0:v>
      </ns0:c>
      <ns0:c r="B108" s="10" t="inlineStr">
        <ns0:is>
          <ns0:t>a</ns0:t>
        </ns0:is>
      </ns0:c>
      <ns0:c r="C108" s="10" t="inlineStr">
        <ns0:is>
          <ns0:t>바닷속으로 이어져요</ns0:t>
        </ns0:is>
      </ns0:c>
      <ns0:c r="D108" s="10" t="n">
        <ns0:v>1</ns0:v>
      </ns0:c>
      <ns0:c r="E108" s="10" t="inlineStr">
        <ns0:is>
          <ns0:t>동도·서도는 해저 화산체의 일부가 물 위로 드러난 모습이에요.</ns0:t>
        </ns0:is>
      </ns0:c>
      <ns0:c r="F108" s="10" t="inlineStr">
        <ns0:is>
          <ns0:t>It continues underwater</ns0:t>
        </ns0:is>
      </ns0:c>
      <ns0:c r="G108" s="10" t="inlineStr">
        <ns0:is>
          <ns0:t>Dongdo and Seodo are exposed parts of an underwater volcanic structure.</ns0:t>
        </ns0:is>
      </ns0:c>
    </ns0:row>
    <ns0:row r="109" ht="33" customHeight="1">
      <ns0:c r="A109" s="12" t="n">
        <ns0:v>920038</ns0:v>
      </ns0:c>
      <ns0:c r="B109" s="12" t="inlineStr">
        <ns0:is>
          <ns0:t>b</ns0:t>
        </ns0:is>
      </ns0:c>
      <ns0:c r="C109" s="12" t="inlineStr">
        <ns0:is>
          <ns0:t>강이 쌓은 삼각주</ns0:t>
        </ns0:is>
      </ns0:c>
      <ns0:c r="D109" s="12" t="n">
        <ns0:v>0</ns0:v>
      </ns0:c>
      <ns0:c r="E109" s="12" t="inlineStr">
        <ns0:is>
          <ns0:t>독도는 강의 퇴적물이 쌓인 삼각주가 아니라 화산활동으로 만들어졌어요.</ns0:t>
        </ns0:is>
      </ns0:c>
      <ns0:c r="F109" s="12" t="inlineStr">
        <ns0:is>
          <ns0:t>A river delta</ns0:t>
        </ns0:is>
      </ns0:c>
      <ns0:c r="G109" s="12" t="inlineStr">
        <ns0:is>
          <ns0:t>Dokdo is volcanic, not a delta built by river sediment.</ns0:t>
        </ns0:is>
      </ns0:c>
    </ns0:row>
    <ns0:row r="110" ht="33" customHeight="1">
      <ns0:c r="A110" s="10" t="n">
        <ns0:v>920038</ns0:v>
      </ns0:c>
      <ns0:c r="B110" s="10" t="inlineStr">
        <ns0:is>
          <ns0:t>a</ns0:t>
        </ns0:is>
      </ns0:c>
      <ns0:c r="C110" s="10" t="inlineStr">
        <ns0:is>
          <ns0:t>해저 화산체</ns0:t>
        </ns0:is>
      </ns0:c>
      <ns0:c r="D110" s="10" t="n">
        <ns0:v>1</ns0:v>
      </ns0:c>
      <ns0:c r="E110" s="10" t="inlineStr">
        <ns0:is>
          <ns0:t>바닷속 화산활동으로 자란 화산체의 윗부분이 바다 위에서 보여요.</ns0:t>
        </ns0:is>
      </ns0:c>
      <ns0:c r="F110" s="10" t="inlineStr">
        <ns0:is>
          <ns0:t>An underwater volcanic structure</ns0:t>
        </ns0:is>
      </ns0:c>
      <ns0:c r="G110" s="10" t="inlineStr">
        <ns0:is>
          <ns0:t>The exposed islands belong to a volcanic structure formed underwater.</ns0:t>
        </ns0:is>
      </ns0:c>
    </ns0:row>
    <ns0:row r="111" ht="33" customHeight="1">
      <ns0:c r="A111" s="12" t="n">
        <ns0:v>920038</ns0:v>
      </ns0:c>
      <ns0:c r="B111" s="12" t="inlineStr">
        <ns0:is>
          <ns0:t>c</ns0:t>
        </ns0:is>
      </ns0:c>
      <ns0:c r="C111" s="12" t="inlineStr">
        <ns0:is>
          <ns0:t>산호가 쌓인 산호섬</ns0:t>
        </ns0:is>
      </ns0:c>
      <ns0:c r="D111" s="12" t="n">
        <ns0:v>0</ns0:v>
      </ns0:c>
      <ns0:c r="E111" s="12" t="inlineStr">
        <ns0:is>
          <ns0:t>독도 형성의 바탕은 산호가 아니라 화산활동이에요.</ns0:t>
        </ns0:is>
      </ns0:c>
      <ns0:c r="F111" s="12" t="inlineStr">
        <ns0:is>
          <ns0:t>A coral-built island</ns0:t>
        </ns0:is>
      </ns0:c>
      <ns0:c r="G111" s="12" t="inlineStr">
        <ns0:is>
          <ns0:t>Volcanic activity, rather than coral growth, formed Dokdo.</ns0:t>
        </ns0:is>
      </ns0:c>
    </ns0:row>
    <ns0:row r="112" ht="33" customHeight="1">
      <ns0:c r="A112" s="10" t="n">
        <ns0:v>920039</ns0:v>
      </ns0:c>
      <ns0:c r="B112" s="10" t="inlineStr">
        <ns0:is>
          <ns0:t>b</ns0:t>
        </ns0:is>
      </ns0:c>
      <ns0:c r="C112" s="10" t="inlineStr">
        <ns0:is>
          <ns0:t>해수면부터 서도 정상까지</ns0:t>
        </ns0:is>
      </ns0:c>
      <ns0:c r="D112" s="10" t="n">
        <ns0:v>0</ns0:v>
      </ns0:c>
      <ns0:c r="E112" s="10" t="inlineStr">
        <ns0:is>
          <ns0:t>해수면부터 서도 정상은 168.5m예요. 기준점이 달라요.</ns0:t>
        </ns0:is>
      </ns0:c>
      <ns0:c r="F112" s="10" t="inlineStr">
        <ns0:is>
          <ns0:t>From sea level to Seodo’s peak</ns0:t>
        </ns0:is>
      </ns0:c>
      <ns0:c r="G112" s="10" t="inlineStr">
        <ns0:is>
          <ns0:t>Seodo’s peak is 168.5 m above sea level; the reference point differs.</ns0:t>
        </ns0:is>
      </ns0:c>
    </ns0:row>
    <ns0:row r="113" ht="33" customHeight="1">
      <ns0:c r="A113" s="12" t="n">
        <ns0:v>920039</ns0:v>
      </ns0:c>
      <ns0:c r="B113" s="12" t="inlineStr">
        <ns0:is>
          <ns0:t>c</ns0:t>
        </ns0:is>
      </ns0:c>
      <ns0:c r="C113" s="12" t="inlineStr">
        <ns0:is>
          <ns0:t>해수면부터 동도 정상까지</ns0:t>
        </ns0:is>
      </ns0:c>
      <ns0:c r="D113" s="12" t="n">
        <ns0:v>0</ns0:v>
      </ns0:c>
      <ns0:c r="E113" s="12" t="inlineStr">
        <ns0:is>
          <ns0:t>동도의 해발 높이는 98.6m예요.</ns0:t>
        </ns0:is>
      </ns0:c>
      <ns0:c r="F113" s="12" t="inlineStr">
        <ns0:is>
          <ns0:t>From sea level to Dongdo’s peak</ns0:t>
        </ns0:is>
      </ns0:c>
      <ns0:c r="G113" s="12" t="inlineStr">
        <ns0:is>
          <ns0:t>Dongdo’s elevation above sea level is 98.6 m.</ns0:t>
        </ns0:is>
      </ns0:c>
    </ns0:row>
    <ns0:row r="114" ht="33" customHeight="1">
      <ns0:c r="A114" s="10" t="n">
        <ns0:v>920039</ns0:v>
      </ns0:c>
      <ns0:c r="B114" s="10" t="inlineStr">
        <ns0:is>
          <ns0:t>a</ns0:t>
        </ns0:is>
      </ns0:c>
      <ns0:c r="C114" s="10" t="inlineStr">
        <ns0:is>
          <ns0:t>바닷속 화산체의 기저부부터</ns0:t>
        </ns0:is>
      </ns0:c>
      <ns0:c r="D114" s="10" t="n">
        <ns0:v>1</ns0:v>
      </ns0:c>
      <ns0:c r="E114" s="10" t="inlineStr">
        <ns0:is>
          <ns0:t>약 2,300m는 해저 기저부부터 화산체 전체를 본 높이예요.</ns0:t>
        </ns0:is>
      </ns0:c>
      <ns0:c r="F114" s="10" t="inlineStr">
        <ns0:is>
          <ns0:t>From the submarine base</ns0:t>
        </ns0:is>
      </ns0:c>
      <ns0:c r="G114" s="10" t="inlineStr">
        <ns0:is>
          <ns0:t>About 2,300 m describes the entire structure from its submarine base.</ns0:t>
        </ns0:is>
      </ns0:c>
    </ns0:row>
    <ns0:row r="115" ht="33" customHeight="1">
      <ns0:c r="A115" s="12" t="n">
        <ns0:v>920040</ns0:v>
      </ns0:c>
      <ns0:c r="B115" s="12" t="inlineStr">
        <ns0:is>
          <ns0:t>a</ns0:t>
        </ns0:is>
      </ns0:c>
      <ns0:c r="C115" s="12" t="inlineStr">
        <ns0:is>
          <ns0:t>높이를 재기 시작한 기준이 달라서</ns0:t>
        </ns0:is>
      </ns0:c>
      <ns0:c r="D115" s="12" t="n">
        <ns0:v>1</ns0:v>
      </ns0:c>
      <ns0:c r="E115" s="12" t="inlineStr">
        <ns0:is>
          <ns0:t>168.5m는 해수면부터, 약 2,300m는 해저 기저부부터 설명한 높이예요.</ns0:t>
        </ns0:is>
      </ns0:c>
      <ns0:c r="F115" s="12" t="inlineStr">
        <ns0:is>
          <ns0:t>The reference points for height differ</ns0:t>
        </ns0:is>
      </ns0:c>
      <ns0:c r="G115" s="12" t="inlineStr">
        <ns0:is>
          <ns0:t>168.5 m is relative to sea level; about 2,300 m is relative to the submarine base.</ns0:t>
        </ns0:is>
      </ns0:c>
    </ns0:row>
    <ns0:row r="116" ht="33" customHeight="1">
      <ns0:c r="A116" s="10" t="n">
        <ns0:v>920040</ns0:v>
      </ns0:c>
      <ns0:c r="B116" s="10" t="inlineStr">
        <ns0:is>
          <ns0:t>b</ns0:t>
        </ns0:is>
      </ns0:c>
      <ns0:c r="C116" s="10" t="inlineStr">
        <ns0:is>
          <ns0:t>168.5m는 동도, 2,300m는 서도 높이라서</ns0:t>
        </ns0:is>
      </ns0:c>
      <ns0:c r="D116" s="10" t="n">
        <ns0:v>0</ns0:v>
      </ns0:c>
      <ns0:c r="E116" s="10" t="inlineStr">
        <ns0:is>
          <ns0:t>서도 최고점은 해수면 기준 168.5m이고 동도는 98.6m예요.</ns0:t>
        </ns0:is>
      </ns0:c>
      <ns0:c r="F116" s="10" t="inlineStr">
        <ns0:is>
          <ns0:t>168.5 m is Dongdo and 2,300 m is Seodo</ns0:t>
        </ns0:is>
      </ns0:c>
      <ns0:c r="G116" s="10" t="inlineStr">
        <ns0:is>
          <ns0:t>Seodo reaches 168.5 m above sea level; Dongdo reaches 98.6 m.</ns0:t>
        </ns0:is>
      </ns0:c>
    </ns0:row>
    <ns0:row r="117" ht="38" customHeight="1">
      <ns0:c r="A117" s="12" t="n">
        <ns0:v>920040</ns0:v>
      </ns0:c>
      <ns0:c r="B117" s="12" t="inlineStr">
        <ns0:is>
          <ns0:t>c</ns0:t>
        </ns0:is>
      </ns0:c>
      <ns0:c r="C117" s="12" t="inlineStr">
        <ns0:is>
          <ns0:t>같은 시작점에서 잰 값의 단위만 달라서</ns0:t>
        </ns0:is>
      </ns0:c>
      <ns0:c r="D117" s="12" t="n">
        <ns0:v>0</ns0:v>
      </ns0:c>
      <ns0:c r="E117" s="12" t="inlineStr">
        <ns0:is>
          <ns0:t>둘 다 m를 쓰지만 높이의 시작 기준이 달라요.</ns0:t>
        </ns0:is>
      </ns0:c>
      <ns0:c r="F117" s="12" t="inlineStr">
        <ns0:is>
          <ns0:t>Only the units differ for measurements from one reference</ns0:t>
        </ns0:is>
      </ns0:c>
      <ns0:c r="G117" s="12" t="inlineStr">
        <ns0:is>
          <ns0:t>Both use metres; their reference points differ.</ns0:t>
        </ns0:is>
      </ns0:c>
    </ns0:row>
    <ns0:row r="118" ht="33" customHeight="1">
      <ns0:c r="A118" s="10" t="n">
        <ns0:v>920041</ns0:v>
      </ns0:c>
      <ns0:c r="B118" s="10" t="inlineStr">
        <ns0:is>
          <ns0:t>b</ns0:t>
        </ns0:is>
      </ns0:c>
      <ns0:c r="C118" s="10" t="inlineStr">
        <ns0:is>
          <ns0:t>강물의 모래 퇴적</ns0:t>
        </ns0:is>
      </ns0:c>
      <ns0:c r="D118" s="10" t="n">
        <ns0:v>0</ns0:v>
      </ns0:c>
      <ns0:c r="E118" s="10" t="inlineStr">
        <ns0:is>
          <ns0:t>강모래가 쌓이는 지형도 있지만 독도의 형성 원인은 해저 화산활동이에요.</ns0:t>
        </ns0:is>
      </ns0:c>
      <ns0:c r="F118" s="10" t="inlineStr">
        <ns0:is>
          <ns0:t>Deposition of river sand</ns0:t>
        </ns0:is>
      </ns0:c>
      <ns0:c r="G118" s="10" t="inlineStr">
        <ns0:is>
          <ns0:t>River deposits form other landforms, but Dokdo’s origin is volcanic.</ns0:t>
        </ns0:is>
      </ns0:c>
    </ns0:row>
    <ns0:row r="119" ht="33" customHeight="1">
      <ns0:c r="A119" s="12" t="n">
        <ns0:v>920041</ns0:v>
      </ns0:c>
      <ns0:c r="B119" s="12" t="inlineStr">
        <ns0:is>
          <ns0:t>c</ns0:t>
        </ns0:is>
      </ns0:c>
      <ns0:c r="C119" s="12" t="inlineStr">
        <ns0:is>
          <ns0:t>산호의 성장</ns0:t>
        </ns0:is>
      </ns0:c>
      <ns0:c r="D119" s="12" t="n">
        <ns0:v>0</ns0:v>
      </ns0:c>
      <ns0:c r="E119" s="12" t="inlineStr">
        <ns0:is>
          <ns0:t>산호섬과 달리 독도는 화산활동으로 만들어진 섬이에요.</ns0:t>
        </ns0:is>
      </ns0:c>
      <ns0:c r="F119" s="12" t="inlineStr">
        <ns0:is>
          <ns0:t>Coral growth</ns0:t>
        </ns0:is>
      </ns0:c>
      <ns0:c r="G119" s="12" t="inlineStr">
        <ns0:is>
          <ns0:t>Unlike a coral island, Dokdo is volcanic.</ns0:t>
        </ns0:is>
      </ns0:c>
    </ns0:row>
    <ns0:row r="120" ht="33" customHeight="1">
      <ns0:c r="A120" s="10" t="n">
        <ns0:v>920041</ns0:v>
      </ns0:c>
      <ns0:c r="B120" s="10" t="inlineStr">
        <ns0:is>
          <ns0:t>a</ns0:t>
        </ns0:is>
      </ns0:c>
      <ns0:c r="C120" s="10" t="inlineStr">
        <ns0:is>
          <ns0:t>바닷속 화산활동</ns0:t>
        </ns0:is>
      </ns0:c>
      <ns0:c r="D120" s="10" t="n">
        <ns0:v>1</ns0:v>
      </ns0:c>
      <ns0:c r="E120" s="10" t="inlineStr">
        <ns0:is>
          <ns0:t>바닷속에서 분출된 화산 물질이 쌓이며 독도 화산체가 만들어졌어요.</ns0:t>
        </ns0:is>
      </ns0:c>
      <ns0:c r="F120" s="10" t="inlineStr">
        <ns0:is>
          <ns0:t>Underwater volcanic activity</ns0:t>
        </ns0:is>
      </ns0:c>
      <ns0:c r="G120" s="10" t="inlineStr">
        <ns0:is>
          <ns0:t>Erupted volcanic material accumulated to form the Dokdo volcanic structure.</ns0:t>
        </ns0:is>
      </ns0:c>
    </ns0:row>
    <ns0:row r="121" ht="33" customHeight="1">
      <ns0:c r="A121" s="12" t="n">
        <ns0:v>920041</ns0:v>
      </ns0:c>
      <ns0:c r="B121" s="12" t="inlineStr">
        <ns0:is>
          <ns0:t>d</ns0:t>
        </ns0:is>
      </ns0:c>
      <ns0:c r="C121" s="12" t="inlineStr">
        <ns0:is>
          <ns0:t>빙하의 퇴적</ns0:t>
        </ns0:is>
      </ns0:c>
      <ns0:c r="D121" s="12" t="n">
        <ns0:v>0</ns0:v>
      </ns0:c>
      <ns0:c r="E121" s="12" t="inlineStr">
        <ns0:is>
          <ns0:t>독도는 빙하가 운반한 물질이 쌓여 생긴 섬으로 설명되지 않아요.</ns0:t>
        </ns0:is>
      </ns0:c>
      <ns0:c r="F121" s="12" t="inlineStr">
        <ns0:is>
          <ns0:t>Glacial deposition</ns0:t>
        </ns0:is>
      </ns0:c>
      <ns0:c r="G121" s="12" t="inlineStr">
        <ns0:is>
          <ns0:t>Dokdo is not described as an island built by glacial deposits.</ns0:t>
        </ns0:is>
      </ns0:c>
    </ns0:row>
    <ns0:row r="122" ht="33" customHeight="1">
      <ns0:c r="A122" s="10" t="n">
        <ns0:v>920042</ns0:v>
      </ns0:c>
      <ns0:c r="B122" s="10" t="inlineStr">
        <ns0:is>
          <ns0:t>b</ns0:t>
        </ns0:is>
      </ns0:c>
      <ns0:c r="C122" s="10" t="inlineStr">
        <ns0:is>
          <ns0:t>육지 강의 하구</ns0:t>
        </ns0:is>
      </ns0:c>
      <ns0:c r="D122" s="10" t="n">
        <ns0:v>0</ns0:v>
      </ns0:c>
      <ns0:c r="E122" s="10" t="inlineStr">
        <ns0:is>
          <ns0:t>독도의 출발점은 강 하구가 아니라 동해 바닷속이에요.</ns0:t>
        </ns0:is>
      </ns0:c>
      <ns0:c r="F122" s="10" t="inlineStr">
        <ns0:is>
          <ns0:t>At a river mouth on land</ns0:t>
        </ns0:is>
      </ns0:c>
      <ns0:c r="G122" s="10" t="inlineStr">
        <ns0:is>
          <ns0:t>Dokdo began beneath the East Sea, not at a river mouth.</ns0:t>
        </ns0:is>
      </ns0:c>
    </ns0:row>
    <ns0:row r="123" ht="33" customHeight="1">
      <ns0:c r="A123" s="12" t="n">
        <ns0:v>920042</ns0:v>
      </ns0:c>
      <ns0:c r="B123" s="12" t="inlineStr">
        <ns0:is>
          <ns0:t>a</ns0:t>
        </ns0:is>
      </ns0:c>
      <ns0:c r="C123" s="12" t="inlineStr">
        <ns0:is>
          <ns0:t>바닷속</ns0:t>
        </ns0:is>
      </ns0:c>
      <ns0:c r="D123" s="12" t="n">
        <ns0:v>1</ns0:v>
      </ns0:c>
      <ns0:c r="E123" s="12" t="inlineStr">
        <ns0:is>
          <ns0:t>독도 화산체는 바닷속에서 자라 나중에 일부가 수면 위로 드러났어요.</ns0:t>
        </ns0:is>
      </ns0:c>
      <ns0:c r="F123" s="12" t="inlineStr">
        <ns0:is>
          <ns0:t>Under the sea</ns0:t>
        </ns0:is>
      </ns0:c>
      <ns0:c r="G123" s="12" t="inlineStr">
        <ns0:is>
          <ns0:t>The structure grew underwater before part emerged above the surface.</ns0:t>
        </ns0:is>
      </ns0:c>
    </ns0:row>
    <ns0:row r="124" ht="33" customHeight="1">
      <ns0:c r="A124" s="10" t="n">
        <ns0:v>920042</ns0:v>
      </ns0:c>
      <ns0:c r="B124" s="10" t="inlineStr">
        <ns0:is>
          <ns0:t>c</ns0:t>
        </ns0:is>
      </ns0:c>
      <ns0:c r="C124" s="10" t="inlineStr">
        <ns0:is>
          <ns0:t>해안 모래사장</ns0:t>
        </ns0:is>
      </ns0:c>
      <ns0:c r="D124" s="10" t="n">
        <ns0:v>0</ns0:v>
      </ns0:c>
      <ns0:c r="E124" s="10" t="inlineStr">
        <ns0:is>
          <ns0:t>이미 있는 해변 위가 아니라 바닷속 화산활동에서 시작했어요.</ns0:t>
        </ns0:is>
      </ns0:c>
      <ns0:c r="F124" s="10" t="inlineStr">
        <ns0:is>
          <ns0:t>On a sandy beach</ns0:t>
        </ns0:is>
      </ns0:c>
      <ns0:c r="G124" s="10" t="inlineStr">
        <ns0:is>
          <ns0:t>Its origin was submarine volcanism, not construction on an existing beach.</ns0:t>
        </ns0:is>
      </ns0:c>
    </ns0:row>
    <ns0:row r="125" ht="33" customHeight="1">
      <ns0:c r="A125" s="12" t="n">
        <ns0:v>920043</ns0:v>
      </ns0:c>
      <ns0:c r="B125" s="12" t="inlineStr">
        <ns0:is>
          <ns0:t>b</ns0:t>
        </ns0:is>
      </ns0:c>
      <ns0:c r="C125" s="12" t="inlineStr">
        <ns0:is>
          <ns0:t>수면 위 출현 → 해저 분출 → 물질이 쌓임</ns0:t>
        </ns0:is>
      </ns0:c>
      <ns0:c r="D125" s="12" t="n">
        <ns0:v>0</ns0:v>
      </ns0:c>
      <ns0:c r="E125" s="12" t="inlineStr">
        <ns0:is>
          <ns0:t>독도는 먼저 물 위에 나타난 뒤 화산활동이 시작된 것으로 설명하지 않아요.</ns0:t>
        </ns0:is>
      </ns0:c>
      <ns0:c r="F125" s="12" t="inlineStr">
        <ns0:is>
          <ns0:t>Emergence → submarine eruption → accumulation</ns0:t>
        </ns0:is>
      </ns0:c>
      <ns0:c r="G125" s="12" t="inlineStr">
        <ns0:is>
          <ns0:t>The account does not place emergence before the initial submarine activity.</ns0:t>
        </ns0:is>
      </ns0:c>
    </ns0:row>
    <ns0:row r="126" ht="38" customHeight="1">
      <ns0:c r="A126" s="10" t="n">
        <ns0:v>920043</ns0:v>
      </ns0:c>
      <ns0:c r="B126" s="10" t="inlineStr">
        <ns0:is>
          <ns0:t>c</ns0:t>
        </ns0:is>
      </ns0:c>
      <ns0:c r="C126" s="10" t="inlineStr">
        <ns0:is>
          <ns0:t>물질이 쌓임 → 수면 위 출현 → 첫 해저 분출</ns0:t>
        </ns0:is>
      </ns0:c>
      <ns0:c r="D126" s="10" t="n">
        <ns0:v>0</ns0:v>
      </ns0:c>
      <ns0:c r="E126" s="10" t="inlineStr">
        <ns0:is>
          <ns0:t>화산 물질이 쌓이려면 분출이 먼저 있어야 해요.</ns0:t>
        </ns0:is>
      </ns0:c>
      <ns0:c r="F126" s="10" t="inlineStr">
        <ns0:is>
          <ns0:t>Accumulation → emergence → first submarine eruption</ns0:t>
        </ns0:is>
      </ns0:c>
      <ns0:c r="G126" s="10" t="inlineStr">
        <ns0:is>
          <ns0:t>Eruption supplies the material that accumulates.</ns0:t>
        </ns0:is>
      </ns0:c>
    </ns0:row>
    <ns0:row r="127" ht="38" customHeight="1">
      <ns0:c r="A127" s="12" t="n">
        <ns0:v>920043</ns0:v>
      </ns0:c>
      <ns0:c r="B127" s="12" t="inlineStr">
        <ns0:is>
          <ns0:t>a</ns0:t>
        </ns0:is>
      </ns0:c>
      <ns0:c r="C127" s="12" t="inlineStr">
        <ns0:is>
          <ns0:t>해저 분출 → 물질이 쌓임 → 일부가 수면 위로 드러남</ns0:t>
        </ns0:is>
      </ns0:c>
      <ns0:c r="D127" s="12" t="n">
        <ns0:v>1</ns0:v>
      </ns0:c>
      <ns0:c r="E127" s="12" t="inlineStr">
        <ns0:is>
          <ns0:t>분출된 물질이 쌓여 화산체가 커진 뒤 일부가 물 위로 드러났어요.</ns0:t>
        </ns0:is>
      </ns0:c>
      <ns0:c r="F127" s="12" t="inlineStr">
        <ns0:is>
          <ns0:t>Submarine eruption → accumulation → emergence</ns0:t>
        </ns0:is>
      </ns0:c>
      <ns0:c r="G127" s="12" t="inlineStr">
        <ns0:is>
          <ns0:t>Erupted material accumulated and built a structure that eventually emerged.</ns0:t>
        </ns0:is>
      </ns0:c>
    </ns0:row>
    <ns0:row r="128" ht="38" customHeight="1">
      <ns0:c r="A128" s="10" t="n">
        <ns0:v>920044</ns0:v>
      </ns0:c>
      <ns0:c r="B128" s="10" t="inlineStr">
        <ns0:is>
          <ns0:t>a</ns0:t>
        </ns0:is>
      </ns0:c>
      <ns0:c r="C128" s="10" t="inlineStr">
        <ns0:is>
          <ns0:t>화산이 섬을 만들고, 이후 파도가 해안을 깎았다</ns0:t>
        </ns0:is>
      </ns0:c>
      <ns0:c r="D128" s="10" t="n">
        <ns0:v>1</ns0:v>
      </ns0:c>
      <ns0:c r="E128" s="10" t="inlineStr">
        <ns0:is>
          <ns0:t>처음 만들어진 원인과 이후 모양이 변한 원인은 다를 수 있어요. 독도에는 두 과정이 이어졌어요.</ns0:t>
        </ns0:is>
      </ns0:c>
      <ns0:c r="F128" s="10" t="inlineStr">
        <ns0:is>
          <ns0:t>Volcanism built the island; later waves eroded its coast</ns0:t>
        </ns0:is>
      </ns0:c>
      <ns0:c r="G128" s="10" t="inlineStr">
        <ns0:is>
          <ns0:t>Formation and later reshaping are different processes, both relevant to Dokdo.</ns0:t>
        </ns0:is>
      </ns0:c>
    </ns0:row>
    <ns0:row r="129" ht="33" customHeight="1">
      <ns0:c r="A129" s="12" t="n">
        <ns0:v>920044</ns0:v>
      </ns0:c>
      <ns0:c r="B129" s="12" t="inlineStr">
        <ns0:is>
          <ns0:t>b</ns0:t>
        </ns0:is>
      </ns0:c>
      <ns0:c r="C129" s="12" t="inlineStr">
        <ns0:is>
          <ns0:t>파도가 화산 물질을 처음 분출시켰다</ns0:t>
        </ns0:is>
      </ns0:c>
      <ns0:c r="D129" s="12" t="n">
        <ns0:v>0</ns0:v>
      </ns0:c>
      <ns0:c r="E129" s="12" t="inlineStr">
        <ns0:is>
          <ns0:t>파도는 해안을 깎는 작용이며 해저 화산 분출의 원인으로 제시되지 않았어요.</ns0:t>
        </ns0:is>
      </ns0:c>
      <ns0:c r="F129" s="12" t="inlineStr">
        <ns0:is>
          <ns0:t>Waves caused the original volcanic eruptions</ns0:t>
        </ns0:is>
      </ns0:c>
      <ns0:c r="G129" s="12" t="inlineStr">
        <ns0:is>
          <ns0:t>Waves reshape the coast; the account does not identify them as causing eruptions.</ns0:t>
        </ns0:is>
      </ns0:c>
    </ns0:row>
    <ns0:row r="130" ht="38" customHeight="1">
      <ns0:c r="A130" s="10" t="n">
        <ns0:v>920044</ns0:v>
      </ns0:c>
      <ns0:c r="B130" s="10" t="inlineStr">
        <ns0:is>
          <ns0:t>c</ns0:t>
        </ns0:is>
      </ns0:c>
      <ns0:c r="C130" s="10" t="inlineStr">
        <ns0:is>
          <ns0:t>화산으로 생긴 뒤 해안은 변하지 않았다</ns0:t>
        </ns0:is>
      </ns0:c>
      <ns0:c r="D130" s="10" t="n">
        <ns0:v>0</ns0:v>
      </ns0:c>
      <ns0:c r="E130" s="10" t="inlineStr">
        <ns0:is>
          <ns0:t>자료에는 물 위로 드러난 뒤 침식이 계속되었다고 설명돼요.</ns0:t>
        </ns0:is>
      </ns0:c>
      <ns0:c r="F130" s="10" t="inlineStr">
        <ns0:is>
          <ns0:t>The coast stopped changing after volcanic formation</ns0:t>
        </ns0:is>
      </ns0:c>
      <ns0:c r="G130" s="10" t="inlineStr">
        <ns0:is>
          <ns0:t>The account describes erosion after emergence.</ns0:t>
        </ns0:is>
      </ns0:c>
    </ns0:row>
    <ns0:row r="131" ht="33" customHeight="1">
      <ns0:c r="A131" s="12" t="n">
        <ns0:v>920045</ns0:v>
      </ns0:c>
      <ns0:c r="B131" s="12" t="inlineStr">
        <ns0:is>
          <ns0:t>b</ns0:t>
        </ns0:is>
      </ns0:c>
      <ns0:c r="C131" s="12" t="inlineStr">
        <ns0:is>
          <ns0:t>울릉도 육지 위</ns0:t>
        </ns0:is>
      </ns0:c>
      <ns0:c r="D131" s="12" t="n">
        <ns0:v>0</ns0:v>
      </ns0:c>
      <ns0:c r="E131" s="12" t="inlineStr">
        <ns0:is>
          <ns0:t>독도는 울릉도에서 떨어져 나온 육지 조각으로 설명되지 않아요.</ns0:t>
        </ns0:is>
      </ns0:c>
      <ns0:c r="F131" s="12" t="inlineStr">
        <ns0:is>
          <ns0:t>On Ulleungdo’s land</ns0:t>
        </ns0:is>
      </ns0:c>
      <ns0:c r="G131" s="12" t="inlineStr">
        <ns0:is>
          <ns0:t>Dokdo is not described here as land broken off from Ulleungdo.</ns0:t>
        </ns0:is>
      </ns0:c>
    </ns0:row>
    <ns0:row r="132" ht="33" customHeight="1">
      <ns0:c r="A132" s="10" t="n">
        <ns0:v>920045</ns0:v>
      </ns0:c>
      <ns0:c r="B132" s="10" t="inlineStr">
        <ns0:is>
          <ns0:t>a</ns0:t>
        </ns0:is>
      </ns0:c>
      <ns0:c r="C132" s="10" t="inlineStr">
        <ns0:is>
          <ns0:t>동해 바닷속</ns0:t>
        </ns0:is>
      </ns0:c>
      <ns0:c r="D132" s="10" t="n">
        <ns0:v>1</ns0:v>
      </ns0:c>
      <ns0:c r="E132" s="10" t="inlineStr">
        <ns0:is>
          <ns0:t>독도는 바닷속 화산체가 자라 일부가 물 위로 드러난 섬이에요.</ns0:t>
        </ns0:is>
      </ns0:c>
      <ns0:c r="F132" s="10" t="inlineStr">
        <ns0:is>
          <ns0:t>Beneath the East Sea</ns0:t>
        </ns0:is>
      </ns0:c>
      <ns0:c r="G132" s="10" t="inlineStr">
        <ns0:is>
          <ns0:t>Dokdo is the exposed part of a structure that grew beneath the sea.</ns0:t>
        </ns0:is>
      </ns0:c>
    </ns0:row>
    <ns0:row r="133" ht="33" customHeight="1">
      <ns0:c r="A133" s="12" t="n">
        <ns0:v>920045</ns0:v>
      </ns0:c>
      <ns0:c r="B133" s="12" t="inlineStr">
        <ns0:is>
          <ns0:t>c</ns0:t>
        </ns0:is>
      </ns0:c>
      <ns0:c r="C133" s="12" t="inlineStr">
        <ns0:is>
          <ns0:t>한반도 강 하구</ns0:t>
        </ns0:is>
      </ns0:c>
      <ns0:c r="D133" s="12" t="n">
        <ns0:v>0</ns0:v>
      </ns0:c>
      <ns0:c r="E133" s="12" t="inlineStr">
        <ns0:is>
          <ns0:t>독도는 강 하구의 퇴적섬이 아니라 해저 화산섬이에요.</ns0:t>
        </ns0:is>
      </ns0:c>
      <ns0:c r="F133" s="12" t="inlineStr">
        <ns0:is>
          <ns0:t>At a river mouth on the Korean Peninsula</ns0:t>
        </ns0:is>
      </ns0:c>
      <ns0:c r="G133" s="12" t="inlineStr">
        <ns0:is>
          <ns0:t>Dokdo is a submarine volcanic island rather than a river-mouth deposit.</ns0:t>
        </ns0:is>
      </ns0:c>
    </ns0:row>
    <ns0:row r="134" ht="33" customHeight="1">
      <ns0:c r="A134" s="10" t="n">
        <ns0:v>920046</ns0:v>
      </ns0:c>
      <ns0:c r="B134" s="10" t="inlineStr">
        <ns0:is>
          <ns0:t>b</ns0:t>
        </ns0:is>
      </ns0:c>
      <ns0:c r="C134" s="10" t="inlineStr">
        <ns0:is>
          <ns0:t>산호가 섬을 덮는 성장</ns0:t>
        </ns0:is>
      </ns0:c>
      <ns0:c r="D134" s="10" t="n">
        <ns0:v>0</ns0:v>
      </ns0:c>
      <ns0:c r="E134" s="10" t="inlineStr">
        <ns0:is>
          <ns0:t>자료는 독도 모양의 주요 변화를 산호 성장으로 설명하지 않아요.</ns0:t>
        </ns0:is>
      </ns0:c>
      <ns0:c r="F134" s="10" t="inlineStr">
        <ns0:is>
          <ns0:t>Coral growing over the islands</ns0:t>
        </ns0:is>
      </ns0:c>
      <ns0:c r="G134" s="10" t="inlineStr">
        <ns0:is>
          <ns0:t>The account does not attribute the main reshaping to coral growth.</ns0:t>
        </ns0:is>
      </ns0:c>
    </ns0:row>
    <ns0:row r="135" ht="33" customHeight="1">
      <ns0:c r="A135" s="12" t="n">
        <ns0:v>920046</ns0:v>
      </ns0:c>
      <ns0:c r="B135" s="12" t="inlineStr">
        <ns0:is>
          <ns0:t>c</ns0:t>
        </ns0:is>
      </ns0:c>
      <ns0:c r="C135" s="12" t="inlineStr">
        <ns0:is>
          <ns0:t>강 하구에 모래가 쌓이는 퇴적</ns0:t>
        </ns0:is>
      </ns0:c>
      <ns0:c r="D135" s="12" t="n">
        <ns0:v>0</ns0:v>
      </ns0:c>
      <ns0:c r="E135" s="12" t="inlineStr">
        <ns0:is>
          <ns0:t>독도의 지형 변화 설명은 강 하구 삼각주의 형성과 달라요.</ns0:t>
        </ns0:is>
      </ns0:c>
      <ns0:c r="F135" s="12" t="inlineStr">
        <ns0:is>
          <ns0:t>Sand deposited at a river mouth</ns0:t>
        </ns0:is>
      </ns0:c>
      <ns0:c r="G135" s="12" t="inlineStr">
        <ns0:is>
          <ns0:t>The account of Dokdo differs from formation of a river delta.</ns0:t>
        </ns0:is>
      </ns0:c>
    </ns0:row>
    <ns0:row r="136" ht="33" customHeight="1">
      <ns0:c r="A136" s="10" t="n">
        <ns0:v>920046</ns0:v>
      </ns0:c>
      <ns0:c r="B136" s="10" t="inlineStr">
        <ns0:is>
          <ns0:t>a</ns0:t>
        </ns0:is>
      </ns0:c>
      <ns0:c r="C136" s="10" t="inlineStr">
        <ns0:is>
          <ns0:t>파도 등에 의한 침식</ns0:t>
        </ns0:is>
      </ns0:c>
      <ns0:c r="D136" s="10" t="n">
        <ns0:v>1</ns0:v>
      </ns0:c>
      <ns0:c r="E136" s="10" t="inlineStr">
        <ns0:is>
          <ns0:t>바다 위로 나온 뒤에도 파도에 깎이면서 독도의 해안 모양이 변했어요.</ns0:t>
        </ns0:is>
      </ns0:c>
      <ns0:c r="F136" s="10" t="inlineStr">
        <ns0:is>
          <ns0:t>Erosion by waves</ns0:t>
        </ns0:is>
      </ns0:c>
      <ns0:c r="G136" s="10" t="inlineStr">
        <ns0:is>
          <ns0:t>Erosion, including wave action, reshaped the exposed coastline.</ns0:t>
        </ns0:is>
      </ns0:c>
    </ns0:row>
    <ns0:row r="137" ht="33" customHeight="1">
      <ns0:c r="A137" s="12" t="n">
        <ns0:v>920047</ns0:v>
      </ns0:c>
      <ns0:c r="B137" s="12" t="inlineStr">
        <ns0:is>
          <ns0:t>a</ns0:t>
        </ns0:is>
      </ns0:c>
      <ns0:c r="C137" s="12" t="inlineStr">
        <ns0:is>
          <ns0:t>해저 화산활동 시작</ns0:t>
        </ns0:is>
      </ns0:c>
      <ns0:c r="D137" s="12" t="n">
        <ns0:v>1</ns0:v>
      </ns0:c>
      <ns0:c r="E137" s="12" t="inlineStr">
        <ns0:is>
          <ns0:t>약 460만 년 전이 약 250만 년 전보다 더 오래전이에요.</ns0:t>
        </ns0:is>
      </ns0:c>
      <ns0:c r="F137" s="12" t="inlineStr">
        <ns0:is>
          <ns0:t>The beginning of submarine volcanic activity</ns0:t>
        </ns0:is>
      </ns0:c>
      <ns0:c r="G137" s="12" t="inlineStr">
        <ns0:is>
          <ns0:t>About 4.6 million years ago is earlier than about 2.5 million years ago.</ns0:t>
        </ns0:is>
      </ns0:c>
    </ns0:row>
    <ns0:row r="138" ht="33" customHeight="1">
      <ns0:c r="A138" s="10" t="n">
        <ns0:v>920047</ns0:v>
      </ns0:c>
      <ns0:c r="B138" s="10" t="inlineStr">
        <ns0:is>
          <ns0:t>b</ns0:t>
        </ns0:is>
      </ns0:c>
      <ns0:c r="C138" s="10" t="inlineStr">
        <ns0:is>
          <ns0:t>수면 위로 드러남</ns0:t>
        </ns0:is>
      </ns0:c>
      <ns0:c r="D138" s="10" t="n">
        <ns0:v>0</ns0:v>
      </ns0:c>
      <ns0:c r="E138" s="10" t="inlineStr">
        <ns0:is>
          <ns0:t>수면 위로 드러난 시기는 해저 화산활동 시작보다 나중이에요.</ns0:t>
        </ns0:is>
      </ns0:c>
      <ns0:c r="F138" s="10" t="inlineStr">
        <ns0:is>
          <ns0:t>Emergence above the sea</ns0:t>
        </ns0:is>
      </ns0:c>
      <ns0:c r="G138" s="10" t="inlineStr">
        <ns0:is>
          <ns0:t>Emergence occurred later than the beginning of submarine activity.</ns0:t>
        </ns0:is>
      </ns0:c>
    </ns0:row>
    <ns0:row r="139" ht="33" customHeight="1">
      <ns0:c r="A139" s="12" t="n">
        <ns0:v>920048</ns0:v>
      </ns0:c>
      <ns0:c r="B139" s="12" t="inlineStr">
        <ns0:is>
          <ns0:t>b</ns0:t>
        </ns0:is>
      </ns0:c>
      <ns0:c r="C139" s="12" t="inlineStr">
        <ns0:is>
          <ns0:t>710만 년</ns0:t>
        </ns0:is>
      </ns0:c>
      <ns0:c r="D139" s="12" t="n">
        <ns0:v>0</ns0:v>
      </ns0:c>
      <ns0:c r="E139" s="12" t="inlineStr">
        <ns0:is>
          <ns0:t>두 시점을 더한 값이에요. 간격은 빼서 구해요.</ns0:t>
        </ns0:is>
      </ns0:c>
      <ns0:c r="F139" s="12" t="inlineStr">
        <ns0:is>
          <ns0:t>7.1 million years</ns0:t>
        </ns0:is>
      </ns0:c>
      <ns0:c r="G139" s="12" t="inlineStr">
        <ns0:is>
          <ns0:t>This adds the ages instead of finding their difference.</ns0:t>
        </ns0:is>
      </ns0:c>
    </ns0:row>
    <ns0:row r="140" ht="33" customHeight="1">
      <ns0:c r="A140" s="10" t="n">
        <ns0:v>920048</ns0:v>
      </ns0:c>
      <ns0:c r="B140" s="10" t="inlineStr">
        <ns0:is>
          <ns0:t>c</ns0:t>
        </ns0:is>
      </ns0:c>
      <ns0:c r="C140" s="10" t="inlineStr">
        <ns0:is>
          <ns0:t>21만 년</ns0:t>
        </ns0:is>
      </ns0:c>
      <ns0:c r="D140" s="10" t="n">
        <ns0:v>0</ns0:v>
      </ns0:c>
      <ns0:c r="E140" s="10" t="inlineStr">
        <ns0:is>
          <ns0:t>210만 년에서 자릿수가 하나 줄었어요.</ns0:t>
        </ns0:is>
      </ns0:c>
      <ns0:c r="F140" s="10" t="inlineStr">
        <ns0:is>
          <ns0:t>210,000 years</ns0:t>
        </ns0:is>
      </ns0:c>
      <ns0:c r="G140" s="10" t="inlineStr">
        <ns0:is>
          <ns0:t>This is one tenth of the calculated difference.</ns0:t>
        </ns0:is>
      </ns0:c>
    </ns0:row>
    <ns0:row r="141" ht="33" customHeight="1">
      <ns0:c r="A141" s="12" t="n">
        <ns0:v>920048</ns0:v>
      </ns0:c>
      <ns0:c r="B141" s="12" t="inlineStr">
        <ns0:is>
          <ns0:t>d</ns0:t>
        </ns0:is>
      </ns0:c>
      <ns0:c r="C141" s="12" t="inlineStr">
        <ns0:is>
          <ns0:t>250만 년</ns0:t>
        </ns0:is>
      </ns0:c>
      <ns0:c r="D141" s="12" t="n">
        <ns0:v>0</ns0:v>
      </ns0:c>
      <ns0:c r="E141" s="12" t="inlineStr">
        <ns0:is>
          <ns0:t>250만 년은 한 사건의 시점이고 두 시점의 차이가 아니에요.</ns0:t>
        </ns0:is>
      </ns0:c>
      <ns0:c r="F141" s="12" t="inlineStr">
        <ns0:is>
          <ns0:t>2.5 million years</ns0:t>
        </ns0:is>
      </ns0:c>
      <ns0:c r="G141" s="12" t="inlineStr">
        <ns0:is>
          <ns0:t>2.5 million years is one event’s age, not the gap between them.</ns0:t>
        </ns0:is>
      </ns0:c>
    </ns0:row>
    <ns0:row r="142" ht="33" customHeight="1">
      <ns0:c r="A142" s="10" t="n">
        <ns0:v>920048</ns0:v>
      </ns0:c>
      <ns0:c r="B142" s="10" t="inlineStr">
        <ns0:is>
          <ns0:t>a</ns0:t>
        </ns0:is>
      </ns0:c>
      <ns0:c r="C142" s="10" t="inlineStr">
        <ns0:is>
          <ns0:t>210만 년</ns0:t>
        </ns0:is>
      </ns0:c>
      <ns0:c r="D142" s="10" t="n">
        <ns0:v>1</ns0:v>
      </ns0:c>
      <ns0:c r="E142" s="10" t="inlineStr">
        <ns0:is>
          <ns0:t>460만−250만=210만 년이에요. 자료의 대략적인 시점끼리 계산한 차이예요.</ns0:t>
        </ns0:is>
      </ns0:c>
      <ns0:c r="F142" s="10" t="inlineStr">
        <ns0:is>
          <ns0:t>2.1 million years</ns0:t>
        </ns0:is>
      </ns0:c>
      <ns0:c r="G142" s="10" t="inlineStr">
        <ns0:is>
          <ns0:t>4.6 − 2.5 = 2.1 million years, using the supplied approximate dates.</ns0:t>
        </ns0:is>
      </ns0:c>
    </ns0:row>
    <ns0:row r="143" ht="33" customHeight="1">
      <ns0:c r="A143" s="12" t="n">
        <ns0:v>920049</ns0:v>
      </ns0:c>
      <ns0:c r="B143" s="12" t="inlineStr">
        <ns0:is>
          <ns0:t>a</ns0:t>
        </ns0:is>
      </ns0:c>
      <ns0:c r="C143" s="12" t="inlineStr">
        <ns0:is>
          <ns0:t>파도</ns0:t>
        </ns0:is>
      </ns0:c>
      <ns0:c r="D143" s="12" t="n">
        <ns0:v>1</ns0:v>
      </ns0:c>
      <ns0:c r="E143" s="12" t="inlineStr">
        <ns0:is>
          <ns0:t>파도가 해안에 부딪치며 바위를 깎는 작용을 해요.</ns0:t>
        </ns0:is>
      </ns0:c>
      <ns0:c r="F143" s="12" t="inlineStr">
        <ns0:is>
          <ns0:t>Waves</ns0:t>
        </ns0:is>
      </ns0:c>
      <ns0:c r="G143" s="12" t="inlineStr">
        <ns0:is>
          <ns0:t>Waves striking the shore contribute to erosion.</ns0:t>
        </ns0:is>
      </ns0:c>
    </ns0:row>
    <ns0:row r="144" ht="33" customHeight="1">
      <ns0:c r="A144" s="10" t="n">
        <ns0:v>920049</ns0:v>
      </ns0:c>
      <ns0:c r="B144" s="10" t="inlineStr">
        <ns0:is>
          <ns0:t>b</ns0:t>
        </ns0:is>
      </ns0:c>
      <ns0:c r="C144" s="10" t="inlineStr">
        <ns0:is>
          <ns0:t>강의 흐름</ns0:t>
        </ns0:is>
      </ns0:c>
      <ns0:c r="D144" s="10" t="n">
        <ns0:v>0</ns0:v>
      </ns0:c>
      <ns0:c r="E144" s="10" t="inlineStr">
        <ns0:is>
          <ns0:t>독도 해안에서 바닷물이 바위를 때리는 것은 강물이 아니라 파도예요.</ns0:t>
        </ns0:is>
      </ns0:c>
      <ns0:c r="F144" s="10" t="inlineStr">
        <ns0:is>
          <ns0:t>River flow</ns0:t>
        </ns0:is>
      </ns0:c>
      <ns0:c r="G144" s="10" t="inlineStr">
        <ns0:is>
          <ns0:t>The question describes waves at the coast, not river flow.</ns0:t>
        </ns0:is>
      </ns0:c>
    </ns0:row>
    <ns0:row r="145" ht="33" customHeight="1">
      <ns0:c r="A145" s="12" t="n">
        <ns0:v>920049</ns0:v>
      </ns0:c>
      <ns0:c r="B145" s="12" t="inlineStr">
        <ns0:is>
          <ns0:t>c</ns0:t>
        </ns0:is>
      </ns0:c>
      <ns0:c r="C145" s="12" t="inlineStr">
        <ns0:is>
          <ns0:t>빙하의 이동</ns0:t>
        </ns0:is>
      </ns0:c>
      <ns0:c r="D145" s="12" t="n">
        <ns0:v>0</ns0:v>
      </ns0:c>
      <ns0:c r="E145" s="12" t="inlineStr">
        <ns0:is>
          <ns0:t>자료의 해안 변화는 빙하가 아니라 파도에 의한 작용이에요.</ns0:t>
        </ns0:is>
      </ns0:c>
      <ns0:c r="F145" s="12" t="inlineStr">
        <ns0:is>
          <ns0:t>Glacial movement</ns0:t>
        </ns0:is>
      </ns0:c>
      <ns0:c r="G145" s="12" t="inlineStr">
        <ns0:is>
          <ns0:t>The coastal process described is wave erosion rather than glacial movement.</ns0:t>
        </ns0:is>
      </ns0:c>
    </ns0:row>
    <ns0:row r="146" ht="33" customHeight="1">
      <ns0:c r="A146" s="10" t="n">
        <ns0:v>920050</ns0:v>
      </ns0:c>
      <ns0:c r="B146" s="10" t="inlineStr">
        <ns0:is>
          <ns0:t>b</ns0:t>
        </ns0:is>
      </ns0:c>
      <ns0:c r="C146" s="10" t="inlineStr">
        <ns0:is>
          <ns0:t>퇴적</ns0:t>
        </ns0:is>
      </ns0:c>
      <ns0:c r="D146" s="10" t="n">
        <ns0:v>0</ns0:v>
      </ns0:c>
      <ns0:c r="E146" s="10" t="inlineStr">
        <ns0:is>
          <ns0:t>퇴적은 물질이 쌓이는 것이고, 질문은 깎이는 작용을 묻고 있어요.</ns0:t>
        </ns0:is>
      </ns0:c>
      <ns0:c r="F146" s="10" t="inlineStr">
        <ns0:is>
          <ns0:t>Deposition</ns0:t>
        </ns0:is>
      </ns0:c>
      <ns0:c r="G146" s="10" t="inlineStr">
        <ns0:is>
          <ns0:t>Deposition is accumulation; the question concerns wearing away.</ns0:t>
        </ns0:is>
      </ns0:c>
    </ns0:row>
    <ns0:row r="147" ht="33" customHeight="1">
      <ns0:c r="A147" s="12" t="n">
        <ns0:v>920050</ns0:v>
      </ns0:c>
      <ns0:c r="B147" s="12" t="inlineStr">
        <ns0:is>
          <ns0:t>a</ns0:t>
        </ns0:is>
      </ns0:c>
      <ns0:c r="C147" s="12" t="inlineStr">
        <ns0:is>
          <ns0:t>해식</ns0:t>
        </ns0:is>
      </ns0:c>
      <ns0:c r="D147" s="12" t="n">
        <ns0:v>1</ns0:v>
      </ns0:c>
      <ns0:c r="E147" s="12" t="inlineStr">
        <ns0:is>
          <ns0:t>해식은 바다의 파도 등이 해안 지형을 깎는 작용이에요.</ns0:t>
        </ns0:is>
      </ns0:c>
      <ns0:c r="F147" s="12" t="inlineStr">
        <ns0:is>
          <ns0:t>Marine erosion</ns0:t>
        </ns0:is>
      </ns0:c>
      <ns0:c r="G147" s="12" t="inlineStr">
        <ns0:is>
          <ns0:t>Marine erosion is the wearing away of coastal material by the sea.</ns0:t>
        </ns0:is>
      </ns0:c>
    </ns0:row>
    <ns0:row r="148" ht="33" customHeight="1">
      <ns0:c r="A148" s="10" t="n">
        <ns0:v>920050</ns0:v>
      </ns0:c>
      <ns0:c r="B148" s="10" t="inlineStr">
        <ns0:is>
          <ns0:t>c</ns0:t>
        </ns0:is>
      </ns0:c>
      <ns0:c r="C148" s="10" t="inlineStr">
        <ns0:is>
          <ns0:t>분출</ns0:t>
        </ns0:is>
      </ns0:c>
      <ns0:c r="D148" s="10" t="n">
        <ns0:v>0</ns0:v>
      </ns0:c>
      <ns0:c r="E148" s="10" t="inlineStr">
        <ns0:is>
          <ns0:t>분출은 화산 물질 등이 뿜어져 나오는 것이에요.</ns0:t>
        </ns0:is>
      </ns0:c>
      <ns0:c r="F148" s="10" t="inlineStr">
        <ns0:is>
          <ns0:t>Eruption</ns0:t>
        </ns0:is>
      </ns0:c>
      <ns0:c r="G148" s="10" t="inlineStr">
        <ns0:is>
          <ns0:t>Eruption releases volcanic material rather than eroding coastal rock.</ns0:t>
        </ns0:is>
      </ns0:c>
    </ns0:row>
    <ns0:row r="149" ht="33" customHeight="1">
      <ns0:c r="A149" s="12" t="n">
        <ns0:v>920051</ns0:v>
      </ns0:c>
      <ns0:c r="B149" s="12" t="inlineStr">
        <ns0:is>
          <ns0:t>b</ns0:t>
        </ns0:is>
      </ns0:c>
      <ns0:c r="C149" s="12" t="inlineStr">
        <ns0:is>
          <ns0:t>강이 실어 온 모래가 쌓이는 작용</ns0:t>
        </ns0:is>
      </ns0:c>
      <ns0:c r="D149" s="12" t="n">
        <ns0:v>0</ns0:v>
      </ns0:c>
      <ns0:c r="E149" s="12" t="inlineStr">
        <ns0:is>
          <ns0:t>모래가 쌓인 지형이 아니라 바위에 뚫린 해식아치예요.</ns0:t>
        </ns0:is>
      </ns0:c>
      <ns0:c r="F149" s="12" t="inlineStr">
        <ns0:is>
          <ns0:t>Accumulation of sand carried by a river</ns0:t>
        </ns0:is>
      </ns0:c>
      <ns0:c r="G149" s="12" t="inlineStr">
        <ns0:is>
          <ns0:t>This is an opening eroded through rock, not a river-sand deposit.</ns0:t>
        </ns0:is>
      </ns0:c>
    </ns0:row>
    <ns0:row r="150" ht="33" customHeight="1">
      <ns0:c r="A150" s="10" t="n">
        <ns0:v>920051</ns0:v>
      </ns0:c>
      <ns0:c r="B150" s="10" t="inlineStr">
        <ns0:is>
          <ns0:t>c</ns0:t>
        </ns0:is>
      </ns0:c>
      <ns0:c r="C150" s="10" t="inlineStr">
        <ns0:is>
          <ns0:t>산호가 고리 모양으로 자라는 작용</ns0:t>
        </ns0:is>
      </ns0:c>
      <ns0:c r="D150" s="10" t="n">
        <ns0:v>0</ns0:v>
      </ns0:c>
      <ns0:c r="E150" s="10" t="inlineStr">
        <ns0:is>
          <ns0:t>독립문바위의 아치는 산호초가 아니라 해안 바위에 생긴 구조예요.</ns0:t>
        </ns0:is>
      </ns0:c>
      <ns0:c r="F150" s="10" t="inlineStr">
        <ns0:is>
          <ns0:t>Coral growing into a ring</ns0:t>
        </ns0:is>
      </ns0:c>
      <ns0:c r="G150" s="10" t="inlineStr">
        <ns0:is>
          <ns0:t>The arch is in coastal rock, not a coral ring.</ns0:t>
        </ns0:is>
      </ns0:c>
    </ns0:row>
    <ns0:row r="151" ht="33" customHeight="1">
      <ns0:c r="A151" s="12" t="n">
        <ns0:v>920051</ns0:v>
      </ns0:c>
      <ns0:c r="B151" s="12" t="inlineStr">
        <ns0:is>
          <ns0:t>a</ns0:t>
        </ns0:is>
      </ns0:c>
      <ns0:c r="C151" s="12" t="inlineStr">
        <ns0:is>
          <ns0:t>해안 바위가 파도에 깎이는 작용</ns0:t>
        </ns0:is>
      </ns0:c>
      <ns0:c r="D151" s="12" t="n">
        <ns0:v>1</ns0:v>
      </ns0:c>
      <ns0:c r="E151" s="12" t="inlineStr">
        <ns0:is>
          <ns0:t>바위가 깎여 통로가 생긴 해식아치이므로 파도의 침식과 연결돼요.</ns0:t>
        </ns0:is>
      </ns0:c>
      <ns0:c r="F151" s="12" t="inlineStr">
        <ns0:is>
          <ns0:t>Wave erosion of coastal rock</ns0:t>
        </ns0:is>
      </ns0:c>
      <ns0:c r="G151" s="12" t="inlineStr">
        <ns0:is>
          <ns0:t>The rock is a sea arch formed through erosion of coastal rock.</ns0:t>
        </ns0:is>
      </ns0:c>
    </ns0:row>
    <ns0:row r="152" ht="38" customHeight="1">
      <ns0:c r="A152" s="10" t="n">
        <ns0:v>920052</ns0:v>
      </ns0:c>
      <ns0:c r="B152" s="10" t="inlineStr">
        <ns0:is>
          <ns0:t>a</ns0:t>
        </ns0:is>
      </ns0:c>
      <ns0:c r="C152" s="10" t="inlineStr">
        <ns0:is>
          <ns0:t>바닷가 암벽의 약한 부분이 깎여 구멍이 생겼다</ns0:t>
        </ns0:is>
      </ns0:c>
      <ns0:c r="D152" s="10" t="n">
        <ns0:v>1</ns0:v>
      </ns0:c>
      <ns0:c r="E152" s="10" t="inlineStr">
        <ns0:is>
          <ns0:t>해안 바위가 깎인 과정이므로 해식 지형의 설명에 맞아요.</ns0:t>
        </ns0:is>
      </ns0:c>
      <ns0:c r="F152" s="10" t="inlineStr">
        <ns0:is>
          <ns0:t>Weak parts of coastal rock were eroded into an opening</ns0:t>
        </ns0:is>
      </ns0:c>
      <ns0:c r="G152" s="10" t="inlineStr">
        <ns0:is>
          <ns0:t>This describes coastal rock being worn away, consistent with marine erosion.</ns0:t>
        </ns0:is>
      </ns0:c>
    </ns0:row>
    <ns0:row r="153" ht="38" customHeight="1">
      <ns0:c r="A153" s="12" t="n">
        <ns0:v>920052</ns0:v>
      </ns0:c>
      <ns0:c r="B153" s="12" t="inlineStr">
        <ns0:is>
          <ns0:t>b</ns0:t>
        </ns0:is>
      </ns0:c>
      <ns0:c r="C153" s="12" t="inlineStr">
        <ns0:is>
          <ns0:t>해저에서 분출물이 쌓여 화산체가 커졌다</ns0:t>
        </ns0:is>
      </ns0:c>
      <ns0:c r="D153" s="12" t="n">
        <ns0:v>0</ns0:v>
      </ns0:c>
      <ns0:c r="E153" s="12" t="inlineStr">
        <ns0:is>
          <ns0:t>이것은 독도의 형성 과정이고, 해안 바위가 깎이는 해식 과정은 아니에요.</ns0:t>
        </ns0:is>
      </ns0:c>
      <ns0:c r="F153" s="12" t="inlineStr">
        <ns0:is>
          <ns0:t>Erupted material accumulated into a larger submarine volcano</ns0:t>
        </ns0:is>
      </ns0:c>
      <ns0:c r="G153" s="12" t="inlineStr">
        <ns0:is>
          <ns0:t>This describes volcanic construction, not coastal erosion.</ns0:t>
        </ns0:is>
      </ns0:c>
    </ns0:row>
    <ns0:row r="154" ht="33" customHeight="1">
      <ns0:c r="A154" s="10" t="n">
        <ns0:v>920052</ns0:v>
      </ns0:c>
      <ns0:c r="B154" s="10" t="inlineStr">
        <ns0:is>
          <ns0:t>c</ns0:t>
        </ns0:is>
      </ns0:c>
      <ns0:c r="C154" s="10" t="inlineStr">
        <ns0:is>
          <ns0:t>모래가 물 밑에 가라앉아 새 층을 이루었다</ns0:t>
        </ns0:is>
      </ns0:c>
      <ns0:c r="D154" s="10" t="n">
        <ns0:v>0</ns0:v>
      </ns0:c>
      <ns0:c r="E154" s="10" t="inlineStr">
        <ns0:is>
          <ns0:t>새 층이 쌓이는 것은 퇴적이에요. 해식은 깎이는 과정이에요.</ns0:t>
        </ns0:is>
      </ns0:c>
      <ns0:c r="F154" s="10" t="inlineStr">
        <ns0:is>
          <ns0:t>Sand settled underwater to form a new layer</ns0:t>
        </ns0:is>
      </ns0:c>
      <ns0:c r="G154" s="10" t="inlineStr">
        <ns0:is>
          <ns0:t>Settling and accumulation are deposition rather than erosion.</ns0:t>
        </ns0:is>
      </ns0:c>
    </ns0:row>
    <ns0:row r="155" ht="33" customHeight="1">
      <ns0:c r="A155" s="12" t="n">
        <ns0:v>920053</ns0:v>
      </ns0:c>
      <ns0:c r="B155" s="12" t="inlineStr">
        <ns0:is>
          <ns0:t>b</ns0:t>
        </ns0:is>
      </ns0:c>
      <ns0:c r="C155" s="12" t="inlineStr">
        <ns0:is>
          <ns0:t>분출</ns0:t>
        </ns0:is>
      </ns0:c>
      <ns0:c r="D155" s="12" t="n">
        <ns0:v>0</ns0:v>
      </ns0:c>
      <ns0:c r="E155" s="12" t="inlineStr">
        <ns0:is>
          <ns0:t>분출은 화산 물질이 나오는 과정으로, 이미 있는 바위가 약해지는 과정과 달라요.</ns0:t>
        </ns0:is>
      </ns0:c>
      <ns0:c r="F155" s="12" t="inlineStr">
        <ns0:is>
          <ns0:t>Eruption</ns0:t>
        </ns0:is>
      </ns0:c>
      <ns0:c r="G155" s="12" t="inlineStr">
        <ns0:is>
          <ns0:t>Eruption releases material; it does not name the breakdown of existing rock.</ns0:t>
        </ns0:is>
      </ns0:c>
    </ns0:row>
    <ns0:row r="156" ht="33" customHeight="1">
      <ns0:c r="A156" s="10" t="n">
        <ns0:v>920053</ns0:v>
      </ns0:c>
      <ns0:c r="B156" s="10" t="inlineStr">
        <ns0:is>
          <ns0:t>a</ns0:t>
        </ns0:is>
      </ns0:c>
      <ns0:c r="C156" s="10" t="inlineStr">
        <ns0:is>
          <ns0:t>풍화</ns0:t>
        </ns0:is>
      </ns0:c>
      <ns0:c r="D156" s="10" t="n">
        <ns0:v>1</ns0:v>
      </ns0:c>
      <ns0:c r="E156" s="10" t="inlineStr">
        <ns0:is>
          <ns0:t>풍화는 바위가 주변 환경의 영향을 받아 약해지거나 부서지는 과정이에요.</ns0:t>
        </ns0:is>
      </ns0:c>
      <ns0:c r="F156" s="10" t="inlineStr">
        <ns0:is>
          <ns0:t>Weathering</ns0:t>
        </ns0:is>
      </ns0:c>
      <ns0:c r="G156" s="10" t="inlineStr">
        <ns0:is>
          <ns0:t>Weathering weakens or breaks down rock through environmental exposure.</ns0:t>
        </ns0:is>
      </ns0:c>
    </ns0:row>
    <ns0:row r="157" ht="33" customHeight="1">
      <ns0:c r="A157" s="12" t="n">
        <ns0:v>920053</ns0:v>
      </ns0:c>
      <ns0:c r="B157" s="12" t="inlineStr">
        <ns0:is>
          <ns0:t>c</ns0:t>
        </ns0:is>
      </ns0:c>
      <ns0:c r="C157" s="12" t="inlineStr">
        <ns0:is>
          <ns0:t>퇴적</ns0:t>
        </ns0:is>
      </ns0:c>
      <ns0:c r="D157" s="12" t="n">
        <ns0:v>0</ns0:v>
      </ns0:c>
      <ns0:c r="E157" s="12" t="inlineStr">
        <ns0:is>
          <ns0:t>퇴적은 물질이 쌓이는 과정이에요.</ns0:t>
        </ns0:is>
      </ns0:c>
      <ns0:c r="F157" s="12" t="inlineStr">
        <ns0:is>
          <ns0:t>Deposition</ns0:t>
        </ns0:is>
      </ns0:c>
      <ns0:c r="G157" s="12" t="inlineStr">
        <ns0:is>
          <ns0:t>Deposition is the accumulation of material.</ns0:t>
        </ns0:is>
      </ns0:c>
    </ns0:row>
    <ns0:row r="158" ht="33" customHeight="1">
      <ns0:c r="A158" s="10" t="n">
        <ns0:v>920054</ns0:v>
      </ns0:c>
      <ns0:c r="B158" s="10" t="inlineStr">
        <ns0:is>
          <ns0:t>b</ns0:t>
        </ns0:is>
      </ns0:c>
      <ns0:c r="C158" s="10" t="inlineStr">
        <ns0:is>
          <ns0:t>분출</ns0:t>
        </ns0:is>
      </ns0:c>
      <ns0:c r="D158" s="10" t="n">
        <ns0:v>0</ns0:v>
      </ns0:c>
      <ns0:c r="E158" s="10" t="inlineStr">
        <ns0:is>
          <ns0:t>파도가 옮긴 조각이 쌓이는 것은 화산에서 새 물질이 나오는 분출이 아니에요.</ns0:t>
        </ns0:is>
      </ns0:c>
      <ns0:c r="F158" s="10" t="inlineStr">
        <ns0:is>
          <ns0:t>Eruption</ns0:t>
        </ns0:is>
      </ns0:c>
      <ns0:c r="G158" s="10" t="inlineStr">
        <ns0:is>
          <ns0:t>Accumulating transported fragments is not a volcanic eruption.</ns0:t>
        </ns0:is>
      </ns0:c>
    </ns0:row>
    <ns0:row r="159" ht="33" customHeight="1">
      <ns0:c r="A159" s="12" t="n">
        <ns0:v>920054</ns0:v>
      </ns0:c>
      <ns0:c r="B159" s="12" t="inlineStr">
        <ns0:is>
          <ns0:t>c</ns0:t>
        </ns0:is>
      </ns0:c>
      <ns0:c r="C159" s="12" t="inlineStr">
        <ns0:is>
          <ns0:t>풍화</ns0:t>
        </ns0:is>
      </ns0:c>
      <ns0:c r="D159" s="12" t="n">
        <ns0:v>0</ns0:v>
      </ns0:c>
      <ns0:c r="E159" s="12" t="inlineStr">
        <ns0:is>
          <ns0:t>풍화는 바위가 약해지는 과정이고, 조각이 쌓이는 것은 퇴적이에요.</ns0:t>
        </ns0:is>
      </ns0:c>
      <ns0:c r="F159" s="12" t="inlineStr">
        <ns0:is>
          <ns0:t>Weathering</ns0:t>
        </ns0:is>
      </ns0:c>
      <ns0:c r="G159" s="12" t="inlineStr">
        <ns0:is>
          <ns0:t>Weathering breaks rock down; deposition is accumulation.</ns0:t>
        </ns0:is>
      </ns0:c>
    </ns0:row>
    <ns0:row r="160" ht="33" customHeight="1">
      <ns0:c r="A160" s="10" t="n">
        <ns0:v>920054</ns0:v>
      </ns0:c>
      <ns0:c r="B160" s="10" t="inlineStr">
        <ns0:is>
          <ns0:t>a</ns0:t>
        </ns0:is>
      </ns0:c>
      <ns0:c r="C160" s="10" t="inlineStr">
        <ns0:is>
          <ns0:t>퇴적</ns0:t>
        </ns0:is>
      </ns0:c>
      <ns0:c r="D160" s="10" t="n">
        <ns0:v>1</ns0:v>
      </ns0:c>
      <ns0:c r="E160" s="10" t="inlineStr">
        <ns0:is>
          <ns0:t>옮겨진 조각이 쌓이는 단계는 퇴적이에요. 깎여 나오는 침식과 구분해요.</ns0:t>
        </ns0:is>
      </ns0:c>
      <ns0:c r="F160" s="10" t="inlineStr">
        <ns0:is>
          <ns0:t>Deposition</ns0:t>
        </ns0:is>
      </ns0:c>
      <ns0:c r="G160" s="10" t="inlineStr">
        <ns0:is>
          <ns0:t>The accumulation stage is deposition, distinct from removal by erosion.</ns0:t>
        </ns0:is>
      </ns0:c>
    </ns0:row>
    <ns0:row r="161" ht="33" customHeight="1">
      <ns0:c r="A161" s="12" t="n">
        <ns0:v>920055</ns0:v>
      </ns0:c>
      <ns0:c r="B161" s="12" t="inlineStr">
        <ns0:is>
          <ns0:t>a</ns0:t>
        </ns0:is>
      </ns0:c>
      <ns0:c r="C161" s="12" t="inlineStr">
        <ns0:is>
          <ns0:t>풍화 → 침식</ns0:t>
        </ns0:is>
      </ns0:c>
      <ns0:c r="D161" s="12" t="n">
        <ns0:v>1</ns0:v>
      </ns0:c>
      <ns0:c r="E161" s="12" t="inlineStr">
        <ns0:is>
          <ns0:t>먼저 바위가 약해지는 풍화가 있고, 이어 파도에 깎이는 침식이 있어요.</ns0:t>
        </ns0:is>
      </ns0:c>
      <ns0:c r="F161" s="12" t="inlineStr">
        <ns0:is>
          <ns0:t>Weathering → erosion</ns0:t>
        </ns0:is>
      </ns0:c>
      <ns0:c r="G161" s="12" t="inlineStr">
        <ns0:is>
          <ns0:t>Weathering weakens the rock before erosion removes material.</ns0:t>
        </ns0:is>
      </ns0:c>
    </ns0:row>
    <ns0:row r="162" ht="33" customHeight="1">
      <ns0:c r="A162" s="10" t="n">
        <ns0:v>920055</ns0:v>
      </ns0:c>
      <ns0:c r="B162" s="10" t="inlineStr">
        <ns0:is>
          <ns0:t>b</ns0:t>
        </ns0:is>
      </ns0:c>
      <ns0:c r="C162" s="10" t="inlineStr">
        <ns0:is>
          <ns0:t>퇴적 → 풍화</ns0:t>
        </ns0:is>
      </ns0:c>
      <ns0:c r="D162" s="10" t="n">
        <ns0:v>0</ns0:v>
      </ns0:c>
      <ns0:c r="E162" s="10" t="inlineStr">
        <ns0:is>
          <ns0:t>먼저 조각이 쌓였다는 설명이 없어요. 첫 과정은 풍화예요.</ns0:t>
        </ns0:is>
      </ns0:c>
      <ns0:c r="F162" s="10" t="inlineStr">
        <ns0:is>
          <ns0:t>Deposition → weathering</ns0:t>
        </ns0:is>
      </ns0:c>
      <ns0:c r="G162" s="10" t="inlineStr">
        <ns0:is>
          <ns0:t>No initial accumulation is described; the first process is weathering.</ns0:t>
        </ns0:is>
      </ns0:c>
    </ns0:row>
    <ns0:row r="163" ht="33" customHeight="1">
      <ns0:c r="A163" s="12" t="n">
        <ns0:v>920055</ns0:v>
      </ns0:c>
      <ns0:c r="B163" s="12" t="inlineStr">
        <ns0:is>
          <ns0:t>c</ns0:t>
        </ns0:is>
      </ns0:c>
      <ns0:c r="C163" s="12" t="inlineStr">
        <ns0:is>
          <ns0:t>분출 → 퇴적</ns0:t>
        </ns0:is>
      </ns0:c>
      <ns0:c r="D163" s="12" t="n">
        <ns0:v>0</ns0:v>
      </ns0:c>
      <ns0:c r="E163" s="12" t="inlineStr">
        <ns0:is>
          <ns0:t>이 관찰은 화산 분출이 아니라 이미 있는 해안 바위의 변화를 다뤄요.</ns0:t>
        </ns0:is>
      </ns0:c>
      <ns0:c r="F163" s="12" t="inlineStr">
        <ns0:is>
          <ns0:t>Eruption → deposition</ns0:t>
        </ns0:is>
      </ns0:c>
      <ns0:c r="G163" s="12" t="inlineStr">
        <ns0:is>
          <ns0:t>The observation concerns existing coastal rock, not a new eruption.</ns0:t>
        </ns0:is>
      </ns0:c>
    </ns0:row>
    <ns0:row r="164" ht="38" customHeight="1">
      <ns0:c r="A164" s="10" t="n">
        <ns0:v>920056</ns0:v>
      </ns0:c>
      <ns0:c r="B164" s="10" t="inlineStr">
        <ns0:is>
          <ns0:t>b</ns0:t>
        </ns0:is>
      </ns0:c>
      <ns0:c r="C164" s="10" t="inlineStr">
        <ns0:is>
          <ns0:t>서도 전체 사진과 동도 한 바위의 확대 사진</ns0:t>
        </ns0:is>
      </ns0:c>
      <ns0:c r="D164" s="10" t="n">
        <ns0:v>0</ns0:v>
      </ns0:c>
      <ns0:c r="E164" s="10" t="inlineStr">
        <ns0:is>
          <ns0:t>장소와 범위가 달라 같은 해안의 변화를 비교하기 어려워요.</ns0:t>
        </ns0:is>
      </ns0:c>
      <ns0:c r="F164" s="10" t="inlineStr">
        <ns0:is>
          <ns0:t>A whole-Seodo image and a close-up of one Dongdo rock</ns0:t>
        </ns0:is>
      </ns0:c>
      <ns0:c r="G164" s="10" t="inlineStr">
        <ns0:is>
          <ns0:t>These differ in both location and coverage.</ns0:t>
        </ns0:is>
      </ns0:c>
    </ns0:row>
    <ns0:row r="165" ht="38" customHeight="1">
      <ns0:c r="A165" s="12" t="n">
        <ns0:v>920056</ns0:v>
      </ns0:c>
      <ns0:c r="B165" s="12" t="inlineStr">
        <ns0:is>
          <ns0:t>a</ns0:t>
        </ns0:is>
      </ns0:c>
      <ns0:c r="C165" s="12" t="inlineStr">
        <ns0:is>
          <ns0:t>같은 해안 구간을 같은 축척으로 나타낸 두 시기의 자료</ns0:t>
        </ns0:is>
      </ns0:c>
      <ns0:c r="D165" s="12" t="n">
        <ns0:v>1</ns0:v>
      </ns0:c>
      <ns0:c r="E165" s="12" t="inlineStr">
        <ns0:is>
          <ns0:t>장소와 축척을 맞추어야 해안이 달라진 부분을 비교할 수 있어요.</ns0:t>
        </ns0:is>
      </ns0:c>
      <ns0:c r="F165" s="12" t="inlineStr">
        <ns0:is>
          <ns0:t>Two dates of the same coastal section at the same scale</ns0:t>
        </ns0:is>
      </ns0:c>
      <ns0:c r="G165" s="12" t="inlineStr">
        <ns0:is>
          <ns0:t>Matching location and scale allows a meaningful comparison of coastline change.</ns0:t>
        </ns0:is>
      </ns0:c>
    </ns0:row>
    <ns0:row r="166" ht="33" customHeight="1">
      <ns0:c r="A166" s="10" t="n">
        <ns0:v>920056</ns0:v>
      </ns0:c>
      <ns0:c r="B166" s="10" t="inlineStr">
        <ns0:is>
          <ns0:t>c</ns0:t>
        </ns0:is>
      </ns0:c>
      <ns0:c r="C166" s="10" t="inlineStr">
        <ns0:is>
          <ns0:t>동도 높이표와 울릉도 기온표</ns0:t>
        </ns0:is>
      </ns0:c>
      <ns0:c r="D166" s="10" t="n">
        <ns0:v>0</ns0:v>
      </ns0:c>
      <ns0:c r="E166" s="10" t="inlineStr">
        <ns0:is>
          <ns0:t>두 표는 같은 해안선의 과거·현재 위치를 보여주지 않아요.</ns0:t>
        </ns0:is>
      </ns0:c>
      <ns0:c r="F166" s="10" t="inlineStr">
        <ns0:is>
          <ns0:t>Dongdo elevations and Ulleungdo temperatures</ns0:t>
        </ns0:is>
      </ns0:c>
      <ns0:c r="G166" s="10" t="inlineStr">
        <ns0:is>
          <ns0:t>These tables do not show the coastline’s position at two times.</ns0:t>
        </ns0:is>
      </ns0:c>
    </ns0:row>
    <ns0:row r="167" ht="33" customHeight="1">
      <ns0:c r="A167" s="12" t="n">
        <ns0:v>920057</ns0:v>
      </ns0:c>
      <ns0:c r="B167" s="12" t="inlineStr">
        <ns0:is>
          <ns0:t>b</ns0:t>
        </ns0:is>
      </ns0:c>
      <ns0:c r="C167" s="12" t="inlineStr">
        <ns0:is>
          <ns0:t>동도</ns0:t>
        </ns0:is>
      </ns0:c>
      <ns0:c r="D167" s="12" t="n">
        <ns0:v>0</ns0:v>
      </ns0:c>
      <ns0:c r="E167" s="12" t="inlineStr">
        <ns0:is>
          <ns0:t>동도에 있는 천장굴과 달리 물골은 서도에 있어요.</ns0:t>
        </ns0:is>
      </ns0:c>
      <ns0:c r="F167" s="12" t="inlineStr">
        <ns0:is>
          <ns0:t>Dongdo</ns0:t>
        </ns0:is>
      </ns0:c>
      <ns0:c r="G167" s="12" t="inlineStr">
        <ns0:is>
          <ns0:t>Unlike Cheonjang Cave on Dongdo, Mulgol is on Seodo.</ns0:t>
        </ns0:is>
      </ns0:c>
    </ns0:row>
    <ns0:row r="168" ht="33" customHeight="1">
      <ns0:c r="A168" s="10" t="n">
        <ns0:v>920057</ns0:v>
      </ns0:c>
      <ns0:c r="B168" s="10" t="inlineStr">
        <ns0:is>
          <ns0:t>a</ns0:t>
        </ns0:is>
      </ns0:c>
      <ns0:c r="C168" s="10" t="inlineStr">
        <ns0:is>
          <ns0:t>서도</ns0:t>
        </ns0:is>
      </ns0:c>
      <ns0:c r="D168" s="10" t="n">
        <ns0:v>1</ns0:v>
      </ns0:c>
      <ns0:c r="E168" s="10" t="inlineStr">
        <ns0:is>
          <ns0:t>물골은 서도 해안에 있는 물이 모이는 곳이에요.</ns0:t>
        </ns0:is>
      </ns0:c>
      <ns0:c r="F168" s="10" t="inlineStr">
        <ns0:is>
          <ns0:t>Seodo</ns0:t>
        </ns0:is>
      </ns0:c>
      <ns0:c r="G168" s="10" t="inlineStr">
        <ns0:is>
          <ns0:t>Mulgol is a water source on Seodo’s coast.</ns0:t>
        </ns0:is>
      </ns0:c>
    </ns0:row>
    <ns0:row r="169" ht="33" customHeight="1">
      <ns0:c r="A169" s="12" t="n">
        <ns0:v>920058</ns0:v>
      </ns0:c>
      <ns0:c r="B169" s="12" t="inlineStr">
        <ns0:is>
          <ns0:t>b</ns0:t>
        </ns0:is>
      </ns0:c>
      <ns0:c r="C169" s="12" t="inlineStr">
        <ns0:is>
          <ns0:t>배가 닿는 곳</ns0:t>
        </ns0:is>
      </ns0:c>
      <ns0:c r="D169" s="12" t="n">
        <ns0:v>0</ns0:v>
      </ns0:c>
      <ns0:c r="E169" s="12" t="inlineStr">
        <ns0:is>
          <ns0:t>배가 닿는 접안시설과 물골의 식수원 역할은 달라요.</ns0:t>
        </ns0:is>
      </ns0:c>
      <ns0:c r="F169" s="12" t="inlineStr">
        <ns0:is>
          <ns0:t>A boat landing</ns0:t>
        </ns0:is>
      </ns0:c>
      <ns0:c r="G169" s="12" t="inlineStr">
        <ns0:is>
          <ns0:t>A docking facility serves a different function from Mulgol’s water supply.</ns0:t>
        </ns0:is>
      </ns0:c>
    </ns0:row>
    <ns0:row r="170" ht="33" customHeight="1">
      <ns0:c r="A170" s="10" t="n">
        <ns0:v>920058</ns0:v>
      </ns0:c>
      <ns0:c r="B170" s="10" t="inlineStr">
        <ns0:is>
          <ns0:t>c</ns0:t>
        </ns0:is>
      </ns0:c>
      <ns0:c r="C170" s="10" t="inlineStr">
        <ns0:is>
          <ns0:t>헬기가 내리는 곳</ns0:t>
        </ns0:is>
      </ns0:c>
      <ns0:c r="D170" s="10" t="n">
        <ns0:v>0</ns0:v>
      </ns0:c>
      <ns0:c r="E170" s="10" t="inlineStr">
        <ns0:is>
          <ns0:t>물골은 헬기장이 아니라 물을 얻던 곳이에요.</ns0:t>
        </ns0:is>
      </ns0:c>
      <ns0:c r="F170" s="10" t="inlineStr">
        <ns0:is>
          <ns0:t>A helicopter landing</ns0:t>
        </ns0:is>
      </ns0:c>
      <ns0:c r="G170" s="10" t="inlineStr">
        <ns0:is>
          <ns0:t>Mulgol is a water source, not a helipad.</ns0:t>
        </ns0:is>
      </ns0:c>
    </ns0:row>
    <ns0:row r="171" ht="33" customHeight="1">
      <ns0:c r="A171" s="12" t="n">
        <ns0:v>920058</ns0:v>
      </ns0:c>
      <ns0:c r="B171" s="12" t="inlineStr">
        <ns0:is>
          <ns0:t>a</ns0:t>
        </ns0:is>
      </ns0:c>
      <ns0:c r="C171" s="12" t="inlineStr">
        <ns0:is>
          <ns0:t>마실 물을 얻는 곳</ns0:t>
        </ns0:is>
      </ns0:c>
      <ns0:c r="D171" s="12" t="n">
        <ns0:v>1</ns0:v>
      </ns0:c>
      <ns0:c r="E171" s="12" t="inlineStr">
        <ns0:is>
          <ns0:t>물골 바위에서 떨어지는 물을 식수원으로 이용했어요.</ns0:t>
        </ns0:is>
      </ns0:c>
      <ns0:c r="F171" s="12" t="inlineStr">
        <ns0:is>
          <ns0:t>A source of drinking water</ns0:t>
        </ns0:is>
      </ns0:c>
      <ns0:c r="G171" s="12" t="inlineStr">
        <ns0:is>
          <ns0:t>Water dripping at Mulgol was used for drinking.</ns0:t>
        </ns0:is>
      </ns0:c>
    </ns0:row>
    <ns0:row r="172" ht="33" customHeight="1">
      <ns0:c r="A172" s="10" t="n">
        <ns0:v>920059</ns0:v>
      </ns0:c>
      <ns0:c r="B172" s="10" t="inlineStr">
        <ns0:is>
          <ns0:t>a</ns0:t>
        </ns0:is>
      </ns0:c>
      <ns0:c r="C172" s="10" t="inlineStr">
        <ns0:is>
          <ns0:t>물골</ns0:t>
        </ns0:is>
      </ns0:c>
      <ns0:c r="D172" s="10" t="n">
        <ns0:v>1</ns0:v>
      </ns0:c>
      <ns0:c r="E172" s="10" t="inlineStr">
        <ns0:is>
          <ns0:t>서도에서 물을 얻던 장소라는 설명이 물골과 맞아요.</ns0:t>
        </ns0:is>
      </ns0:c>
      <ns0:c r="F172" s="10" t="inlineStr">
        <ns0:is>
          <ns0:t>Mulgol</ns0:t>
        </ns0:is>
      </ns0:c>
      <ns0:c r="G172" s="10" t="inlineStr">
        <ns0:is>
          <ns0:t>A historical water source on Seodo identifies Mulgol.</ns0:t>
        </ns0:is>
      </ns0:c>
    </ns0:row>
    <ns0:row r="173" ht="33" customHeight="1">
      <ns0:c r="A173" s="12" t="n">
        <ns0:v>920059</ns0:v>
      </ns0:c>
      <ns0:c r="B173" s="12" t="inlineStr">
        <ns0:is>
          <ns0:t>b</ns0:t>
        </ns0:is>
      </ns0:c>
      <ns0:c r="C173" s="12" t="inlineStr">
        <ns0:is>
          <ns0:t>천장굴</ns0:t>
        </ns0:is>
      </ns0:c>
      <ns0:c r="D173" s="12" t="n">
        <ns0:v>0</ns0:v>
      </ns0:c>
      <ns0:c r="E173" s="12" t="inlineStr">
        <ns0:is>
          <ns0:t>천장굴은 동도 중앙의 함몰 지형이에요. 서도의 옛 식수원은 물골이에요.</ns0:t>
        </ns0:is>
      </ns0:c>
      <ns0:c r="F173" s="12" t="inlineStr">
        <ns0:is>
          <ns0:t>Cheonjang Cave</ns0:t>
        </ns0:is>
      </ns0:c>
      <ns0:c r="G173" s="12" t="inlineStr">
        <ns0:is>
          <ns0:t>Cheonjang Cave is a depression on Dongdo; Seodo’s historical water source is Mulgol.</ns0:t>
        </ns0:is>
      </ns0:c>
    </ns0:row>
    <ns0:row r="174" ht="33" customHeight="1">
      <ns0:c r="A174" s="10" t="n">
        <ns0:v>920059</ns0:v>
      </ns0:c>
      <ns0:c r="B174" s="10" t="inlineStr">
        <ns0:is>
          <ns0:t>c</ns0:t>
        </ns0:is>
      </ns0:c>
      <ns0:c r="C174" s="10" t="inlineStr">
        <ns0:is>
          <ns0:t>독립문바위</ns0:t>
        </ns0:is>
      </ns0:c>
      <ns0:c r="D174" s="10" t="n">
        <ns0:v>0</ns0:v>
      </ns0:c>
      <ns0:c r="E174" s="10" t="inlineStr">
        <ns0:is>
          <ns0:t>독립문바위는 동도의 아치 모양 해안 지형이에요.</ns0:t>
        </ns0:is>
      </ns0:c>
      <ns0:c r="F174" s="10" t="inlineStr">
        <ns0:is>
          <ns0:t>Dongnimmun Rock</ns0:t>
        </ns0:is>
      </ns0:c>
      <ns0:c r="G174" s="10" t="inlineStr">
        <ns0:is>
          <ns0:t>Dongnimmun Rock is a coastal sea arch on Dongdo.</ns0:t>
        </ns0:is>
      </ns0:c>
    </ns0:row>
    <ns0:row r="175" ht="38" customHeight="1">
      <ns0:c r="A175" s="12" t="n">
        <ns0:v>920060</ns0:v>
      </ns0:c>
      <ns0:c r="B175" s="12" t="inlineStr">
        <ns0:is>
          <ns0:t>b</ns0:t>
        </ns0:is>
      </ns0:c>
      <ns0:c r="C175" s="12" t="inlineStr">
        <ns0:is>
          <ns0:t>물골: 바닷물을 끓이는 기계 / 담수화: 바위에서 떨어지는 물</ns0:t>
        </ns0:is>
      </ns0:c>
      <ns0:c r="D175" s="12" t="n">
        <ns0:v>0</ns0:v>
      </ns0:c>
      <ns0:c r="E175" s="12" t="inlineStr">
        <ns0:is>
          <ns0:t>두 공급 방식을 뒤바꿨어요. 물골은 기계가 아니라 지명이에요.</ns0:t>
        </ns0:is>
      </ns0:c>
      <ns0:c r="F175" s="12" t="inlineStr">
        <ns0:is>
          <ns0:t>Mulgol: a seawater boiler / desalination: dripping rock water</ns0:t>
        </ns0:is>
      </ns0:c>
      <ns0:c r="G175" s="12" t="inlineStr">
        <ns0:is>
          <ns0:t>The sources are reversed. Mulgol is a place, not a machine.</ns0:t>
        </ns0:is>
      </ns0:c>
    </ns0:row>
    <ns0:row r="176" ht="38" customHeight="1">
      <ns0:c r="A176" s="10" t="n">
        <ns0:v>920060</ns0:v>
      </ns0:c>
      <ns0:c r="B176" s="10" t="inlineStr">
        <ns0:is>
          <ns0:t>a</ns0:t>
        </ns0:is>
      </ns0:c>
      <ns0:c r="C176" s="10" t="inlineStr">
        <ns0:is>
          <ns0:t>물골: 바위에서 떨어지는 물 / 담수화: 바닷물의 소금을 줄임</ns0:t>
        </ns0:is>
      </ns0:c>
      <ns0:c r="D176" s="10" t="n">
        <ns0:v>1</ns0:v>
      </ns0:c>
      <ns0:c r="E176" s="10" t="inlineStr">
        <ns0:is>
          <ns0:t>자연적으로 떨어지는 물을 모으는 방식과 바닷물을 처리하는 방식이 달라요.</ns0:t>
        </ns0:is>
      </ns0:c>
      <ns0:c r="F176" s="10" t="inlineStr">
        <ns0:is>
          <ns0:t>Mulgol: dripping water / desalination: removing salt from seawater</ns0:t>
        </ns0:is>
      </ns0:c>
      <ns0:c r="G176" s="10" t="inlineStr">
        <ns0:is>
          <ns0:t>One collects naturally dripping water; the other processes seawater.</ns0:t>
        </ns0:is>
      </ns0:c>
    </ns0:row>
    <ns0:row r="177" ht="33" customHeight="1">
      <ns0:c r="A177" s="12" t="n">
        <ns0:v>920060</ns0:v>
      </ns0:c>
      <ns0:c r="B177" s="12" t="inlineStr">
        <ns0:is>
          <ns0:t>c</ns0:t>
        </ns0:is>
      </ns0:c>
      <ns0:c r="C177" s="12" t="inlineStr">
        <ns0:is>
          <ns0:t>둘 다 같은 바위틈에서 물을 모음</ns0:t>
        </ns0:is>
      </ns0:c>
      <ns0:c r="D177" s="12" t="n">
        <ns0:v>0</ns0:v>
      </ns0:c>
      <ns0:c r="E177" s="12" t="inlineStr">
        <ns0:is>
          <ns0:t>담수화 시설은 바닷물의 소금을 줄이는 설비이므로 물골과 같지 않아요.</ns0:t>
        </ns0:is>
      </ns0:c>
      <ns0:c r="F177" s="12" t="inlineStr">
        <ns0:is>
          <ns0:t>Both collect water from the same rock crevice</ns0:t>
        </ns0:is>
      </ns0:c>
      <ns0:c r="G177" s="12" t="inlineStr">
        <ns0:is>
          <ns0:t>Desalination processes seawater and is not the same as Mulgol.</ns0:t>
        </ns0:is>
      </ns0:c>
    </ns0:row>
    <ns0:row r="178" ht="33" customHeight="1">
      <ns0:c r="A178" s="10" t="n">
        <ns0:v>920061</ns0:v>
      </ns0:c>
      <ns0:c r="B178" s="10" t="inlineStr">
        <ns0:is>
          <ns0:t>b</ns0:t>
        </ns0:is>
      </ns0:c>
      <ns0:c r="C178" s="10" t="inlineStr">
        <ns0:is>
          <ns0:t>겨울에만 머무는 곳</ns0:t>
        </ns0:is>
      </ns0:c>
      <ns0:c r="D178" s="10" t="n">
        <ns0:v>0</ns0:v>
      </ns0:c>
      <ns0:c r="E178" s="10" t="inlineStr">
        <ns0:is>
          <ns0:t>독도는 이동 경로의 휴식처로 설명돼요. 겨울에만 이용한다고 제한할 수 없어요.</ns0:t>
        </ns0:is>
      </ns0:c>
      <ns0:c r="F178" s="10" t="inlineStr">
        <ns0:is>
          <ns0:t>A place used only in winter</ns0:t>
        </ns0:is>
      </ns0:c>
      <ns0:c r="G178" s="10" t="inlineStr">
        <ns0:is>
          <ns0:t>Dokdo is described as a migration stopover, not a place used only in winter.</ns0:t>
        </ns0:is>
      </ns0:c>
    </ns0:row>
    <ns0:row r="179" ht="33" customHeight="1">
      <ns0:c r="A179" s="12" t="n">
        <ns0:v>920061</ns0:v>
      </ns0:c>
      <ns0:c r="B179" s="12" t="inlineStr">
        <ns0:is>
          <ns0:t>c</ns0:t>
        </ns0:is>
      </ns0:c>
      <ns0:c r="C179" s="12" t="inlineStr">
        <ns0:is>
          <ns0:t>모든 새가 평생 머무는 곳</ns0:t>
        </ns0:is>
      </ns0:c>
      <ns0:c r="D179" s="12" t="n">
        <ns0:v>0</ns0:v>
      </ns0:c>
      <ns0:c r="E179" s="12" t="inlineStr">
        <ns0:is>
          <ns0:t>철새가 쉬어 간다는 것은 이동을 이어간다는 뜻이며 모든 새가 정착하는 것은 아니에요.</ns0:t>
        </ns0:is>
      </ns0:c>
      <ns0:c r="F179" s="12" t="inlineStr">
        <ns0:is>
          <ns0:t>A permanent home for every visiting bird</ns0:t>
        </ns0:is>
      </ns0:c>
      <ns0:c r="G179" s="12" t="inlineStr">
        <ns0:is>
          <ns0:t>A stopover does not mean that every visiting bird settles permanently.</ns0:t>
        </ns0:is>
      </ns0:c>
    </ns0:row>
    <ns0:row r="180" ht="33" customHeight="1">
      <ns0:c r="A180" s="10" t="n">
        <ns0:v>920061</ns0:v>
      </ns0:c>
      <ns0:c r="B180" s="10" t="inlineStr">
        <ns0:is>
          <ns0:t>a</ns0:t>
        </ns0:is>
      </ns0:c>
      <ns0:c r="C180" s="10" t="inlineStr">
        <ns0:is>
          <ns0:t>이동 중 쉬어 가는 곳</ns0:t>
        </ns0:is>
      </ns0:c>
      <ns0:c r="D180" s="10" t="n">
        <ns0:v>1</ns0:v>
      </ns0:c>
      <ns0:c r="E180" s="10" t="inlineStr">
        <ns0:is>
          <ns0:t>바다를 건너는 철새는 독도에서 잠시 쉬었다가 이동을 이어갈 수 있어요.</ns0:t>
        </ns0:is>
      </ns0:c>
      <ns0:c r="F180" s="10" t="inlineStr">
        <ns0:is>
          <ns0:t>A place to rest during migration</ns0:t>
        </ns0:is>
      </ns0:c>
      <ns0:c r="G180" s="10" t="inlineStr">
        <ns0:is>
          <ns0:t>Migrating birds can pause on Dokdo before continuing their journeys.</ns0:t>
        </ns0:is>
      </ns0:c>
    </ns0:row>
    <ns0:row r="181" ht="33" customHeight="1">
      <ns0:c r="A181" s="12" t="n">
        <ns0:v>920062</ns0:v>
      </ns0:c>
      <ns0:c r="B181" s="12" t="inlineStr">
        <ns0:is>
          <ns0:t>a</ns0:t>
        </ns0:is>
      </ns0:c>
      <ns0:c r="C181" s="12" t="inlineStr">
        <ns0:is>
          <ns0:t>중간 기착지</ns0:t>
        </ns0:is>
      </ns0:c>
      <ns0:c r="D181" s="12" t="n">
        <ns0:v>1</ns0:v>
      </ns0:c>
      <ns0:c r="E181" s="12" t="inlineStr">
        <ns0:is>
          <ns0:t>이동 중 잠시 들르는 휴식 장소를 중간 기착지라고 해요.</ns0:t>
        </ns0:is>
      </ns0:c>
      <ns0:c r="F181" s="12" t="inlineStr">
        <ns0:is>
          <ns0:t>A stopover site</ns0:t>
        </ns0:is>
      </ns0:c>
      <ns0:c r="G181" s="12" t="inlineStr">
        <ns0:is>
          <ns0:t>A temporary resting place during a journey is a stopover.</ns0:t>
        </ns0:is>
      </ns0:c>
    </ns0:row>
    <ns0:row r="182" ht="33" customHeight="1">
      <ns0:c r="A182" s="10" t="n">
        <ns0:v>920062</ns0:v>
      </ns0:c>
      <ns0:c r="B182" s="10" t="inlineStr">
        <ns0:is>
          <ns0:t>b</ns0:t>
        </ns0:is>
      </ns0:c>
      <ns0:c r="C182" s="10" t="inlineStr">
        <ns0:is>
          <ns0:t>번식지</ns0:t>
        </ns0:is>
      </ns0:c>
      <ns0:c r="D182" s="10" t="n">
        <ns0:v>0</ns0:v>
      </ns0:c>
      <ns0:c r="E182" s="10" t="inlineStr">
        <ns0:is>
          <ns0:t>번식지는 알과 새끼를 기르는 곳이며 잠깐 쉬는 역할과 구분해요.</ns0:t>
        </ns0:is>
      </ns0:c>
      <ns0:c r="F182" s="10" t="inlineStr">
        <ns0:is>
          <ns0:t>A breeding site</ns0:t>
        </ns0:is>
      </ns0:c>
      <ns0:c r="G182" s="10" t="inlineStr">
        <ns0:is>
          <ns0:t>A breeding site supports eggs and young, distinct from a short rest.</ns0:t>
        </ns0:is>
      </ns0:c>
    </ns0:row>
    <ns0:row r="183" ht="33" customHeight="1">
      <ns0:c r="A183" s="12" t="n">
        <ns0:v>920062</ns0:v>
      </ns0:c>
      <ns0:c r="B183" s="12" t="inlineStr">
        <ns0:is>
          <ns0:t>c</ns0:t>
        </ns0:is>
      </ns0:c>
      <ns0:c r="C183" s="12" t="inlineStr">
        <ns0:is>
          <ns0:t>월동지</ns0:t>
        </ns0:is>
      </ns0:c>
      <ns0:c r="D183" s="12" t="n">
        <ns0:v>0</ns0:v>
      </ns0:c>
      <ns0:c r="E183" s="12" t="inlineStr">
        <ns0:is>
          <ns0:t>월동지는 겨울을 보내는 곳이며 이 질문의 잠깐 쉬는 곳과 달라요.</ns0:t>
        </ns0:is>
      </ns0:c>
      <ns0:c r="F183" s="12" t="inlineStr">
        <ns0:is>
          <ns0:t>A wintering site</ns0:t>
        </ns0:is>
      </ns0:c>
      <ns0:c r="G183" s="12" t="inlineStr">
        <ns0:is>
          <ns0:t>A wintering site is used for the winter, not merely a short pause.</ns0:t>
        </ns0:is>
      </ns0:c>
    </ns0:row>
    <ns0:row r="184" ht="33" customHeight="1">
      <ns0:c r="A184" s="10" t="n">
        <ns0:v>920063</ns0:v>
      </ns0:c>
      <ns0:c r="B184" s="10" t="inlineStr">
        <ns0:is>
          <ns0:t>b</ns0:t>
        </ns0:is>
      </ns0:c>
      <ns0:c r="C184" s="10" t="inlineStr">
        <ns0:is>
          <ns0:t>출발지</ns0:t>
        </ns0:is>
      </ns0:c>
      <ns0:c r="D184" s="10" t="n">
        <ns0:v>0</ns0:v>
      </ns0:c>
      <ns0:c r="E184" s="10" t="inlineStr">
        <ns0:is>
          <ns0:t>제시된 경로에서는 독도에 오기 전에 이미 출발했어요.</ns0:t>
        </ns0:is>
      </ns0:c>
      <ns0:c r="F184" s="10" t="inlineStr">
        <ns0:is>
          <ns0:t>The departure site</ns0:t>
        </ns0:is>
      </ns0:c>
      <ns0:c r="G184" s="10" t="inlineStr">
        <ns0:is>
          <ns0:t>In the given route, the birds departed before reaching Dokdo.</ns0:t>
        </ns0:is>
      </ns0:c>
    </ns0:row>
    <ns0:row r="185" ht="33" customHeight="1">
      <ns0:c r="A185" s="12" t="n">
        <ns0:v>920063</ns0:v>
      </ns0:c>
      <ns0:c r="B185" s="12" t="inlineStr">
        <ns0:is>
          <ns0:t>a</ns0:t>
        </ns0:is>
      </ns0:c>
      <ns0:c r="C185" s="12" t="inlineStr">
        <ns0:is>
          <ns0:t>중간 기착지</ns0:t>
        </ns0:is>
      </ns0:c>
      <ns0:c r="D185" s="12" t="n">
        <ns0:v>1</ns0:v>
      </ns0:c>
      <ns0:c r="E185" s="12" t="inlineStr">
        <ns0:is>
          <ns0:t>출발지와 목적지 사이에서 쉬었으므로 중간 기착지에 해당해요.</ns0:t>
        </ns0:is>
      </ns0:c>
      <ns0:c r="F185" s="12" t="inlineStr">
        <ns0:is>
          <ns0:t>A stopover</ns0:t>
        </ns0:is>
      </ns0:c>
      <ns0:c r="G185" s="12" t="inlineStr">
        <ns0:is>
          <ns0:t>The birds rest between departure and destination, making Dokdo a stopover.</ns0:t>
        </ns0:is>
      </ns0:c>
    </ns0:row>
    <ns0:row r="186" ht="33" customHeight="1">
      <ns0:c r="A186" s="10" t="n">
        <ns0:v>920063</ns0:v>
      </ns0:c>
      <ns0:c r="B186" s="10" t="inlineStr">
        <ns0:is>
          <ns0:t>c</ns0:t>
        </ns0:is>
      </ns0:c>
      <ns0:c r="C186" s="10" t="inlineStr">
        <ns0:is>
          <ns0:t>최종 목적지</ns0:t>
        </ns0:is>
      </ns0:c>
      <ns0:c r="D186" s="10" t="n">
        <ns0:v>0</ns0:v>
      </ns0:c>
      <ns0:c r="E186" s="10" t="inlineStr">
        <ns0:is>
          <ns0:t>독도에서 쉰 뒤 다른 목적지로 이동하므로 최종 목적지는 아니에요.</ns0:t>
        </ns0:is>
      </ns0:c>
      <ns0:c r="F186" s="10" t="inlineStr">
        <ns0:is>
          <ns0:t>The final destination</ns0:t>
        </ns0:is>
      </ns0:c>
      <ns0:c r="G186" s="10" t="inlineStr">
        <ns0:is>
          <ns0:t>They continue elsewhere after resting, so Dokdo is not the final destination.</ns0:t>
        </ns0:is>
      </ns0:c>
    </ns0:row>
    <ns0:row r="187" ht="38" customHeight="1">
      <ns0:c r="A187" s="12" t="n">
        <ns0:v>920064</ns0:v>
      </ns0:c>
      <ns0:c r="B187" s="12" t="inlineStr">
        <ns0:is>
          <ns0:t>a</ns0:t>
        </ns0:is>
      </ns0:c>
      <ns0:c r="C187" s="12" t="inlineStr">
        <ns0:is>
          <ns0:t>A: 이동 중 잠시 쉬고 다른 곳으로 떠남</ns0:t>
        </ns0:is>
      </ns0:c>
      <ns0:c r="D187" s="12" t="n">
        <ns0:v>1</ns0:v>
      </ns0:c>
      <ns0:c r="E187" s="12" t="inlineStr">
        <ns0:is>
          <ns0:t>긴 이동을 이어가기 전 쉬는 행동이 중간 기착에 해당해요.</ns0:t>
        </ns0:is>
      </ns0:c>
      <ns0:c r="F187" s="12" t="inlineStr">
        <ns0:is>
          <ns0:t>A: resting briefly and then continuing elsewhere</ns0:t>
        </ns0:is>
      </ns0:c>
      <ns0:c r="G187" s="12" t="inlineStr">
        <ns0:is>
          <ns0:t>Resting before continuing a longer journey is a stopover.</ns0:t>
        </ns0:is>
      </ns0:c>
    </ns0:row>
    <ns0:row r="188" ht="33" customHeight="1">
      <ns0:c r="A188" s="10" t="n">
        <ns0:v>920064</ns0:v>
      </ns0:c>
      <ns0:c r="B188" s="10" t="inlineStr">
        <ns0:is>
          <ns0:t>b</ns0:t>
        </ns0:is>
      </ns0:c>
      <ns0:c r="C188" s="10" t="inlineStr">
        <ns0:is>
          <ns0:t>B: 둥지에서 알을 품고 새끼를 기름</ns0:t>
        </ns0:is>
      </ns0:c>
      <ns0:c r="D188" s="10" t="n">
        <ns0:v>0</ns0:v>
      </ns0:c>
      <ns0:c r="E188" s="10" t="inlineStr">
        <ns0:is>
          <ns0:t>B는 번식지 이용을 보여주며 잠깐 쉬어 가는 기착과 구분돼요.</ns0:t>
        </ns0:is>
      </ns0:c>
      <ns0:c r="F188" s="10" t="inlineStr">
        <ns0:is>
          <ns0:t>B: incubating eggs and raising chicks at a nest</ns0:t>
        </ns0:is>
      </ns0:c>
      <ns0:c r="G188" s="10" t="inlineStr">
        <ns0:is>
          <ns0:t>B describes breeding, not simply stopping during migration.</ns0:t>
        </ns0:is>
      </ns0:c>
    </ns0:row>
    <ns0:row r="189" ht="33" customHeight="1">
      <ns0:c r="A189" s="12" t="n">
        <ns0:v>920065</ns0:v>
      </ns0:c>
      <ns0:c r="B189" s="12" t="inlineStr">
        <ns0:is>
          <ns0:t>b</ns0:t>
        </ns0:is>
      </ns0:c>
      <ns0:c r="C189" s="12" t="inlineStr">
        <ns0:is>
          <ns0:t>황제펭귄</ns0:t>
        </ns0:is>
      </ns0:c>
      <ns0:c r="D189" s="12" t="n">
        <ns0:v>0</ns0:v>
      </ns0:c>
      <ns0:c r="E189" s="12" t="inlineStr">
        <ns0:is>
          <ns0:t>독도 번식 조류 안내에서 소개하는 새는 황제펭귄이 아니라 괭이갈매기예요.</ns0:t>
        </ns0:is>
      </ns0:c>
      <ns0:c r="F189" s="12" t="inlineStr">
        <ns0:is>
          <ns0:t>Emperor penguin</ns0:t>
        </ns0:is>
      </ns0:c>
      <ns0:c r="G189" s="12" t="inlineStr">
        <ns0:is>
          <ns0:t>The Dokdo breeding-bird account identifies black-tailed gulls, not emperor penguins.</ns0:t>
        </ns0:is>
      </ns0:c>
    </ns0:row>
    <ns0:row r="190" ht="33" customHeight="1">
      <ns0:c r="A190" s="10" t="n">
        <ns0:v>920065</ns0:v>
      </ns0:c>
      <ns0:c r="B190" s="10" t="inlineStr">
        <ns0:is>
          <ns0:t>c</ns0:t>
        </ns0:is>
      </ns0:c>
      <ns0:c r="C190" s="10" t="inlineStr">
        <ns0:is>
          <ns0:t>타조</ns0:t>
        </ns0:is>
      </ns0:c>
      <ns0:c r="D190" s="10" t="n">
        <ns0:v>0</ns0:v>
      </ns0:c>
      <ns0:c r="E190" s="10" t="inlineStr">
        <ns0:is>
          <ns0:t>독도의 번식 바닷새를 묻고 있어요. 타조는 이 목록에 해당하지 않아요.</ns0:t>
        </ns0:is>
      </ns0:c>
      <ns0:c r="F190" s="10" t="inlineStr">
        <ns0:is>
          <ns0:t>Ostrich</ns0:t>
        </ns0:is>
      </ns0:c>
      <ns0:c r="G190" s="10" t="inlineStr">
        <ns0:is>
          <ns0:t>The question asks about Dokdo’s breeding seabirds; ostriches are not in this group.</ns0:t>
        </ns0:is>
      </ns0:c>
    </ns0:row>
    <ns0:row r="191" ht="33" customHeight="1">
      <ns0:c r="A191" s="12" t="n">
        <ns0:v>920065</ns0:v>
      </ns0:c>
      <ns0:c r="B191" s="12" t="inlineStr">
        <ns0:is>
          <ns0:t>a</ns0:t>
        </ns0:is>
      </ns0:c>
      <ns0:c r="C191" s="12" t="inlineStr">
        <ns0:is>
          <ns0:t>괭이갈매기</ns0:t>
        </ns0:is>
      </ns0:c>
      <ns0:c r="D191" s="12" t="n">
        <ns0:v>1</ns0:v>
      </ns0:c>
      <ns0:c r="E191" s="12" t="inlineStr">
        <ns0:is>
          <ns0:t>괭이갈매기는 독도의 대표적인 번식 바닷새로 소개돼요.</ns0:t>
        </ns0:is>
      </ns0:c>
      <ns0:c r="F191" s="12" t="inlineStr">
        <ns0:is>
          <ns0:t>Black-tailed gull</ns0:t>
        </ns0:is>
      </ns0:c>
      <ns0:c r="G191" s="12" t="inlineStr">
        <ns0:is>
          <ns0:t>Black-tailed gulls are among the seabirds recorded as breeding on Dokdo.</ns0:t>
        </ns0:is>
      </ns0:c>
    </ns0:row>
    <ns0:row r="192" ht="33" customHeight="1">
      <ns0:c r="A192" s="10" t="n">
        <ns0:v>920066</ns0:v>
      </ns0:c>
      <ns0:c r="B192" s="10" t="inlineStr">
        <ns0:is>
          <ns0:t>a</ns0:t>
        </ns0:is>
      </ns0:c>
      <ns0:c r="C192" s="10" t="inlineStr">
        <ns0:is>
          <ns0:t>알을 낳고 새끼를 기른다</ns0:t>
        </ns0:is>
      </ns0:c>
      <ns0:c r="D192" s="10" t="n">
        <ns0:v>1</ns0:v>
      </ns0:c>
      <ns0:c r="E192" s="10" t="inlineStr">
        <ns0:is>
          <ns0:t>번식은 새끼를 낳거나 알에서 부화시켜 다음 세대를 이어가는 일이에요.</ns0:t>
        </ns0:is>
      </ns0:c>
      <ns0:c r="F192" s="10" t="inlineStr">
        <ns0:is>
          <ns0:t>They lay eggs and raise chicks.</ns0:t>
        </ns0:is>
      </ns0:c>
      <ns0:c r="G192" s="10" t="inlineStr">
        <ns0:is>
          <ns0:t>Breeding produces the next generation, including laying eggs and raising chicks.</ns0:t>
        </ns0:is>
      </ns0:c>
    </ns0:row>
    <ns0:row r="193" ht="33" customHeight="1">
      <ns0:c r="A193" s="12" t="n">
        <ns0:v>920066</ns0:v>
      </ns0:c>
      <ns0:c r="B193" s="12" t="inlineStr">
        <ns0:is>
          <ns0:t>b</ns0:t>
        </ns0:is>
      </ns0:c>
      <ns0:c r="C193" s="12" t="inlineStr">
        <ns0:is>
          <ns0:t>잠시 쉬었다가 떠나기만 한다</ns0:t>
        </ns0:is>
      </ns0:c>
      <ns0:c r="D193" s="12" t="n">
        <ns0:v>0</ns0:v>
      </ns0:c>
      <ns0:c r="E193" s="12" t="inlineStr">
        <ns0:is>
          <ns0:t>잠깐 쉬는 기착과 새끼를 기르는 번식은 다른 활동이에요.</ns0:t>
        </ns0:is>
      </ns0:c>
      <ns0:c r="F193" s="12" t="inlineStr">
        <ns0:is>
          <ns0:t>They only stop to rest and leave.</ns0:t>
        </ns0:is>
      </ns0:c>
      <ns0:c r="G193" s="12" t="inlineStr">
        <ns0:is>
          <ns0:t>A brief stopover and breeding are different activities.</ns0:t>
        </ns0:is>
      </ns0:c>
    </ns0:row>
    <ns0:row r="194" ht="33" customHeight="1">
      <ns0:c r="A194" s="10" t="n">
        <ns0:v>920066</ns0:v>
      </ns0:c>
      <ns0:c r="B194" s="10" t="inlineStr">
        <ns0:is>
          <ns0:t>c</ns0:t>
        </ns0:is>
      </ns0:c>
      <ns0:c r="C194" s="10" t="inlineStr">
        <ns0:is>
          <ns0:t>먹이만 찾고 떠난다</ns0:t>
        </ns0:is>
      </ns0:c>
      <ns0:c r="D194" s="10" t="n">
        <ns0:v>0</ns0:v>
      </ns0:c>
      <ns0:c r="E194" s="10" t="inlineStr">
        <ns0:is>
          <ns0:t>먹이 활동은 번식 중에도 할 수 있지만 번식의 뜻은 새끼를 기르는 것과 연결돼요.</ns0:t>
        </ns0:is>
      </ns0:c>
      <ns0:c r="F194" s="10" t="inlineStr">
        <ns0:is>
          <ns0:t>They only look for food and leave.</ns0:t>
        </ns0:is>
      </ns0:c>
      <ns0:c r="G194" s="10" t="inlineStr">
        <ns0:is>
          <ns0:t>Feeding may occur during breeding, but does not by itself define breeding.</ns0:t>
        </ns0:is>
      </ns0:c>
    </ns0:row>
    <ns0:row r="195" ht="38" customHeight="1">
      <ns0:c r="A195" s="12" t="n">
        <ns0:v>920067</ns0:v>
      </ns0:c>
      <ns0:c r="B195" s="12" t="inlineStr">
        <ns0:is>
          <ns0:t>b</ns0:t>
        </ns0:is>
      </ns0:c>
      <ns0:c r="C195" s="12" t="inlineStr">
        <ns0:is>
          <ns0:t>괭이갈매기·황제펭귄·슴새</ns0:t>
        </ns0:is>
      </ns0:c>
      <ns0:c r="D195" s="12" t="n">
        <ns0:v>0</ns0:v>
      </ns0:c>
      <ns0:c r="E195" s="12" t="inlineStr">
        <ns0:is>
          <ns0:t>황제펭귄은 제시된 독도 번식 조류 목록에 없어요.</ns0:t>
        </ns0:is>
      </ns0:c>
      <ns0:c r="F195" s="12" t="inlineStr">
        <ns0:is>
          <ns0:t>Black-tailed gulls, emperor penguins and streaked shearwaters</ns0:t>
        </ns0:is>
      </ns0:c>
      <ns0:c r="G195" s="12" t="inlineStr">
        <ns0:is>
          <ns0:t>Emperor penguins are not in the supplied list of Dokdo breeding birds.</ns0:t>
        </ns0:is>
      </ns0:c>
    </ns0:row>
    <ns0:row r="196" ht="38" customHeight="1">
      <ns0:c r="A196" s="10" t="n">
        <ns0:v>920067</ns0:v>
      </ns0:c>
      <ns0:c r="B196" s="10" t="inlineStr">
        <ns0:is>
          <ns0:t>a</ns0:t>
        </ns0:is>
      </ns0:c>
      <ns0:c r="C196" s="10" t="inlineStr">
        <ns0:is>
          <ns0:t>괭이갈매기·바다제비·슴새</ns0:t>
        </ns0:is>
      </ns0:c>
      <ns0:c r="D196" s="10" t="n">
        <ns0:v>1</ns0:v>
      </ns0:c>
      <ns0:c r="E196" s="10" t="inlineStr">
        <ns0:is>
          <ns0:t>자료에서 번식 조류로 제시한 세 종류가 모두 들어 있어요.</ns0:t>
        </ns0:is>
      </ns0:c>
      <ns0:c r="F196" s="10" t="inlineStr">
        <ns0:is>
          <ns0:t>Black-tailed gulls, storm petrels and streaked shearwaters</ns0:t>
        </ns0:is>
      </ns0:c>
      <ns0:c r="G196" s="10" t="inlineStr">
        <ns0:is>
          <ns0:t>These are the three breeding-bird groups listed in the supplied account.</ns0:t>
        </ns0:is>
      </ns0:c>
    </ns0:row>
    <ns0:row r="197" ht="38" customHeight="1">
      <ns0:c r="A197" s="12" t="n">
        <ns0:v>920067</ns0:v>
      </ns0:c>
      <ns0:c r="B197" s="12" t="inlineStr">
        <ns0:is>
          <ns0:t>c</ns0:t>
        </ns0:is>
      </ns0:c>
      <ns0:c r="C197" s="12" t="inlineStr">
        <ns0:is>
          <ns0:t>바다제비·슴새·타조</ns0:t>
        </ns0:is>
      </ns0:c>
      <ns0:c r="D197" s="12" t="n">
        <ns0:v>0</ns0:v>
      </ns0:c>
      <ns0:c r="E197" s="12" t="inlineStr">
        <ns0:is>
          <ns0:t>타조는 제시된 독도 번식 바닷새가 아니에요.</ns0:t>
        </ns0:is>
      </ns0:c>
      <ns0:c r="F197" s="12" t="inlineStr">
        <ns0:is>
          <ns0:t>Storm petrels, streaked shearwaters and ostriches</ns0:t>
        </ns0:is>
      </ns0:c>
      <ns0:c r="G197" s="12" t="inlineStr">
        <ns0:is>
          <ns0:t>Ostriches are not among the listed breeding seabirds.</ns0:t>
        </ns0:is>
      </ns0:c>
    </ns0:row>
    <ns0:row r="198" ht="33" customHeight="1">
      <ns0:c r="A198" s="10" t="n">
        <ns0:v>920068</ns0:v>
      </ns0:c>
      <ns0:c r="B198" s="10" t="inlineStr">
        <ns0:is>
          <ns0:t>b</ns0:t>
        </ns0:is>
      </ns0:c>
      <ns0:c r="C198" s="10" t="inlineStr">
        <ns0:is>
          <ns0:t>철새가 바위에서 쉬고 곧 떠난다</ns0:t>
        </ns0:is>
      </ns0:c>
      <ns0:c r="D198" s="10" t="n">
        <ns0:v>0</ns0:v>
      </ns0:c>
      <ns0:c r="E198" s="10" t="inlineStr">
        <ns0:is>
          <ns0:t>이 행동은 중간 기착을 보여 주지만 새끼를 기르는 증거는 아니에요.</ns0:t>
        </ns0:is>
      </ns0:c>
      <ns0:c r="F198" s="10" t="inlineStr">
        <ns0:is>
          <ns0:t>A migrant rests on a rock and soon leaves</ns0:t>
        </ns0:is>
      </ns0:c>
      <ns0:c r="G198" s="10" t="inlineStr">
        <ns0:is>
          <ns0:t>This indicates a stopover but not breeding.</ns0:t>
        </ns0:is>
      </ns0:c>
    </ns0:row>
    <ns0:row r="199" ht="33" customHeight="1">
      <ns0:c r="A199" s="12" t="n">
        <ns0:v>920068</ns0:v>
      </ns0:c>
      <ns0:c r="B199" s="12" t="inlineStr">
        <ns0:is>
          <ns0:t>c</ns0:t>
        </ns0:is>
      </ns0:c>
      <ns0:c r="C199" s="12" t="inlineStr">
        <ns0:is>
          <ns0:t>새가 섬 위를 지나가며 날아간다</ns0:t>
        </ns0:is>
      </ns0:c>
      <ns0:c r="D199" s="12" t="n">
        <ns0:v>0</ns0:v>
      </ns0:c>
      <ns0:c r="E199" s="12" t="inlineStr">
        <ns0:is>
          <ns0:t>상공 통과만으로 그곳에서 번식한다고 확인할 수는 없어요.</ns0:t>
        </ns0:is>
      </ns0:c>
      <ns0:c r="F199" s="12" t="inlineStr">
        <ns0:is>
          <ns0:t>A bird flies past above the islands</ns0:t>
        </ns0:is>
      </ns0:c>
      <ns0:c r="G199" s="12" t="inlineStr">
        <ns0:is>
          <ns0:t>Flying past alone does not establish breeding on the islands.</ns0:t>
        </ns0:is>
      </ns0:c>
    </ns0:row>
    <ns0:row r="200" ht="33" customHeight="1">
      <ns0:c r="A200" s="10" t="n">
        <ns0:v>920068</ns0:v>
      </ns0:c>
      <ns0:c r="B200" s="10" t="inlineStr">
        <ns0:is>
          <ns0:t>a</ns0:t>
        </ns0:is>
      </ns0:c>
      <ns0:c r="C200" s="10" t="inlineStr">
        <ns0:is>
          <ns0:t>괭이갈매기가 둥지의 새끼에게 먹이를 준다</ns0:t>
        </ns0:is>
      </ns0:c>
      <ns0:c r="D200" s="10" t="n">
        <ns0:v>1</ns0:v>
      </ns0:c>
      <ns0:c r="E200" s="10" t="inlineStr">
        <ns0:is>
          <ns0:t>둥지에서 새끼를 기르는 행동이므로 번식지를 이용하는 모습이에요.</ns0:t>
        </ns0:is>
      </ns0:c>
      <ns0:c r="F200" s="10" t="inlineStr">
        <ns0:is>
          <ns0:t>A black-tailed gull feeds chicks at its nest</ns0:t>
        </ns0:is>
      </ns0:c>
      <ns0:c r="G200" s="10" t="inlineStr">
        <ns0:is>
          <ns0:t>Raising chicks at a nest demonstrates use of a breeding site.</ns0:t>
        </ns0:is>
      </ns0:c>
    </ns0:row>
    <ns0:row r="201" ht="33" customHeight="1">
      <ns0:c r="A201" s="12" t="n">
        <ns0:v>920069</ns0:v>
      </ns0:c>
      <ns0:c r="B201" s="12" t="inlineStr">
        <ns0:is>
          <ns0:t>a</ns0:t>
        </ns0:is>
      </ns0:c>
      <ns0:c r="C201" s="12" t="inlineStr">
        <ns0:is>
          <ns0:t>미역</ns0:t>
        </ns0:is>
      </ns0:c>
      <ns0:c r="D201" s="12" t="n">
        <ns0:v>1</ns0:v>
      </ns0:c>
      <ns0:c r="E201" s="12" t="inlineStr">
        <ns0:is>
          <ns0:t>미역은 독도 주변 바다에서 소개하는 바닷말 가운데 하나예요.</ns0:t>
        </ns0:is>
      </ns0:c>
      <ns0:c r="F201" s="12" t="inlineStr">
        <ns0:is>
          <ns0:t>Wakame</ns0:t>
        </ns0:is>
      </ns0:c>
      <ns0:c r="G201" s="12" t="inlineStr">
        <ns0:is>
          <ns0:t>Wakame is a seaweed listed for waters around Dokdo.</ns0:t>
        </ns0:is>
      </ns0:c>
    </ns0:row>
    <ns0:row r="202" ht="33" customHeight="1">
      <ns0:c r="A202" s="10" t="n">
        <ns0:v>920069</ns0:v>
      </ns0:c>
      <ns0:c r="B202" s="10" t="inlineStr">
        <ns0:is>
          <ns0:t>b</ns0:t>
        </ns0:is>
      </ns0:c>
      <ns0:c r="C202" s="10" t="inlineStr">
        <ns0:is>
          <ns0:t>슴새</ns0:t>
        </ns0:is>
      </ns0:c>
      <ns0:c r="D202" s="10" t="n">
        <ns0:v>0</ns0:v>
      </ns0:c>
      <ns0:c r="E202" s="10" t="inlineStr">
        <ns0:is>
          <ns0:t>슴새는 바닷말이 아니라 바닷새예요.</ns0:t>
        </ns0:is>
      </ns0:c>
      <ns0:c r="F202" s="10" t="inlineStr">
        <ns0:is>
          <ns0:t>Streaked shearwater</ns0:t>
        </ns0:is>
      </ns0:c>
      <ns0:c r="G202" s="10" t="inlineStr">
        <ns0:is>
          <ns0:t>A streaked shearwater is a seabird, not seaweed.</ns0:t>
        </ns0:is>
      </ns0:c>
    </ns0:row>
    <ns0:row r="203" ht="33" customHeight="1">
      <ns0:c r="A203" s="12" t="n">
        <ns0:v>920069</ns0:v>
      </ns0:c>
      <ns0:c r="B203" s="12" t="inlineStr">
        <ns0:is>
          <ns0:t>c</ns0:t>
        </ns0:is>
      </ns0:c>
      <ns0:c r="C203" s="12" t="inlineStr">
        <ns0:is>
          <ns0:t>해국</ns0:t>
        </ns0:is>
      </ns0:c>
      <ns0:c r="D203" s="12" t="n">
        <ns0:v>0</ns0:v>
      </ns0:c>
      <ns0:c r="E203" s="12" t="inlineStr">
        <ns0:is>
          <ns0:t>해국은 독도 땅에 자라는 꽃식물이에요.</ns0:t>
        </ns0:is>
      </ns0:c>
      <ns0:c r="F203" s="12" t="inlineStr">
        <ns0:is>
          <ns0:t>Seaside daisy</ns0:t>
        </ns0:is>
      </ns0:c>
      <ns0:c r="G203" s="12" t="inlineStr">
        <ns0:is>
          <ns0:t>Seaside daisy is a flowering land plant on Dokdo.</ns0:t>
        </ns0:is>
      </ns0:c>
    </ns0:row>
    <ns0:row r="204" ht="33" customHeight="1">
      <ns0:c r="A204" s="10" t="n">
        <ns0:v>920070</ns0:v>
      </ns0:c>
      <ns0:c r="B204" s="10" t="inlineStr">
        <ns0:is>
          <ns0:t>b</ns0:t>
        </ns0:is>
      </ns0:c>
      <ns0:c r="C204" s="10" t="inlineStr">
        <ns0:is>
          <ns0:t>바닷말 / 바닷새</ns0:t>
        </ns0:is>
      </ns0:c>
      <ns0:c r="D204" s="10" t="n">
        <ns0:v>0</ns0:v>
      </ns0:c>
      <ns0:c r="E204" s="10" t="inlineStr">
        <ns0:is>
          <ns0:t>두 생물의 분류를 뒤바꿨어요.</ns0:t>
        </ns0:is>
      </ns0:c>
      <ns0:c r="F204" s="10" t="inlineStr">
        <ns0:is>
          <ns0:t>Seaweed / seabird</ns0:t>
        </ns0:is>
      </ns0:c>
      <ns0:c r="G204" s="10" t="inlineStr">
        <ns0:is>
          <ns0:t>The classifications have been reversed.</ns0:t>
        </ns0:is>
      </ns0:c>
    </ns0:row>
    <ns0:row r="205" ht="33" customHeight="1">
      <ns0:c r="A205" s="12" t="n">
        <ns0:v>920070</ns0:v>
      </ns0:c>
      <ns0:c r="B205" s="12" t="inlineStr">
        <ns0:is>
          <ns0:t>a</ns0:t>
        </ns0:is>
      </ns0:c>
      <ns0:c r="C205" s="12" t="inlineStr">
        <ns0:is>
          <ns0:t>바닷새 / 바닷말</ns0:t>
        </ns0:is>
      </ns0:c>
      <ns0:c r="D205" s="12" t="n">
        <ns0:v>1</ns0:v>
      </ns0:c>
      <ns0:c r="E205" s="12" t="inlineStr">
        <ns0:is>
          <ns0:t>괭이갈매기는 새이고 미역은 바닷속에서 자라는 해조류예요.</ns0:t>
        </ns0:is>
      </ns0:c>
      <ns0:c r="F205" s="12" t="inlineStr">
        <ns0:is>
          <ns0:t>Seabird / seaweed</ns0:t>
        </ns0:is>
      </ns0:c>
      <ns0:c r="G205" s="12" t="inlineStr">
        <ns0:is>
          <ns0:t>The gull is a bird; wakame is a seaweed.</ns0:t>
        </ns0:is>
      </ns0:c>
    </ns0:row>
    <ns0:row r="206" ht="33" customHeight="1">
      <ns0:c r="A206" s="10" t="n">
        <ns0:v>920070</ns0:v>
      </ns0:c>
      <ns0:c r="B206" s="10" t="inlineStr">
        <ns0:is>
          <ns0:t>c</ns0:t>
        </ns0:is>
      </ns0:c>
      <ns0:c r="C206" s="10" t="inlineStr">
        <ns0:is>
          <ns0:t>바닷새 / 바닷새</ns0:t>
        </ns0:is>
      </ns0:c>
      <ns0:c r="D206" s="10" t="n">
        <ns0:v>0</ns0:v>
      </ns0:c>
      <ns0:c r="E206" s="10" t="inlineStr">
        <ns0:is>
          <ns0:t>미역은 새가 아니라 바닷말이에요.</ns0:t>
        </ns0:is>
      </ns0:c>
      <ns0:c r="F206" s="10" t="inlineStr">
        <ns0:is>
          <ns0:t>Seabird / seabird</ns0:t>
        </ns0:is>
      </ns0:c>
      <ns0:c r="G206" s="10" t="inlineStr">
        <ns0:is>
          <ns0:t>Wakame is seaweed, not a bird.</ns0:t>
        </ns0:is>
      </ns0:c>
    </ns0:row>
    <ns0:row r="207" ht="33" customHeight="1">
      <ns0:c r="A207" s="12" t="n">
        <ns0:v>920071</ns0:v>
      </ns0:c>
      <ns0:c r="B207" s="12" t="inlineStr">
        <ns0:is>
          <ns0:t>b</ns0:t>
        </ns0:is>
      </ns0:c>
      <ns0:c r="C207" s="12" t="inlineStr">
        <ns0:is>
          <ns0:t>바닷말</ns0:t>
        </ns0:is>
      </ns0:c>
      <ns0:c r="D207" s="12" t="n">
        <ns0:v>0</ns0:v>
      </ns0:c>
      <ns0:c r="E207" s="12" t="inlineStr">
        <ns0:is>
          <ns0:t>바닷말을 뜻하는 해조류에는 마름 조(藻)를 써요.</ns0:t>
        </ns0:is>
      </ns0:c>
      <ns0:c r="F207" s="12" t="inlineStr">
        <ns0:is>
          <ns0:t>Seaweeds</ns0:t>
        </ns0:is>
      </ns0:c>
      <ns0:c r="G207" s="12" t="inlineStr">
        <ns0:is>
          <ns0:t>The term for seaweeds uses 藻 rather than 鳥.</ns0:t>
        </ns0:is>
      </ns0:c>
    </ns0:row>
    <ns0:row r="208" ht="33" customHeight="1">
      <ns0:c r="A208" s="10" t="n">
        <ns0:v>920071</ns0:v>
      </ns0:c>
      <ns0:c r="B208" s="10" t="inlineStr">
        <ns0:is>
          <ns0:t>c</ns0:t>
        </ns0:is>
      </ns0:c>
      <ns0:c r="C208" s="10" t="inlineStr">
        <ns0:is>
          <ns0:t>바다 물고기</ns0:t>
        </ns0:is>
      </ns0:c>
      <ns0:c r="D208" s="10" t="n">
        <ns0:v>0</ns0:v>
      </ns0:c>
      <ns0:c r="E208" s="10" t="inlineStr">
        <ns0:is>
          <ns0:t>여기에는 새를 뜻하는 글자가 있으므로 물고기를 가리키지 않아요.</ns0:t>
        </ns0:is>
      </ns0:c>
      <ns0:c r="F208" s="10" t="inlineStr">
        <ns0:is>
          <ns0:t>Marine fish</ns0:t>
        </ns0:is>
      </ns0:c>
      <ns0:c r="G208" s="10" t="inlineStr">
        <ns0:is>
          <ns0:t>The bird character indicates birds, not fish.</ns0:t>
        </ns0:is>
      </ns0:c>
    </ns0:row>
    <ns0:row r="209" ht="33" customHeight="1">
      <ns0:c r="A209" s="12" t="n">
        <ns0:v>920071</ns0:v>
      </ns0:c>
      <ns0:c r="B209" s="12" t="inlineStr">
        <ns0:is>
          <ns0:t>a</ns0:t>
        </ns0:is>
      </ns0:c>
      <ns0:c r="C209" s="12" t="inlineStr">
        <ns0:is>
          <ns0:t>바닷새</ns0:t>
        </ns0:is>
      </ns0:c>
      <ns0:c r="D209" s="12" t="n">
        <ns0:v>1</ns0:v>
      </ns0:c>
      <ns0:c r="E209" s="12" t="inlineStr">
        <ns0:is>
          <ns0:t>새 조(鳥)가 쓰였으므로 바닷새라는 뜻이에요.</ns0:t>
        </ns0:is>
      </ns0:c>
      <ns0:c r="F209" s="12" t="inlineStr">
        <ns0:is>
          <ns0:t>Seabirds</ns0:t>
        </ns0:is>
      </ns0:c>
      <ns0:c r="G209" s="12" t="inlineStr">
        <ns0:is>
          <ns0:t>The character 鳥 means bird, so the term refers to seabirds.</ns0:t>
        </ns0:is>
      </ns0:c>
    </ns0:row>
    <ns0:row r="210" ht="33" customHeight="1">
      <ns0:c r="A210" s="10" t="n">
        <ns0:v>920072</ns0:v>
      </ns0:c>
      <ns0:c r="B210" s="10" t="inlineStr">
        <ns0:is>
          <ns0:t>a</ns0:t>
        </ns0:is>
      </ns0:c>
      <ns0:c r="C210" s="10" t="inlineStr">
        <ns0:is>
          <ns0:t>미역·다시마</ns0:t>
        </ns0:is>
      </ns0:c>
      <ns0:c r="D210" s="10" t="n">
        <ns0:v>1</ns0:v>
      </ns0:c>
      <ns0:c r="E210" s="10" t="inlineStr">
        <ns0:is>
          <ns0:t>두 종류 모두 독도 자연환경 안내에 나온 바닷말이에요.</ns0:t>
        </ns0:is>
      </ns0:c>
      <ns0:c r="F210" s="10" t="inlineStr">
        <ns0:is>
          <ns0:t>Wakame and kelp</ns0:t>
        </ns0:is>
      </ns0:c>
      <ns0:c r="G210" s="10" t="inlineStr">
        <ns0:is>
          <ns0:t>Both are seaweeds listed in the Dokdo natural-environment account.</ns0:t>
        </ns0:is>
      </ns0:c>
    </ns0:row>
    <ns0:row r="211" ht="33" customHeight="1">
      <ns0:c r="A211" s="12" t="n">
        <ns0:v>920072</ns0:v>
      </ns0:c>
      <ns0:c r="B211" s="12" t="inlineStr">
        <ns0:is>
          <ns0:t>b</ns0:t>
        </ns0:is>
      </ns0:c>
      <ns0:c r="C211" s="12" t="inlineStr">
        <ns0:is>
          <ns0:t>미역·슴새</ns0:t>
        </ns0:is>
      </ns0:c>
      <ns0:c r="D211" s="12" t="n">
        <ns0:v>0</ns0:v>
      </ns0:c>
      <ns0:c r="E211" s="12" t="inlineStr">
        <ns0:is>
          <ns0:t>미역은 바닷말이지만 슴새는 새예요.</ns0:t>
        </ns0:is>
      </ns0:c>
      <ns0:c r="F211" s="12" t="inlineStr">
        <ns0:is>
          <ns0:t>Wakame and streaked shearwater</ns0:t>
        </ns0:is>
      </ns0:c>
      <ns0:c r="G211" s="12" t="inlineStr">
        <ns0:is>
          <ns0:t>Wakame is seaweed, but the shearwater is a bird.</ns0:t>
        </ns0:is>
      </ns0:c>
    </ns0:row>
    <ns0:row r="212" ht="33" customHeight="1">
      <ns0:c r="A212" s="10" t="n">
        <ns0:v>920072</ns0:v>
      </ns0:c>
      <ns0:c r="B212" s="10" t="inlineStr">
        <ns0:is>
          <ns0:t>c</ns0:t>
        </ns0:is>
      </ns0:c>
      <ns0:c r="C212" s="10" t="inlineStr">
        <ns0:is>
          <ns0:t>괭이갈매기·바다제비</ns0:t>
        </ns0:is>
      </ns0:c>
      <ns0:c r="D212" s="10" t="n">
        <ns0:v>0</ns0:v>
      </ns0:c>
      <ns0:c r="E212" s="10" t="inlineStr">
        <ns0:is>
          <ns0:t>둘 다 바닷새이며 바닷말이 아니에요.</ns0:t>
        </ns0:is>
      </ns0:c>
      <ns0:c r="F212" s="10" t="inlineStr">
        <ns0:is>
          <ns0:t>Black-tailed gull and storm petrel</ns0:t>
        </ns0:is>
      </ns0:c>
      <ns0:c r="G212" s="10" t="inlineStr">
        <ns0:is>
          <ns0:t>Both are seabirds, not seaweeds.</ns0:t>
        </ns0:is>
      </ns0:c>
    </ns0:row>
    <ns0:row r="213" ht="33" customHeight="1">
      <ns0:c r="A213" s="12" t="n">
        <ns0:v>920073</ns0:v>
      </ns0:c>
      <ns0:c r="B213" s="12" t="inlineStr">
        <ns0:is>
          <ns0:t>b</ns0:t>
        </ns0:is>
      </ns0:c>
      <ns0:c r="C213" s="12" t="inlineStr">
        <ns0:is>
          <ns0:t>미역</ns0:t>
        </ns0:is>
      </ns0:c>
      <ns0:c r="D213" s="12" t="n">
        <ns0:v>0</ns0:v>
      </ns0:c>
      <ns0:c r="E213" s="12" t="inlineStr">
        <ns0:is>
          <ns0:t>미역은 바닷속에서 자라는 바닷말이에요.</ns0:t>
        </ns0:is>
      </ns0:c>
      <ns0:c r="F213" s="12" t="inlineStr">
        <ns0:is>
          <ns0:t>Wakame</ns0:t>
        </ns0:is>
      </ns0:c>
      <ns0:c r="G213" s="12" t="inlineStr">
        <ns0:is>
          <ns0:t>Wakame is an underwater seaweed.</ns0:t>
        </ns0:is>
      </ns0:c>
    </ns0:row>
    <ns0:row r="214" ht="33" customHeight="1">
      <ns0:c r="A214" s="10" t="n">
        <ns0:v>920073</ns0:v>
      </ns0:c>
      <ns0:c r="B214" s="10" t="inlineStr">
        <ns0:is>
          <ns0:t>a</ns0:t>
        </ns0:is>
      </ns0:c>
      <ns0:c r="C214" s="10" t="inlineStr">
        <ns0:is>
          <ns0:t>해국</ns0:t>
        </ns0:is>
      </ns0:c>
      <ns0:c r="D214" s="10" t="n">
        <ns0:v>1</ns0:v>
      </ns0:c>
      <ns0:c r="E214" s="10" t="inlineStr">
        <ns0:is>
          <ns0:t>해국은 독도 식물 목록에 소개되는 땅 위 식물이에요.</ns0:t>
        </ns0:is>
      </ns0:c>
      <ns0:c r="F214" s="10" t="inlineStr">
        <ns0:is>
          <ns0:t>Seaside daisy</ns0:t>
        </ns0:is>
      </ns0:c>
      <ns0:c r="G214" s="10" t="inlineStr">
        <ns0:is>
          <ns0:t>Seaside daisy is listed among Dokdo’s land plants.</ns0:t>
        </ns0:is>
      </ns0:c>
    </ns0:row>
    <ns0:row r="215" ht="33" customHeight="1">
      <ns0:c r="A215" s="12" t="n">
        <ns0:v>920073</ns0:v>
      </ns0:c>
      <ns0:c r="B215" s="12" t="inlineStr">
        <ns0:is>
          <ns0:t>c</ns0:t>
        </ns0:is>
      </ns0:c>
      <ns0:c r="C215" s="12" t="inlineStr">
        <ns0:is>
          <ns0:t>다시마</ns0:t>
        </ns0:is>
      </ns0:c>
      <ns0:c r="D215" s="12" t="n">
        <ns0:v>0</ns0:v>
      </ns0:c>
      <ns0:c r="E215" s="12" t="inlineStr">
        <ns0:is>
          <ns0:t>다시마는 땅 위 꽃식물이 아니라 바닷말이에요.</ns0:t>
        </ns0:is>
      </ns0:c>
      <ns0:c r="F215" s="12" t="inlineStr">
        <ns0:is>
          <ns0:t>Kelp</ns0:t>
        </ns0:is>
      </ns0:c>
      <ns0:c r="G215" s="12" t="inlineStr">
        <ns0:is>
          <ns0:t>Kelp is seaweed, not a flowering land plant.</ns0:t>
        </ns0:is>
      </ns0:c>
    </ns0:row>
    <ns0:row r="216" ht="33" customHeight="1">
      <ns0:c r="A216" s="10" t="n">
        <ns0:v>920074</ns0:v>
      </ns0:c>
      <ns0:c r="B216" s="10" t="inlineStr">
        <ns0:is>
          <ns0:t>b</ns0:t>
        </ns0:is>
      </ns0:c>
      <ns0:c r="C216" s="10" t="inlineStr">
        <ns0:is>
          <ns0:t>번식하는 바닷새</ns0:t>
        </ns0:is>
      </ns0:c>
      <ns0:c r="D216" s="10" t="n">
        <ns0:v>0</ns0:v>
      </ns0:c>
      <ns0:c r="E216" s="10" t="inlineStr">
        <ns0:is>
          <ns0:t>두 이름은 새가 아니라 식물 이름이에요.</ns0:t>
        </ns0:is>
      </ns0:c>
      <ns0:c r="F216" s="10" t="inlineStr">
        <ns0:is>
          <ns0:t>Breeding seabirds</ns0:t>
        </ns0:is>
      </ns0:c>
      <ns0:c r="G216" s="10" t="inlineStr">
        <ns0:is>
          <ns0:t>These are plant names, not bird names.</ns0:t>
        </ns0:is>
      </ns0:c>
    </ns0:row>
    <ns0:row r="217" ht="33" customHeight="1">
      <ns0:c r="A217" s="12" t="n">
        <ns0:v>920074</ns0:v>
      </ns0:c>
      <ns0:c r="B217" s="12" t="inlineStr">
        <ns0:is>
          <ns0:t>c</ns0:t>
        </ns0:is>
      </ns0:c>
      <ns0:c r="C217" s="12" t="inlineStr">
        <ns0:is>
          <ns0:t>바닷속 물고기</ns0:t>
        </ns0:is>
      </ns0:c>
      <ns0:c r="D217" s="12" t="n">
        <ns0:v>0</ns0:v>
      </ns0:c>
      <ns0:c r="E217" s="12" t="inlineStr">
        <ns0:is>
          <ns0:t>두 이름은 물고기가 아니라 육상 식물이에요.</ns0:t>
        </ns0:is>
      </ns0:c>
      <ns0:c r="F217" s="12" t="inlineStr">
        <ns0:is>
          <ns0:t>Marine fish</ns0:t>
        </ns0:is>
      </ns0:c>
      <ns0:c r="G217" s="12" t="inlineStr">
        <ns0:is>
          <ns0:t>These names refer to land plants, not fish.</ns0:t>
        </ns0:is>
      </ns0:c>
    </ns0:row>
    <ns0:row r="218" ht="33" customHeight="1">
      <ns0:c r="A218" s="10" t="n">
        <ns0:v>920074</ns0:v>
      </ns0:c>
      <ns0:c r="B218" s="10" t="inlineStr">
        <ns0:is>
          <ns0:t>a</ns0:t>
        </ns0:is>
      </ns0:c>
      <ns0:c r="C218" s="10" t="inlineStr">
        <ns0:is>
          <ns0:t>땅 위 식물</ns0:t>
        </ns0:is>
      </ns0:c>
      <ns0:c r="D218" s="10" t="n">
        <ns0:v>1</ns0:v>
      </ns0:c>
      <ns0:c r="E218" s="10" t="inlineStr">
        <ns0:is>
          <ns0:t>해국과 섬기린초는 독도 땅에 자라는 식물이에요.</ns0:t>
        </ns0:is>
      </ns0:c>
      <ns0:c r="F218" s="10" t="inlineStr">
        <ns0:is>
          <ns0:t>Land plants</ns0:t>
        </ns0:is>
      </ns0:c>
      <ns0:c r="G218" s="10" t="inlineStr">
        <ns0:is>
          <ns0:t>Both are plants that grow on Dokdo’s land.</ns0:t>
        </ns0:is>
      </ns0:c>
    </ns0:row>
    <ns0:row r="219" ht="33" customHeight="1">
      <ns0:c r="A219" s="12" t="n">
        <ns0:v>920075</ns0:v>
      </ns0:c>
      <ns0:c r="B219" s="12" t="inlineStr">
        <ns0:is>
          <ns0:t>a</ns0:t>
        </ns0:is>
      </ns0:c>
      <ns0:c r="C219" s="12" t="inlineStr">
        <ns0:is>
          <ns0:t>섬기린초·땅채송화</ns0:t>
        </ns0:is>
      </ns0:c>
      <ns0:c r="D219" s="12" t="n">
        <ns0:v>1</ns0:v>
      </ns0:c>
      <ns0:c r="E219" s="12" t="inlineStr">
        <ns0:is>
          <ns0:t>두 식물은 육상 식물 목록에 있어요.</ns0:t>
        </ns0:is>
      </ns0:c>
      <ns0:c r="F219" s="12" t="inlineStr">
        <ns0:is>
          <ns0:t>Island stonecrop and rock stonecrop</ns0:t>
        </ns0:is>
      </ns0:c>
      <ns0:c r="G219" s="12" t="inlineStr">
        <ns0:is>
          <ns0:t>Both appear in the land-plant list.</ns0:t>
        </ns0:is>
      </ns0:c>
    </ns0:row>
    <ns0:row r="220" ht="33" customHeight="1">
      <ns0:c r="A220" s="10" t="n">
        <ns0:v>920075</ns0:v>
      </ns0:c>
      <ns0:c r="B220" s="10" t="inlineStr">
        <ns0:is>
          <ns0:t>b</ns0:t>
        </ns0:is>
      </ns0:c>
      <ns0:c r="C220" s="10" t="inlineStr">
        <ns0:is>
          <ns0:t>섬기린초·미역</ns0:t>
        </ns0:is>
      </ns0:c>
      <ns0:c r="D220" s="10" t="n">
        <ns0:v>0</ns0:v>
      </ns0:c>
      <ns0:c r="E220" s="10" t="inlineStr">
        <ns0:is>
          <ns0:t>섬기린초는 땅 위 식물이지만 미역은 바닷말이에요.</ns0:t>
        </ns0:is>
      </ns0:c>
      <ns0:c r="F220" s="10" t="inlineStr">
        <ns0:is>
          <ns0:t>Island stonecrop and wakame</ns0:t>
        </ns0:is>
      </ns0:c>
      <ns0:c r="G220" s="10" t="inlineStr">
        <ns0:is>
          <ns0:t>Island stonecrop is terrestrial, while wakame is seaweed.</ns0:t>
        </ns0:is>
      </ns0:c>
    </ns0:row>
    <ns0:row r="221" ht="33" customHeight="1">
      <ns0:c r="A221" s="12" t="n">
        <ns0:v>920075</ns0:v>
      </ns0:c>
      <ns0:c r="B221" s="12" t="inlineStr">
        <ns0:is>
          <ns0:t>c</ns0:t>
        </ns0:is>
      </ns0:c>
      <ns0:c r="C221" s="12" t="inlineStr">
        <ns0:is>
          <ns0:t>미역·다시마</ns0:t>
        </ns0:is>
      </ns0:c>
      <ns0:c r="D221" s="12" t="n">
        <ns0:v>0</ns0:v>
      </ns0:c>
      <ns0:c r="E221" s="12" t="inlineStr">
        <ns0:is>
          <ns0:t>두 생물은 바닷말 목록에 있어요.</ns0:t>
        </ns0:is>
      </ns0:c>
      <ns0:c r="F221" s="12" t="inlineStr">
        <ns0:is>
          <ns0:t>Wakame and kelp</ns0:t>
        </ns0:is>
      </ns0:c>
      <ns0:c r="G221" s="12" t="inlineStr">
        <ns0:is>
          <ns0:t>Both appear in the seaweed list.</ns0:t>
        </ns0:is>
      </ns0:c>
    </ns0:row>
    <ns0:row r="222" ht="33" customHeight="1">
      <ns0:c r="A222" s="10" t="n">
        <ns0:v>920076</ns0:v>
      </ns0:c>
      <ns0:c r="B222" s="10" t="inlineStr">
        <ns0:is>
          <ns0:t>b</ns0:t>
        </ns0:is>
      </ns0:c>
      <ns0:c r="C222" s="10" t="inlineStr">
        <ns0:is>
          <ns0:t>다시마 등 바닷말만</ns0:t>
        </ns0:is>
      </ns0:c>
      <ns0:c r="D222" s="10" t="n">
        <ns0:v>0</ns0:v>
      </ns0:c>
      <ns0:c r="E222" s="10" t="inlineStr">
        <ns0:is>
          <ns0:t>바닷말을 추가해도 땅 위 식물은 여전히 빠져요.</ns0:t>
        </ns0:is>
      </ns0:c>
      <ns0:c r="F222" s="10" t="inlineStr">
        <ns0:is>
          <ns0:t>Only other seaweeds such as kelp</ns0:t>
        </ns0:is>
      </ns0:c>
      <ns0:c r="G222" s="10" t="inlineStr">
        <ns0:is>
          <ns0:t>Adding seaweeds still leaves land plants unrecorded.</ns0:t>
        </ns0:is>
      </ns0:c>
    </ns0:row>
    <ns0:row r="223" ht="38" customHeight="1">
      <ns0:c r="A223" s="12" t="n">
        <ns0:v>920076</ns0:v>
      </ns0:c>
      <ns0:c r="B223" s="12" t="inlineStr">
        <ns0:is>
          <ns0:t>a</ns0:t>
        </ns0:is>
      </ns0:c>
      <ns0:c r="C223" s="12" t="inlineStr">
        <ns0:is>
          <ns0:t>해국·섬기린초 등 땅 위 식물</ns0:t>
        </ns0:is>
      </ns0:c>
      <ns0:c r="D223" s="12" t="n">
        <ns0:v>1</ns0:v>
      </ns0:c>
      <ns0:c r="E223" s="12" t="inlineStr">
        <ns0:is>
          <ns0:t>미역만으로는 독도 땅의 식물을 조사한 것이 아니므로 육상 식물을 더 살펴야 해요.</ns0:t>
        </ns0:is>
      </ns0:c>
      <ns0:c r="F223" s="12" t="inlineStr">
        <ns0:is>
          <ns0:t>Land plants such as seaside daisy and island stonecrop</ns0:t>
        </ns0:is>
      </ns0:c>
      <ns0:c r="G223" s="12" t="inlineStr">
        <ns0:is>
          <ns0:t>Wakame alone does not represent plants growing on the islands’ land.</ns0:t>
        </ns0:is>
      </ns0:c>
    </ns0:row>
    <ns0:row r="224" ht="33" customHeight="1">
      <ns0:c r="A224" s="10" t="n">
        <ns0:v>920076</ns0:v>
      </ns0:c>
      <ns0:c r="B224" s="10" t="inlineStr">
        <ns0:is>
          <ns0:t>c</ns0:t>
        </ns0:is>
      </ns0:c>
      <ns0:c r="C224" s="10" t="inlineStr">
        <ns0:is>
          <ns0:t>괭이갈매기 등 바닷새</ns0:t>
        </ns0:is>
      </ns0:c>
      <ns0:c r="D224" s="10" t="n">
        <ns0:v>0</ns0:v>
      </ns0:c>
      <ns0:c r="E224" s="10" t="inlineStr">
        <ns0:is>
          <ns0:t>바닷새는 독도 생물 조사에는 중요하지만 식물 조사 대상은 아니에요.</ns0:t>
        </ns0:is>
      </ns0:c>
      <ns0:c r="F224" s="10" t="inlineStr">
        <ns0:is>
          <ns0:t>Seabirds such as black-tailed gulls</ns0:t>
        </ns0:is>
      </ns0:c>
      <ns0:c r="G224" s="10" t="inlineStr">
        <ns0:is>
          <ns0:t>Seabirds matter to biodiversity surveys but are not plants.</ns0:t>
        </ns0:is>
      </ns0:c>
    </ns0:row>
    <ns0:row r="225" ht="33" customHeight="1">
      <ns0:c r="A225" s="12" t="n">
        <ns0:v>920077</ns0:v>
      </ns0:c>
      <ns0:c r="B225" s="12" t="inlineStr">
        <ns0:is>
          <ns0:t>b</ns0:t>
        </ns0:is>
      </ns0:c>
      <ns0:c r="C225" s="12" t="inlineStr">
        <ns0:is>
          <ns0:t>건물만</ns0:t>
        </ns0:is>
      </ns0:c>
      <ns0:c r="D225" s="12" t="n">
        <ns0:v>0</ns0:v>
      </ns0:c>
      <ns0:c r="E225" s="12" t="inlineStr">
        <ns0:is>
          <ns0:t>독도 천연보호구역은 사람의 건물만 보호하는 제도가 아니에요.</ns0:t>
        </ns0:is>
      </ns0:c>
      <ns0:c r="F225" s="12" t="inlineStr">
        <ns0:is>
          <ns0:t>Only buildings</ns0:t>
        </ns0:is>
      </ns0:c>
      <ns0:c r="G225" s="12" t="inlineStr">
        <ns0:is>
          <ns0:t>The natural reserve is not limited to protecting buildings.</ns0:t>
        </ns0:is>
      </ns0:c>
    </ns0:row>
    <ns0:row r="226" ht="33" customHeight="1">
      <ns0:c r="A226" s="10" t="n">
        <ns0:v>920077</ns0:v>
      </ns0:c>
      <ns0:c r="B226" s="10" t="inlineStr">
        <ns0:is>
          <ns0:t>c</ns0:t>
        </ns0:is>
      </ns0:c>
      <ns0:c r="C226" s="10" t="inlineStr">
        <ns0:is>
          <ns0:t>배와 선착장만</ns0:t>
        </ns0:is>
      </ns0:c>
      <ns0:c r="D226" s="10" t="n">
        <ns0:v>0</ns0:v>
      </ns0:c>
      <ns0:c r="E226" s="10" t="inlineStr">
        <ns0:is>
          <ns0:t>선박 시설만으로는 독도의 자연유산 범위를 설명할 수 없어요.</ns0:t>
        </ns0:is>
      </ns0:c>
      <ns0:c r="F226" s="10" t="inlineStr">
        <ns0:is>
          <ns0:t>Only vessels and the dock</ns0:t>
        </ns0:is>
      </ns0:c>
      <ns0:c r="G226" s="10" t="inlineStr">
        <ns0:is>
          <ns0:t>Shipping facilities alone do not represent Dokdo’s natural heritage.</ns0:t>
        </ns0:is>
      </ns0:c>
    </ns0:row>
    <ns0:row r="227" ht="33" customHeight="1">
      <ns0:c r="A227" s="12" t="n">
        <ns0:v>920077</ns0:v>
      </ns0:c>
      <ns0:c r="B227" s="12" t="inlineStr">
        <ns0:is>
          <ns0:t>a</ns0:t>
        </ns0:is>
      </ns0:c>
      <ns0:c r="C227" s="12" t="inlineStr">
        <ns0:is>
          <ns0:t>생물과 화산 지형</ns0:t>
        </ns0:is>
      </ns0:c>
      <ns0:c r="D227" s="12" t="n">
        <ns0:v>1</ns0:v>
      </ns0:c>
      <ns0:c r="E227" s="12" t="inlineStr">
        <ns0:is>
          <ns0:t>보호 가치는 새뿐 아니라 식물·바다 생물과 화산 지형에도 있어요.</ns0:t>
        </ns0:is>
      </ns0:c>
      <ns0:c r="F227" s="12" t="inlineStr">
        <ns0:is>
          <ns0:t>Organisms and volcanic landforms</ns0:t>
        </ns0:is>
      </ns0:c>
      <ns0:c r="G227" s="12" t="inlineStr">
        <ns0:is>
          <ns0:t>Conservation value includes plants, marine life and volcanic terrain as well as birds.</ns0:t>
        </ns0:is>
      </ns0:c>
    </ns0:row>
    <ns0:row r="228" ht="33" customHeight="1">
      <ns0:c r="A228" s="10" t="n">
        <ns0:v>920078</ns0:v>
      </ns0:c>
      <ns0:c r="B228" s="10" t="inlineStr">
        <ns0:is>
          <ns0:t>a</ns0:t>
        </ns0:is>
      </ns0:c>
      <ns0:c r="C228" s="10" t="inlineStr">
        <ns0:is>
          <ns0:t>화산 형성과 침식</ns0:t>
        </ns0:is>
      </ns0:c>
      <ns0:c r="D228" s="10" t="n">
        <ns0:v>1</ns0:v>
      </ns0:c>
      <ns0:c r="E228" s="10" t="inlineStr">
        <ns0:is>
          <ns0:t>독도 절벽의 암석과 형태에서 섬이 만들어지고 깎인 과정을 살펴볼 수 있어요.</ns0:t>
        </ns0:is>
      </ns0:c>
      <ns0:c r="F228" s="10" t="inlineStr">
        <ns0:is>
          <ns0:t>Volcanic formation and erosion</ns0:t>
        </ns0:is>
      </ns0:c>
      <ns0:c r="G228" s="10" t="inlineStr">
        <ns0:is>
          <ns0:t>Rock and cliff forms help reveal the island’s construction and erosion.</ns0:t>
        </ns0:is>
      </ns0:c>
    </ns0:row>
    <ns0:row r="229" ht="38" customHeight="1">
      <ns0:c r="A229" s="12" t="n">
        <ns0:v>920078</ns0:v>
      </ns0:c>
      <ns0:c r="B229" s="12" t="inlineStr">
        <ns0:is>
          <ns0:t>b</ns0:t>
        </ns0:is>
      </ns0:c>
      <ns0:c r="C229" s="12" t="inlineStr">
        <ns0:is>
          <ns0:t>빙하가 만든 계곡</ns0:t>
        </ns0:is>
      </ns0:c>
      <ns0:c r="D229" s="12" t="n">
        <ns0:v>0</ns0:v>
      </ns0:c>
      <ns0:c r="E229" s="12" t="inlineStr">
        <ns0:is>
          <ns0:t>공식 지형 설명은 화산활동과 해안 침식에 관한 것이에요. 독도 해안 절벽을 빙하가 만든 계곡으로 설명하지 않아요.</ns0:t>
        </ns0:is>
      </ns0:c>
      <ns0:c r="F229" s="12" t="inlineStr">
        <ns0:is>
          <ns0:t>A valley carved by a glacier</ns0:t>
        </ns0:is>
      </ns0:c>
      <ns0:c r="G229" s="12" t="inlineStr">
        <ns0:is>
          <ns0:t>The cited account describes volcanism and coastal erosion, not a glacial valley.</ns0:t>
        </ns0:is>
      </ns0:c>
    </ns0:row>
    <ns0:row r="230" ht="38" customHeight="1">
      <ns0:c r="A230" s="10" t="n">
        <ns0:v>920078</ns0:v>
      </ns0:c>
      <ns0:c r="B230" s="10" t="inlineStr">
        <ns0:is>
          <ns0:t>c</ns0:t>
        </ns0:is>
      </ns0:c>
      <ns0:c r="C230" s="10" t="inlineStr">
        <ns0:is>
          <ns0:t>강 하구의 모래 퇴적</ns0:t>
        </ns0:is>
      </ns0:c>
      <ns0:c r="D230" s="10" t="n">
        <ns0:v>0</ns0:v>
      </ns0:c>
      <ns0:c r="E230" s="10" t="inlineStr">
        <ns0:is>
          <ns0:t>강 하구의 모래 퇴적은 삼각주 등과 연결돼요. 독도 해안 절벽은 화산에서 생긴 바위가 깎인 흔적을 보여 줘요.</ns0:t>
        </ns0:is>
      </ns0:c>
      <ns0:c r="F230" s="10" t="inlineStr">
        <ns0:is>
          <ns0:t>River-mouth sand deposition</ns0:t>
        </ns0:is>
      </ns0:c>
      <ns0:c r="G230" s="10" t="inlineStr">
        <ns0:is>
          <ns0:t>River-mouth sand deposition relates to features such as deltas. Dokdo’s cliffs record erosion of volcanic rock.</ns0:t>
        </ns0:is>
      </ns0:c>
    </ns0:row>
    <ns0:row r="231" ht="33" customHeight="1">
      <ns0:c r="A231" s="12" t="n">
        <ns0:v>920079</ns0:v>
      </ns0:c>
      <ns0:c r="B231" s="12" t="inlineStr">
        <ns0:is>
          <ns0:t>b</ns0:t>
        </ns0:is>
      </ns0:c>
      <ns0:c r="C231" s="12" t="inlineStr">
        <ns0:is>
          <ns0:t>바다제비와 괭이갈매기</ns0:t>
        </ns0:is>
      </ns0:c>
      <ns0:c r="D231" s="12" t="n">
        <ns0:v>0</ns0:v>
      </ns0:c>
      <ns0:c r="E231" s="12" t="inlineStr">
        <ns0:is>
          <ns0:t>둘 다 바닷새이므로 ‘바닷새만 보호’ 범위에는 들어가요.</ns0:t>
        </ns0:is>
      </ns0:c>
      <ns0:c r="F231" s="12" t="inlineStr">
        <ns0:is>
          <ns0:t>Storm petrels and black-tailed gulls</ns0:t>
        </ns0:is>
      </ns0:c>
      <ns0:c r="G231" s="12" t="inlineStr">
        <ns0:is>
          <ns0:t>Both are seabirds and therefore included in that restricted scope.</ns0:t>
        </ns0:is>
      </ns0:c>
    </ns0:row>
    <ns0:row r="232" ht="33" customHeight="1">
      <ns0:c r="A232" s="10" t="n">
        <ns0:v>920079</ns0:v>
      </ns0:c>
      <ns0:c r="B232" s="10" t="inlineStr">
        <ns0:is>
          <ns0:t>a</ns0:t>
        </ns0:is>
      </ns0:c>
      <ns0:c r="C232" s="10" t="inlineStr">
        <ns0:is>
          <ns0:t>땅 위 식물과 화산 지형</ns0:t>
        </ns0:is>
      </ns0:c>
      <ns0:c r="D232" s="10" t="n">
        <ns0:v>1</ns0:v>
      </ns0:c>
      <ns0:c r="E232" s="10" t="inlineStr">
        <ns0:is>
          <ns0:t>자료는 새 외에도 식생과 지형을 보호 가치로 제시해요.</ns0:t>
        </ns0:is>
      </ns0:c>
      <ns0:c r="F232" s="10" t="inlineStr">
        <ns0:is>
          <ns0:t>Land plants and volcanic landforms</ns0:t>
        </ns0:is>
      </ns0:c>
      <ns0:c r="G232" s="10" t="inlineStr">
        <ns0:is>
          <ns0:t>The supplied account identifies vegetation and landforms as valuable too.</ns0:t>
        </ns0:is>
      </ns0:c>
    </ns0:row>
    <ns0:row r="233" ht="33" customHeight="1">
      <ns0:c r="A233" s="12" t="n">
        <ns0:v>920079</ns0:v>
      </ns0:c>
      <ns0:c r="B233" s="12" t="inlineStr">
        <ns0:is>
          <ns0:t>c</ns0:t>
        </ns0:is>
      </ns0:c>
      <ns0:c r="C233" s="12" t="inlineStr">
        <ns0:is>
          <ns0:t>바닷새의 번식</ns0:t>
        </ns0:is>
      </ns0:c>
      <ns0:c r="D233" s="12" t="n">
        <ns0:v>0</ns0:v>
      </ns0:c>
      <ns0:c r="E233" s="12" t="inlineStr">
        <ns0:is>
          <ns0:t>바닷새의 번식지 보호는 이미 제시된 범위와 직접 관련돼요.</ns0:t>
        </ns0:is>
      </ns0:c>
      <ns0:c r="F233" s="12" t="inlineStr">
        <ns0:is>
          <ns0:t>Seabird breeding</ns0:t>
        </ns0:is>
      </ns0:c>
      <ns0:c r="G233" s="12" t="inlineStr">
        <ns0:is>
          <ns0:t>Breeding-site protection is already directly related to seabirds.</ns0:t>
        </ns0:is>
      </ns0:c>
    </ns0:row>
    <ns0:row r="234" ht="33" customHeight="1">
      <ns0:c r="A234" s="10" t="n">
        <ns0:v>920080</ns0:v>
      </ns0:c>
      <ns0:c r="B234" s="10" t="inlineStr">
        <ns0:is>
          <ns0:t>b</ns0:t>
        </ns0:is>
      </ns0:c>
      <ns0:c r="C234" s="10" t="inlineStr">
        <ns0:is>
          <ns0:t>바닷새 세 종류의 이름만 반복해서 설명</ns0:t>
        </ns0:is>
      </ns0:c>
      <ns0:c r="D234" s="10" t="n">
        <ns0:v>0</ns0:v>
      </ns0:c>
      <ns0:c r="E234" s="10" t="inlineStr">
        <ns0:is>
          <ns0:t>새를 설명해도 식물과 화산 지형은 빠져 있어 전체 가치를 다루지 못해요.</ns0:t>
        </ns0:is>
      </ns0:c>
      <ns0:c r="F234" s="10" t="inlineStr">
        <ns0:is>
          <ns0:t>Repeat only three seabird names</ns0:t>
        </ns0:is>
      </ns0:c>
      <ns0:c r="G234" s="10" t="inlineStr">
        <ns0:is>
          <ns0:t>Bird names alone leave out vegetation and landforms.</ns0:t>
        </ns0:is>
      </ns0:c>
    </ns0:row>
    <ns0:row r="235" ht="33" customHeight="1">
      <ns0:c r="A235" s="12" t="n">
        <ns0:v>920080</ns0:v>
      </ns0:c>
      <ns0:c r="B235" s="12" t="inlineStr">
        <ns0:is>
          <ns0:t>c</ns0:t>
        </ns0:is>
      </ns0:c>
      <ns0:c r="C235" s="12" t="inlineStr">
        <ns0:is>
          <ns0:t>시설 주소와 배 시간만 설명</ns0:t>
        </ns0:is>
      </ns0:c>
      <ns0:c r="D235" s="12" t="n">
        <ns0:v>0</ns0:v>
      </ns0:c>
      <ns0:c r="E235" s="12" t="inlineStr">
        <ns0:is>
          <ns0:t>방문 정보는 도움이 되지만 독도의 자연유산 가치를 설명하는 내용과는 달라요.</ns0:t>
        </ns0:is>
      </ns0:c>
      <ns0:c r="F235" s="12" t="inlineStr">
        <ns0:is>
          <ns0:t>Explain only facility addresses and ferry times</ns0:t>
        </ns0:is>
      </ns0:c>
      <ns0:c r="G235" s="12" t="inlineStr">
        <ns0:is>
          <ns0:t>Visitor logistics do not explain the reserve’s natural heritage.</ns0:t>
        </ns0:is>
      </ns0:c>
    </ns0:row>
    <ns0:row r="236" ht="38" customHeight="1">
      <ns0:c r="A236" s="10" t="n">
        <ns0:v>920080</ns0:v>
      </ns0:c>
      <ns0:c r="B236" s="10" t="inlineStr">
        <ns0:is>
          <ns0:t>a</ns0:t>
        </ns0:is>
      </ns0:c>
      <ns0:c r="C236" s="10" t="inlineStr">
        <ns0:is>
          <ns0:t>바닷새 번식·육상 식물·화산과 해식 지형을 함께 설명</ns0:t>
        </ns0:is>
      </ns0:c>
      <ns0:c r="D236" s="10" t="n">
        <ns0:v>1</ns0:v>
      </ns0:c>
      <ns0:c r="E236" s="10" t="inlineStr">
        <ns0:is>
          <ns0:t>독도의 생물과 지형을 함께 설명하므로 자료에 제시된 여러 보호 가치를 다뤄요.</ns0:t>
        </ns0:is>
      </ns0:c>
      <ns0:c r="F236" s="10" t="inlineStr">
        <ns0:is>
          <ns0:t>Explain seabird breeding, land plants, volcanic and eroded terrain</ns0:t>
        </ns0:is>
      </ns0:c>
      <ns0:c r="G236" s="10" t="inlineStr">
        <ns0:is>
          <ns0:t>This covers both biological and geological values identified in the account.</ns0:t>
        </ns0:is>
      </ns0:c>
    </ns0:row>
    <ns0:row r="237" ht="33" customHeight="1">
      <ns0:c r="A237" s="12" t="n">
        <ns0:v>920081</ns0:v>
      </ns0:c>
      <ns0:c r="B237" s="12" t="inlineStr">
        <ns0:is>
          <ns0:t>a</ns0:t>
        </ns0:is>
      </ns0:c>
      <ns0:c r="C237" s="12" t="inlineStr">
        <ns0:is>
          <ns0:t>감태</ns0:t>
        </ns0:is>
      </ns0:c>
      <ns0:c r="D237" s="12" t="n">
        <ns0:v>1</ns0:v>
      </ns0:c>
      <ns0:c r="E237" s="12" t="inlineStr">
        <ns0:is>
          <ns0:t>감태는 독도 암반 해역에서 바다숲을 이루는 바닷말로 소개돼요.</ns0:t>
        </ns0:is>
      </ns0:c>
      <ns0:c r="F237" s="12" t="inlineStr">
        <ns0:is>
          <ns0:t>Ecklonia cava</ns0:t>
        </ns0:is>
      </ns0:c>
      <ns0:c r="G237" s="12" t="inlineStr">
        <ns0:is>
          <ns0:t>Ecklonia cava is described as a forest-forming seaweed in Dokdo’s rocky waters.</ns0:t>
        </ns0:is>
      </ns0:c>
    </ns0:row>
    <ns0:row r="238" ht="33" customHeight="1">
      <ns0:c r="A238" s="10" t="n">
        <ns0:v>920081</ns0:v>
      </ns0:c>
      <ns0:c r="B238" s="10" t="inlineStr">
        <ns0:is>
          <ns0:t>b</ns0:t>
        </ns0:is>
      </ns0:c>
      <ns0:c r="C238" s="10" t="inlineStr">
        <ns0:is>
          <ns0:t>해국</ns0:t>
        </ns0:is>
      </ns0:c>
      <ns0:c r="D238" s="10" t="n">
        <ns0:v>0</ns0:v>
      </ns0:c>
      <ns0:c r="E238" s="10" t="inlineStr">
        <ns0:is>
          <ns0:t>해국은 독도 땅에 자라는 식물이며 바닷속 숲을 이루는 감태와 달라요.</ns0:t>
        </ns0:is>
      </ns0:c>
      <ns0:c r="F238" s="10" t="inlineStr">
        <ns0:is>
          <ns0:t>Seaside daisy</ns0:t>
        </ns0:is>
      </ns0:c>
      <ns0:c r="G238" s="10" t="inlineStr">
        <ns0:is>
          <ns0:t>Seaside daisy is a land plant, unlike the underwater seaweed in the question.</ns0:t>
        </ns0:is>
      </ns0:c>
    </ns0:row>
    <ns0:row r="239" ht="33" customHeight="1">
      <ns0:c r="A239" s="12" t="n">
        <ns0:v>920081</ns0:v>
      </ns0:c>
      <ns0:c r="B239" s="12" t="inlineStr">
        <ns0:is>
          <ns0:t>c</ns0:t>
        </ns0:is>
      </ns0:c>
      <ns0:c r="C239" s="12" t="inlineStr">
        <ns0:is>
          <ns0:t>섬기린초</ns0:t>
        </ns0:is>
      </ns0:c>
      <ns0:c r="D239" s="12" t="n">
        <ns0:v>0</ns0:v>
      </ns0:c>
      <ns0:c r="E239" s="12" t="inlineStr">
        <ns0:is>
          <ns0:t>섬기린초는 육상 식물이에요. 질문은 바닷속의 큰 바닷말을 물어요.</ns0:t>
        </ns0:is>
      </ns0:c>
      <ns0:c r="F239" s="12" t="inlineStr">
        <ns0:is>
          <ns0:t>Island stonecrop</ns0:t>
        </ns0:is>
      </ns0:c>
      <ns0:c r="G239" s="12" t="inlineStr">
        <ns0:is>
          <ns0:t>Island stonecrop grows on land; the question concerns underwater seaweed.</ns0:t>
        </ns0:is>
      </ns0:c>
    </ns0:row>
    <ns0:row r="240" ht="33" customHeight="1">
      <ns0:c r="A240" s="10" t="n">
        <ns0:v>920082</ns0:v>
      </ns0:c>
      <ns0:c r="B240" s="10" t="inlineStr">
        <ns0:is>
          <ns0:t>b</ns0:t>
        </ns0:is>
      </ns0:c>
      <ns0:c r="C240" s="10" t="inlineStr">
        <ns0:is>
          <ns0:t>갯벌</ns0:t>
        </ns0:is>
      </ns0:c>
      <ns0:c r="D240" s="10" t="n">
        <ns0:v>0</ns0:v>
      </ns0:c>
      <ns0:c r="E240" s="10" t="inlineStr">
        <ns0:is>
          <ns0:t>갯벌은 주로 고운 퇴적물이 쌓인 해안 공간이며 큰 바닷말 숲의 이름은 아니에요.</ns0:t>
        </ns0:is>
      </ns0:c>
      <ns0:c r="F240" s="10" t="inlineStr">
        <ns0:is>
          <ns0:t>A tidal mudflat</ns0:t>
        </ns0:is>
      </ns0:c>
      <ns0:c r="G240" s="10" t="inlineStr">
        <ns0:is>
          <ns0:t>A mudflat is sedimentary coastal habitat, not the name for a seaweed forest.</ns0:t>
        </ns0:is>
      </ns0:c>
    </ns0:row>
    <ns0:row r="241" ht="33" customHeight="1">
      <ns0:c r="A241" s="12" t="n">
        <ns0:v>920082</ns0:v>
      </ns0:c>
      <ns0:c r="B241" s="12" t="inlineStr">
        <ns0:is>
          <ns0:t>a</ns0:t>
        </ns0:is>
      </ns0:c>
      <ns0:c r="C241" s="12" t="inlineStr">
        <ns0:is>
          <ns0:t>바다숲</ns0:t>
        </ns0:is>
      </ns0:c>
      <ns0:c r="D241" s="12" t="n">
        <ns0:v>1</ns0:v>
      </ns0:c>
      <ns0:c r="E241" s="12" t="inlineStr">
        <ns0:is>
          <ns0:t>큰 바닷말이 숲처럼 자라는 공간을 바다숲이라고 해요.</ns0:t>
        </ns0:is>
      </ns0:c>
      <ns0:c r="F241" s="12" t="inlineStr">
        <ns0:is>
          <ns0:t>An underwater forest</ns0:t>
        </ns0:is>
      </ns0:c>
      <ns0:c r="G241" s="12" t="inlineStr">
        <ns0:is>
          <ns0:t>An underwater forest is an area of large, abundant seaweeds.</ns0:t>
        </ns0:is>
      </ns0:c>
    </ns0:row>
    <ns0:row r="242" ht="33" customHeight="1">
      <ns0:c r="A242" s="10" t="n">
        <ns0:v>920082</ns0:v>
      </ns0:c>
      <ns0:c r="B242" s="10" t="inlineStr">
        <ns0:is>
          <ns0:t>c</ns0:t>
        </ns0:is>
      </ns0:c>
      <ns0:c r="C242" s="10" t="inlineStr">
        <ns0:is>
          <ns0:t>산호초</ns0:t>
        </ns0:is>
      </ns0:c>
      <ns0:c r="D242" s="10" t="n">
        <ns0:v>0</ns0:v>
      </ns0:c>
      <ns0:c r="E242" s="10" t="inlineStr">
        <ns0:is>
          <ns0:t>이 질문의 숲은 산호가 아니라 감태·대황 같은 바닷말로 이루어져요.</ns0:t>
        </ns0:is>
      </ns0:c>
      <ns0:c r="F242" s="10" t="inlineStr">
        <ns0:is>
          <ns0:t>A coral reef</ns0:t>
        </ns0:is>
      </ns0:c>
      <ns0:c r="G242" s="10" t="inlineStr">
        <ns0:is>
          <ns0:t>This forest consists of seaweeds, not reef-building corals.</ns0:t>
        </ns0:is>
      </ns0:c>
    </ns0:row>
    <ns0:row r="243" ht="33" customHeight="1">
      <ns0:c r="A243" s="12" t="n">
        <ns0:v>920083</ns0:v>
      </ns0:c>
      <ns0:c r="B243" s="12" t="inlineStr">
        <ns0:is>
          <ns0:t>b</ns0:t>
        </ns0:is>
      </ns0:c>
      <ns0:c r="C243" s="12" t="inlineStr">
        <ns0:is>
          <ns0:t>홍합·거북손</ns0:t>
        </ns0:is>
      </ns0:c>
      <ns0:c r="D243" s="12" t="n">
        <ns0:v>0</ns0:v>
      </ns0:c>
      <ns0:c r="E243" s="12" t="inlineStr">
        <ns0:is>
          <ns0:t>두 종류는 바위에 붙어 사는 동물이지 숲을 만드는 바닷말은 아니에요.</ns0:t>
        </ns0:is>
      </ns0:c>
      <ns0:c r="F243" s="12" t="inlineStr">
        <ns0:is>
          <ns0:t>Mussels and stalked barnacles</ns0:t>
        </ns0:is>
      </ns0:c>
      <ns0:c r="G243" s="12" t="inlineStr">
        <ns0:is>
          <ns0:t>These are rock-attached animals, not seaweeds that form forests.</ns0:t>
        </ns0:is>
      </ns0:c>
    </ns0:row>
    <ns0:row r="244" ht="33" customHeight="1">
      <ns0:c r="A244" s="10" t="n">
        <ns0:v>920083</ns0:v>
      </ns0:c>
      <ns0:c r="B244" s="10" t="inlineStr">
        <ns0:is>
          <ns0:t>c</ns0:t>
        </ns0:is>
      </ns0:c>
      <ns0:c r="C244" s="10" t="inlineStr">
        <ns0:is>
          <ns0:t>게·소라</ns0:t>
        </ns0:is>
      </ns0:c>
      <ns0:c r="D244" s="10" t="n">
        <ns0:v>0</ns0:v>
      </ns0:c>
      <ns0:c r="E244" s="10" t="inlineStr">
        <ns0:is>
          <ns0:t>바위틈 생물이지만 감태·대황처럼 바다숲을 만드는 해조류가 아니에요.</ns0:t>
        </ns0:is>
      </ns0:c>
      <ns0:c r="F244" s="10" t="inlineStr">
        <ns0:is>
          <ns0:t>Crabs and turban snails</ns0:t>
        </ns0:is>
      </ns0:c>
      <ns0:c r="G244" s="10" t="inlineStr">
        <ns0:is>
          <ns0:t>These animals may use rocky habitat but do not form seaweed forests.</ns0:t>
        </ns0:is>
      </ns0:c>
    </ns0:row>
    <ns0:row r="245" ht="33" customHeight="1">
      <ns0:c r="A245" s="12" t="n">
        <ns0:v>920083</ns0:v>
      </ns0:c>
      <ns0:c r="B245" s="12" t="inlineStr">
        <ns0:is>
          <ns0:t>a</ns0:t>
        </ns0:is>
      </ns0:c>
      <ns0:c r="C245" s="12" t="inlineStr">
        <ns0:is>
          <ns0:t>감태·대황</ns0:t>
        </ns0:is>
      </ns0:c>
      <ns0:c r="D245" s="12" t="n">
        <ns0:v>1</ns0:v>
      </ns0:c>
      <ns0:c r="E245" s="12" t="inlineStr">
        <ns0:is>
          <ns0:t>두 종류는 바다숲을 이루는 큰 해조류로 제시돼요.</ns0:t>
        </ns0:is>
      </ns0:c>
      <ns0:c r="F245" s="12" t="inlineStr">
        <ns0:is>
          <ns0:t>Ecklonia cava and Eisenia bicyclis</ns0:t>
        </ns0:is>
      </ns0:c>
      <ns0:c r="G245" s="12" t="inlineStr">
        <ns0:is>
          <ns0:t>Both are identified as large, forest-forming seaweeds.</ns0:t>
        </ns0:is>
      </ns0:c>
    </ns0:row>
    <ns0:row r="246" ht="38" customHeight="1">
      <ns0:c r="A246" s="10" t="n">
        <ns0:v>920084</ns0:v>
      </ns0:c>
      <ns0:c r="B246" s="10" t="inlineStr">
        <ns0:is>
          <ns0:t>a</ns0:t>
        </ns0:is>
      </ns0:c>
      <ns0:c r="C246" s="10" t="inlineStr">
        <ns0:is>
          <ns0:t>같은 해역에서 감태·대황이 덮은 범위</ns0:t>
        </ns0:is>
      </ns0:c>
      <ns0:c r="D246" s="10" t="n">
        <ns0:v>1</ns0:v>
      </ns0:c>
      <ns0:c r="E246" s="10" t="inlineStr">
        <ns0:is>
          <ns0:t>조사 대상인 바다숲 자체의 범위를 같은 곳에서 비교해요.</ns0:t>
        </ns0:is>
      </ns0:c>
      <ns0:c r="F246" s="10" t="inlineStr">
        <ns0:is>
          <ns0:t>Coverage of the forest-forming seaweeds in the same area</ns0:t>
        </ns0:is>
      </ns0:c>
      <ns0:c r="G246" s="10" t="inlineStr">
        <ns0:is>
          <ns0:t>This measures the target forest itself at the same location.</ns0:t>
        </ns0:is>
      </ns0:c>
    </ns0:row>
    <ns0:row r="247" ht="38" customHeight="1">
      <ns0:c r="A247" s="12" t="n">
        <ns0:v>920084</ns0:v>
      </ns0:c>
      <ns0:c r="B247" s="12" t="inlineStr">
        <ns0:is>
          <ns0:t>b</ns0:t>
        </ns0:is>
      </ns0:c>
      <ns0:c r="C247" s="12" t="inlineStr">
        <ns0:is>
          <ns0:t>서로 다른 해역의 수온 한 번씩만</ns0:t>
        </ns0:is>
      </ns0:c>
      <ns0:c r="D247" s="12" t="n">
        <ns0:v>0</ns0:v>
      </ns0:c>
      <ns0:c r="E247" s="12" t="inlineStr">
        <ns0:is>
          <ns0:t>서로 다른 곳의 수온만으로 같은 바다숲의 시간에 따른 범위 변화를 알 수 없어요.</ns0:t>
        </ns0:is>
      </ns0:c>
      <ns0:c r="F247" s="12" t="inlineStr">
        <ns0:is>
          <ns0:t>A single water-temperature reading from different sites</ns0:t>
        </ns0:is>
      </ns0:c>
      <ns0:c r="G247" s="12" t="inlineStr">
        <ns0:is>
          <ns0:t>Single temperature readings at different sites do not measure forest-area change through time.</ns0:t>
        </ns0:is>
      </ns0:c>
    </ns0:row>
    <ns0:row r="248" ht="33" customHeight="1">
      <ns0:c r="A248" s="10" t="n">
        <ns0:v>920084</ns0:v>
      </ns0:c>
      <ns0:c r="B248" s="10" t="inlineStr">
        <ns0:is>
          <ns0:t>c</ns0:t>
        </ns0:is>
      </ns0:c>
      <ns0:c r="C248" s="10" t="inlineStr">
        <ns0:is>
          <ns0:t>육상 해국 군락의 넓이만</ns0:t>
        </ns0:is>
      </ns0:c>
      <ns0:c r="D248" s="10" t="n">
        <ns0:v>0</ns0:v>
      </ns0:c>
      <ns0:c r="E248" s="10" t="inlineStr">
        <ns0:is>
          <ns0:t>육상 식물 조사만으로 감태·대황의 바다숲 범위를 확인할 수 없어요.</ns0:t>
        </ns0:is>
      </ns0:c>
      <ns0:c r="F248" s="10" t="inlineStr">
        <ns0:is>
          <ns0:t>Only the area of seaside-daisy colonies on land</ns0:t>
        </ns0:is>
      </ns0:c>
      <ns0:c r="G248" s="10" t="inlineStr">
        <ns0:is>
          <ns0:t>Land-plant coverage does not measure the underwater seaweed forest.</ns0:t>
        </ns0:is>
      </ns0:c>
    </ns0:row>
    <ns0:row r="249" ht="33" customHeight="1">
      <ns0:c r="A249" s="12" t="n">
        <ns0:v>920085</ns0:v>
      </ns0:c>
      <ns0:c r="B249" s="12" t="inlineStr">
        <ns0:is>
          <ns0:t>b</ns0:t>
        </ns0:is>
      </ns0:c>
      <ns0:c r="C249" s="12" t="inlineStr">
        <ns0:is>
          <ns0:t>따뜻한 흐름만</ns0:t>
        </ns0:is>
      </ns0:c>
      <ns0:c r="D249" s="12" t="n">
        <ns0:v>0</ns0:v>
      </ns0:c>
      <ns0:c r="E249" s="12" t="inlineStr">
        <ns0:is>
          <ns0:t>따뜻한 흐름뿐 아니라 찬 흐름도 함께 설명돼요.</ns0:t>
        </ns0:is>
      </ns0:c>
      <ns0:c r="F249" s="12" t="inlineStr">
        <ns0:is>
          <ns0:t>Only warm currents</ns0:t>
        </ns0:is>
      </ns0:c>
      <ns0:c r="G249" s="12" t="inlineStr">
        <ns0:is>
          <ns0:t>The account includes cold as well as warm currents.</ns0:t>
        </ns0:is>
      </ns0:c>
    </ns0:row>
    <ns0:row r="250" ht="33" customHeight="1">
      <ns0:c r="A250" s="10" t="n">
        <ns0:v>920085</ns0:v>
      </ns0:c>
      <ns0:c r="B250" s="10" t="inlineStr">
        <ns0:is>
          <ns0:t>a</ns0:t>
        </ns0:is>
      </ns0:c>
      <ns0:c r="C250" s="10" t="inlineStr">
        <ns0:is>
          <ns0:t>따뜻한 흐름과 찬 흐름</ns0:t>
        </ns0:is>
      </ns0:c>
      <ns0:c r="D250" s="10" t="n">
        <ns0:v>1</ns0:v>
      </ns0:c>
      <ns0:c r="E250" s="10" t="inlineStr">
        <ns0:is>
          <ns0:t>독도 해양환경은 난류와 한류가 만나는 영향으로 설명돼요.</ns0:t>
        </ns0:is>
      </ns0:c>
      <ns0:c r="F250" s="10" t="inlineStr">
        <ns0:is>
          <ns0:t>Warm and cold currents</ns0:t>
        </ns0:is>
      </ns0:c>
      <ns0:c r="G250" s="10" t="inlineStr">
        <ns0:is>
          <ns0:t>Dokdo’s marine environment is influenced by meeting warm and cold currents.</ns0:t>
        </ns0:is>
      </ns0:c>
    </ns0:row>
    <ns0:row r="251" ht="33" customHeight="1">
      <ns0:c r="A251" s="12" t="n">
        <ns0:v>920085</ns0:v>
      </ns0:c>
      <ns0:c r="B251" s="12" t="inlineStr">
        <ns0:is>
          <ns0:t>c</ns0:t>
        </ns0:is>
      </ns0:c>
      <ns0:c r="C251" s="12" t="inlineStr">
        <ns0:is>
          <ns0:t>찬 흐름만</ns0:t>
        </ns0:is>
      </ns0:c>
      <ns0:c r="D251" s="12" t="n">
        <ns0:v>0</ns0:v>
      </ns0:c>
      <ns0:c r="E251" s="12" t="inlineStr">
        <ns0:is>
          <ns0:t>찬 흐름만으로 설명하면 난류가 미치는 영향을 빠뜨려요.</ns0:t>
        </ns0:is>
      </ns0:c>
      <ns0:c r="F251" s="12" t="inlineStr">
        <ns0:is>
          <ns0:t>Only cold currents</ns0:t>
        </ns0:is>
      </ns0:c>
      <ns0:c r="G251" s="12" t="inlineStr">
        <ns0:is>
          <ns0:t>An account limited to cold currents omits warm-current influence.</ns0:t>
        </ns0:is>
      </ns0:c>
    </ns0:row>
    <ns0:row r="252" ht="33" customHeight="1">
      <ns0:c r="A252" s="10" t="n">
        <ns0:v>920086</ns0:v>
      </ns0:c>
      <ns0:c r="B252" s="10" t="inlineStr">
        <ns0:is>
          <ns0:t>b</ns0:t>
        </ns0:is>
      </ns0:c>
      <ns0:c r="C252" s="10" t="inlineStr">
        <ns0:is>
          <ns0:t>햇빛</ns0:t>
        </ns0:is>
      </ns0:c>
      <ns0:c r="D252" s="10" t="n">
        <ns0:v>0</ns0:v>
      </ns0:c>
      <ns0:c r="E252" s="10" t="inlineStr">
        <ns0:is>
          <ns0:t>햇빛은 위에서 들어오며 깊은 물이 운반해 올리는 물질이 아니에요.</ns0:t>
        </ns0:is>
      </ns0:c>
      <ns0:c r="F252" s="10" t="inlineStr">
        <ns0:is>
          <ns0:t>Sunlight</ns0:t>
        </ns0:is>
      </ns0:c>
      <ns0:c r="G252" s="10" t="inlineStr">
        <ns0:is>
          <ns0:t>Sunlight comes from above; it is not transported upward by deep water.</ns0:t>
        </ns0:is>
      </ns0:c>
    </ns0:row>
    <ns0:row r="253" ht="33" customHeight="1">
      <ns0:c r="A253" s="12" t="n">
        <ns0:v>920086</ns0:v>
      </ns0:c>
      <ns0:c r="B253" s="12" t="inlineStr">
        <ns0:is>
          <ns0:t>c</ns0:t>
        </ns0:is>
      </ns0:c>
      <ns0:c r="C253" s="12" t="inlineStr">
        <ns0:is>
          <ns0:t>바닷새의 알</ns0:t>
        </ns0:is>
      </ns0:c>
      <ns0:c r="D253" s="12" t="n">
        <ns0:v>0</ns0:v>
      </ns0:c>
      <ns0:c r="E253" s="12" t="inlineStr">
        <ns0:is>
          <ns0:t>설명은 물에 포함된 영양분 공급이며 새의 알을 공급하는 과정이 아니에요.</ns0:t>
        </ns0:is>
      </ns0:c>
      <ns0:c r="F253" s="12" t="inlineStr">
        <ns0:is>
          <ns0:t>Seabird eggs</ns0:t>
        </ns0:is>
      </ns0:c>
      <ns0:c r="G253" s="12" t="inlineStr">
        <ns0:is>
          <ns0:t>The described supply concerns nutrients in water, not seabird eggs.</ns0:t>
        </ns0:is>
      </ns0:c>
    </ns0:row>
    <ns0:row r="254" ht="33" customHeight="1">
      <ns0:c r="A254" s="10" t="n">
        <ns0:v>920086</ns0:v>
      </ns0:c>
      <ns0:c r="B254" s="10" t="inlineStr">
        <ns0:is>
          <ns0:t>a</ns0:t>
        </ns0:is>
      </ns0:c>
      <ns0:c r="C254" s="10" t="inlineStr">
        <ns0:is>
          <ns0:t>영양분</ns0:t>
        </ns0:is>
      </ns0:c>
      <ns0:c r="D254" s="10" t="n">
        <ns0:v>1</ns0:v>
      </ns0:c>
      <ns0:c r="E254" s="10" t="inlineStr">
        <ns0:is>
          <ns0:t>깊은 물에 있던 영양분이 위쪽으로 이동하면 식물플랑크톤 생장에 도움이 될 수 있어요.</ns0:t>
        </ns0:is>
      </ns0:c>
      <ns0:c r="F254" s="10" t="inlineStr">
        <ns0:is>
          <ns0:t>Nutrients</ns0:t>
        </ns0:is>
      </ns0:c>
      <ns0:c r="G254" s="10" t="inlineStr">
        <ns0:is>
          <ns0:t>Upward nutrient transport can support phytoplankton growth.</ns0:t>
        </ns0:is>
      </ns0:c>
    </ns0:row>
    <ns0:row r="255" ht="38" customHeight="1">
      <ns0:c r="A255" s="12" t="n">
        <ns0:v>920087</ns0:v>
      </ns0:c>
      <ns0:c r="B255" s="12" t="inlineStr">
        <ns0:is>
          <ns0:t>a</ns0:t>
        </ns0:is>
      </ns0:c>
      <ns0:c r="C255" s="12" t="inlineStr">
        <ns0:is>
          <ns0:t>수직 혼합 → 깊은 물의 영양분이 상층으로 이동</ns0:t>
        </ns0:is>
      </ns0:c>
      <ns0:c r="D255" s="12" t="n">
        <ns0:v>1</ns0:v>
      </ns0:c>
      <ns0:c r="E255" s="12" t="inlineStr">
        <ns0:is>
          <ns0:t>자료의 혼합과 상층 공급을 순서대로 연결했어요.</ns0:t>
        </ns0:is>
      </ns0:c>
      <ns0:c r="F255" s="12" t="inlineStr">
        <ns0:is>
          <ns0:t>Vertical mixing → deeper nutrients move into upper water</ns0:t>
        </ns0:is>
      </ns0:c>
      <ns0:c r="G255" s="12" t="inlineStr">
        <ns0:is>
          <ns0:t>This follows the sequence of mixing and upward nutrient transport.</ns0:t>
        </ns0:is>
      </ns0:c>
    </ns0:row>
    <ns0:row r="256" ht="38" customHeight="1">
      <ns0:c r="A256" s="10" t="n">
        <ns0:v>920087</ns0:v>
      </ns0:c>
      <ns0:c r="B256" s="10" t="inlineStr">
        <ns0:is>
          <ns0:t>b</ns0:t>
        </ns0:is>
      </ns0:c>
      <ns0:c r="C256" s="10" t="inlineStr">
        <ns0:is>
          <ns0:t>수직 혼합 → 상층 영양분을 전부 제거</ns0:t>
        </ns0:is>
      </ns0:c>
      <ns0:c r="D256" s="10" t="n">
        <ns0:v>0</ns0:v>
      </ns0:c>
      <ns0:c r="E256" s="10" t="inlineStr">
        <ns0:is>
          <ns0:t>자료는 영양분 공급의 가능성을 설명하며 전부 제거한다고 하지 않아요.</ns0:t>
        </ns0:is>
      </ns0:c>
      <ns0:c r="F256" s="10" t="inlineStr">
        <ns0:is>
          <ns0:t>Vertical mixing → complete removal of upper-water nutrients</ns0:t>
        </ns0:is>
      </ns0:c>
      <ns0:c r="G256" s="10" t="inlineStr">
        <ns0:is>
          <ns0:t>The account describes potential supply, not complete removal.</ns0:t>
        </ns0:is>
      </ns0:c>
    </ns0:row>
    <ns0:row r="257" ht="38" customHeight="1">
      <ns0:c r="A257" s="12" t="n">
        <ns0:v>920087</ns0:v>
      </ns0:c>
      <ns0:c r="B257" s="12" t="inlineStr">
        <ns0:is>
          <ns0:t>c</ns0:t>
        </ns0:is>
      </ns0:c>
      <ns0:c r="C257" s="12" t="inlineStr">
        <ns0:is>
          <ns0:t>수직 혼합 → 영양분 이동이 항상 중단</ns0:t>
        </ns0:is>
      </ns0:c>
      <ns0:c r="D257" s="12" t="n">
        <ns0:v>0</ns0:v>
      </ns0:c>
      <ns0:c r="E257" s="12" t="inlineStr">
        <ns0:is>
          <ns0:t>물이 섞이며 이동할 수 있다는 내용과 반대예요.</ns0:t>
        </ns0:is>
      </ns0:c>
      <ns0:c r="F257" s="12" t="inlineStr">
        <ns0:is>
          <ns0:t>Vertical mixing → nutrient transport always stops</ns0:t>
        </ns0:is>
      </ns0:c>
      <ns0:c r="G257" s="12" t="inlineStr">
        <ns0:is>
          <ns0:t>This contradicts transport through mixing.</ns0:t>
        </ns0:is>
      </ns0:c>
    </ns0:row>
    <ns0:row r="258" ht="38" customHeight="1">
      <ns0:c r="A258" s="10" t="n">
        <ns0:v>920088</ns0:v>
      </ns0:c>
      <ns0:c r="B258" s="10" t="inlineStr">
        <ns0:is>
          <ns0:t>b</ns0:t>
        </ns0:is>
      </ns0:c>
      <ns0:c r="C258" s="10" t="inlineStr">
        <ns0:is>
          <ns0:t>어린 물고기의 전체 개체 수만</ns0:t>
        </ns0:is>
      </ns0:c>
      <ns0:c r="D258" s="10" t="n">
        <ns0:v>0</ns0:v>
      </ns0:c>
      <ns0:c r="E258" s="10" t="inlineStr">
        <ns0:is>
          <ns0:t>물고기 수는 더 뒤의 먹이 관계와 다른 요인의 영향도 받으므로 직접 공급 변화부터 살펴요.</ns0:t>
        </ns0:is>
      </ns0:c>
      <ns0:c r="F258" s="10" t="inlineStr">
        <ns0:is>
          <ns0:t>Only total young-fish abundance</ns0:t>
        </ns0:is>
      </ns0:c>
      <ns0:c r="G258" s="10" t="inlineStr">
        <ns0:is>
          <ns0:t>Fish abundance is further along the chain and has other influences; first check direct transport.</ns0:t>
        </ns0:is>
      </ns0:c>
    </ns0:row>
    <ns0:row r="259" ht="33" customHeight="1">
      <ns0:c r="A259" s="12" t="n">
        <ns0:v>920088</ns0:v>
      </ns0:c>
      <ns0:c r="B259" s="12" t="inlineStr">
        <ns0:is>
          <ns0:t>a</ns0:t>
        </ns0:is>
      </ns0:c>
      <ns0:c r="C259" s="12" t="inlineStr">
        <ns0:is>
          <ns0:t>상층으로 공급되는 영양분의 양</ns0:t>
        </ns0:is>
      </ns0:c>
      <ns0:c r="D259" s="12" t="n">
        <ns0:v>1</ns0:v>
      </ns0:c>
      <ns0:c r="E259" s="12" t="inlineStr">
        <ns0:is>
          <ns0:t>제시된 인과 연결에서 혼합의 직접적인 다음 단계는 영양분 수송이에요.</ns0:t>
        </ns0:is>
      </ns0:c>
      <ns0:c r="F259" s="12" t="inlineStr">
        <ns0:is>
          <ns0:t>Nutrient supply to upper waters</ns0:t>
        </ns0:is>
      </ns0:c>
      <ns0:c r="G259" s="12" t="inlineStr">
        <ns0:is>
          <ns0:t>In the supplied causal chain, nutrient transport is the immediate next step.</ns0:t>
        </ns0:is>
      </ns0:c>
    </ns0:row>
    <ns0:row r="260" ht="33" customHeight="1">
      <ns0:c r="A260" s="10" t="n">
        <ns0:v>920088</ns0:v>
      </ns0:c>
      <ns0:c r="B260" s="10" t="inlineStr">
        <ns0:is>
          <ns0:t>c</ns0:t>
        </ns0:is>
      </ns0:c>
      <ns0:c r="C260" s="10" t="inlineStr">
        <ns0:is>
          <ns0:t>바닷새의 번식 수만</ns0:t>
        </ns0:is>
      </ns0:c>
      <ns0:c r="D260" s="10" t="n">
        <ns0:v>0</ns0:v>
      </ns0:c>
      <ns0:c r="E260" s="10" t="inlineStr">
        <ns0:is>
          <ns0:t>바닷새 번식은 이 자료에서 혼합의 직접적인 다음 단계로 제시되지 않아요.</ns0:t>
        </ns0:is>
      </ns0:c>
      <ns0:c r="F260" s="10" t="inlineStr">
        <ns0:is>
          <ns0:t>Only seabird breeding numbers</ns0:t>
        </ns0:is>
      </ns0:c>
      <ns0:c r="G260" s="10" t="inlineStr">
        <ns0:is>
          <ns0:t>Seabird breeding is not identified as the immediate next step in this chain.</ns0:t>
        </ns0:is>
      </ns0:c>
    </ns0:row>
    <ns0:row r="261" ht="33" customHeight="1">
      <ns0:c r="A261" s="12" t="n">
        <ns0:v>920089</ns0:v>
      </ns0:c>
      <ns0:c r="B261" s="12" t="inlineStr">
        <ns0:is>
          <ns0:t>b</ns0:t>
        </ns0:is>
      </ns0:c>
      <ns0:c r="C261" s="12" t="inlineStr">
        <ns0:is>
          <ns0:t>어린 물고기</ns0:t>
        </ns0:is>
      </ns0:c>
      <ns0:c r="D261" s="12" t="n">
        <ns0:v>0</ns0:v>
      </ns0:c>
      <ns0:c r="E261" s="12" t="inlineStr">
        <ns0:is>
          <ns0:t>어린 물고기는 광합성으로 먹이를 만드는 생물이 아니에요.</ns0:t>
        </ns0:is>
      </ns0:c>
      <ns0:c r="F261" s="12" t="inlineStr">
        <ns0:is>
          <ns0:t>Young fish</ns0:t>
        </ns0:is>
      </ns0:c>
      <ns0:c r="G261" s="12" t="inlineStr">
        <ns0:is>
          <ns0:t>Young fish do not produce food through photosynthesis.</ns0:t>
        </ns0:is>
      </ns0:c>
    </ns0:row>
    <ns0:row r="262" ht="33" customHeight="1">
      <ns0:c r="A262" s="10" t="n">
        <ns0:v>920089</ns0:v>
      </ns0:c>
      <ns0:c r="B262" s="10" t="inlineStr">
        <ns0:is>
          <ns0:t>c</ns0:t>
        </ns0:is>
      </ns0:c>
      <ns0:c r="C262" s="10" t="inlineStr">
        <ns0:is>
          <ns0:t>강치</ns0:t>
        </ns0:is>
      </ns0:c>
      <ns0:c r="D262" s="10" t="n">
        <ns0:v>0</ns0:v>
      </ns0:c>
      <ns0:c r="E262" s="10" t="inlineStr">
        <ns0:is>
          <ns0:t>강치는 동물로서 다른 생물을 먹으며 광합성 생물이 아니에요.</ns0:t>
        </ns0:is>
      </ns0:c>
      <ns0:c r="F262" s="10" t="inlineStr">
        <ns0:is>
          <ns0:t>Sea lions</ns0:t>
        </ns0:is>
      </ns0:c>
      <ns0:c r="G262" s="10" t="inlineStr">
        <ns0:is>
          <ns0:t>Sea lions consume other organisms and are not photosynthetic.</ns0:t>
        </ns0:is>
      </ns0:c>
    </ns0:row>
    <ns0:row r="263" ht="33" customHeight="1">
      <ns0:c r="A263" s="12" t="n">
        <ns0:v>920089</ns0:v>
      </ns0:c>
      <ns0:c r="B263" s="12" t="inlineStr">
        <ns0:is>
          <ns0:t>a</ns0:t>
        </ns0:is>
      </ns0:c>
      <ns0:c r="C263" s="12" t="inlineStr">
        <ns0:is>
          <ns0:t>식물플랑크톤</ns0:t>
        </ns0:is>
      </ns0:c>
      <ns0:c r="D263" s="12" t="n">
        <ns0:v>1</ns0:v>
      </ns0:c>
      <ns0:c r="E263" s="12" t="inlineStr">
        <ns0:is>
          <ns0:t>식물플랑크톤은 빛을 이용해 살아가며 다른 생물의 먹이가 될 수 있어요.</ns0:t>
        </ns0:is>
      </ns0:c>
      <ns0:c r="F263" s="12" t="inlineStr">
        <ns0:is>
          <ns0:t>Phytoplankton</ns0:t>
        </ns0:is>
      </ns0:c>
      <ns0:c r="G263" s="12" t="inlineStr">
        <ns0:is>
          <ns0:t>Phytoplankton use light and can become food for other organisms.</ns0:t>
        </ns0:is>
      </ns0:c>
    </ns0:row>
    <ns0:row r="264" ht="33" customHeight="1">
      <ns0:c r="A264" s="10" t="n">
        <ns0:v>920090</ns0:v>
      </ns0:c>
      <ns0:c r="B264" s="10" t="inlineStr">
        <ns0:is>
          <ns0:t>a</ns0:t>
        </ns0:is>
      </ns0:c>
      <ns0:c r="C264" s="10" t="inlineStr">
        <ns0:is>
          <ns0:t>동물플랑크톤</ns0:t>
        </ns0:is>
      </ns0:c>
      <ns0:c r="D264" s="10" t="n">
        <ns0:v>1</ns0:v>
      </ns0:c>
      <ns0:c r="E264" s="10" t="inlineStr">
        <ns0:is>
          <ns0:t>제시한 연결에서 동물플랑크톤이 식물플랑크톤을 먹고 어린 물고기의 먹이가 돼요.</ns0:t>
        </ns0:is>
      </ns0:c>
      <ns0:c r="F264" s="10" t="inlineStr">
        <ns0:is>
          <ns0:t>Zooplankton</ns0:t>
        </ns0:is>
      </ns0:c>
      <ns0:c r="G264" s="10" t="inlineStr">
        <ns0:is>
          <ns0:t>In this link, zooplankton eat phytoplankton and can feed young fish.</ns0:t>
        </ns0:is>
      </ns0:c>
    </ns0:row>
    <ns0:row r="265" ht="33" customHeight="1">
      <ns0:c r="A265" s="12" t="n">
        <ns0:v>920090</ns0:v>
      </ns0:c>
      <ns0:c r="B265" s="12" t="inlineStr">
        <ns0:is>
          <ns0:t>b</ns0:t>
        </ns0:is>
      </ns0:c>
      <ns0:c r="C265" s="12" t="inlineStr">
        <ns0:is>
          <ns0:t>감태</ns0:t>
        </ns0:is>
      </ns0:c>
      <ns0:c r="D265" s="12" t="n">
        <ns0:v>0</ns0:v>
      </ns0:c>
      <ns0:c r="E265" s="12" t="inlineStr">
        <ns0:is>
          <ns0:t>감태는 바닷말이며 이 연결에서 식물플랑크톤을 먹는 동물로 제시되지 않아요.</ns0:t>
        </ns0:is>
      </ns0:c>
      <ns0:c r="F265" s="12" t="inlineStr">
        <ns0:is>
          <ns0:t>Ecklonia cava</ns0:t>
        </ns0:is>
      </ns0:c>
      <ns0:c r="G265" s="12" t="inlineStr">
        <ns0:is>
          <ns0:t>This seaweed is not the phytoplankton-consuming animal in the supplied link.</ns0:t>
        </ns0:is>
      </ns0:c>
    </ns0:row>
    <ns0:row r="266" ht="33" customHeight="1">
      <ns0:c r="A266" s="10" t="n">
        <ns0:v>920090</ns0:v>
      </ns0:c>
      <ns0:c r="B266" s="10" t="inlineStr">
        <ns0:is>
          <ns0:t>c</ns0:t>
        </ns0:is>
      </ns0:c>
      <ns0:c r="C266" s="10" t="inlineStr">
        <ns0:is>
          <ns0:t>대황</ns0:t>
        </ns0:is>
      </ns0:c>
      <ns0:c r="D266" s="10" t="n">
        <ns0:v>0</ns0:v>
      </ns0:c>
      <ns0:c r="E266" s="10" t="inlineStr">
        <ns0:is>
          <ns0:t>대황도 바닷말이며 식물플랑크톤을 먹는 동물플랑크톤과 구분해요.</ns0:t>
        </ns0:is>
      </ns0:c>
      <ns0:c r="F266" s="10" t="inlineStr">
        <ns0:is>
          <ns0:t>Eisenia bicyclis</ns0:t>
        </ns0:is>
      </ns0:c>
      <ns0:c r="G266" s="10" t="inlineStr">
        <ns0:is>
          <ns0:t>This is also seaweed, distinct from consuming zooplankton.</ns0:t>
        </ns0:is>
      </ns0:c>
    </ns0:row>
    <ns0:row r="267" ht="33" customHeight="1">
      <ns0:c r="A267" s="12" t="n">
        <ns0:v>920091</ns0:v>
      </ns0:c>
      <ns0:c r="B267" s="12" t="inlineStr">
        <ns0:is>
          <ns0:t>b</ns0:t>
        </ns0:is>
      </ns0:c>
      <ns0:c r="C267" s="12" t="inlineStr">
        <ns0:is>
          <ns0:t>식물플랑크톤</ns0:t>
        </ns0:is>
      </ns0:c>
      <ns0:c r="D267" s="12" t="n">
        <ns0:v>0</ns0:v>
      </ns0:c>
      <ns0:c r="E267" s="12" t="inlineStr">
        <ns0:is>
          <ns0:t>그림에서는 식물플랑크톤이 동물플랑크톤에게 먹히는 쪽이에요.</ns0:t>
        </ns0:is>
      </ns0:c>
      <ns0:c r="F267" s="12" t="inlineStr">
        <ns0:is>
          <ns0:t>Phytoplankton</ns0:t>
        </ns0:is>
      </ns0:c>
      <ns0:c r="G267" s="12" t="inlineStr">
        <ns0:is>
          <ns0:t>In this chain, phytoplankton are eaten by zooplankton.</ns0:t>
        </ns0:is>
      </ns0:c>
    </ns0:row>
    <ns0:row r="268" ht="33" customHeight="1">
      <ns0:c r="A268" s="10" t="n">
        <ns0:v>920091</ns0:v>
      </ns0:c>
      <ns0:c r="B268" s="10" t="inlineStr">
        <ns0:is>
          <ns0:t>a</ns0:t>
        </ns0:is>
      </ns0:c>
      <ns0:c r="C268" s="10" t="inlineStr">
        <ns0:is>
          <ns0:t>어린 물고기</ns0:t>
        </ns0:is>
      </ns0:c>
      <ns0:c r="D268" s="10" t="n">
        <ns0:v>1</ns0:v>
      </ns0:c>
      <ns0:c r="E268" s="10" t="inlineStr">
        <ns0:is>
          <ns0:t>화살표가 동물플랑크톤에서 어린 물고기로 이어져요.</ns0:t>
        </ns0:is>
      </ns0:c>
      <ns0:c r="F268" s="10" t="inlineStr">
        <ns0:is>
          <ns0:t>Young fish</ns0:t>
        </ns0:is>
      </ns0:c>
      <ns0:c r="G268" s="10" t="inlineStr">
        <ns0:is>
          <ns0:t>The arrow runs from zooplankton to young fish.</ns0:t>
        </ns0:is>
      </ns0:c>
    </ns0:row>
    <ns0:row r="269" ht="33" customHeight="1">
      <ns0:c r="A269" s="12" t="n">
        <ns0:v>920091</ns0:v>
      </ns0:c>
      <ns0:c r="B269" s="12" t="inlineStr">
        <ns0:is>
          <ns0:t>c</ns0:t>
        </ns0:is>
      </ns0:c>
      <ns0:c r="C269" s="12" t="inlineStr">
        <ns0:is>
          <ns0:t>감태</ns0:t>
        </ns0:is>
      </ns0:c>
      <ns0:c r="D269" s="12" t="n">
        <ns0:v>0</ns0:v>
      </ns0:c>
      <ns0:c r="E269" s="12" t="inlineStr">
        <ns0:is>
          <ns0:t>이 먹이 관계에 감태가 동물플랑크톤을 먹는다고 제시되지 않았어요.</ns0:t>
        </ns0:is>
      </ns0:c>
      <ns0:c r="F269" s="12" t="inlineStr">
        <ns0:is>
          <ns0:t>Ecklonia cava</ns0:t>
        </ns0:is>
      </ns0:c>
      <ns0:c r="G269" s="12" t="inlineStr">
        <ns0:is>
          <ns0:t>The supplied chain does not identify this seaweed as a zooplankton consumer.</ns0:t>
        </ns0:is>
      </ns0:c>
    </ns0:row>
    <ns0:row r="270" ht="33" customHeight="1">
      <ns0:c r="A270" s="10" t="n">
        <ns0:v>920092</ns0:v>
      </ns0:c>
      <ns0:c r="B270" s="10" t="inlineStr">
        <ns0:is>
          <ns0:t>b</ns0:t>
        </ns0:is>
      </ns0:c>
      <ns0:c r="C270" s="10" t="inlineStr">
        <ns0:is>
          <ns0:t>해안 바닷새의 둥지 수만</ns0:t>
        </ns0:is>
      </ns0:c>
      <ns0:c r="D270" s="10" t="n">
        <ns0:v>0</ns0:v>
      </ns0:c>
      <ns0:c r="E270" s="10" t="inlineStr">
        <ns0:is>
          <ns0:t>둥지 수만으로 어린 물고기가 먹을 동물플랑크톤의 양을 알 수 없어요.</ns0:t>
        </ns0:is>
      </ns0:c>
      <ns0:c r="F270" s="10" t="inlineStr">
        <ns0:is>
          <ns0:t>Only coastal seabird nest counts</ns0:t>
        </ns0:is>
      </ns0:c>
      <ns0:c r="G270" s="10" t="inlineStr">
        <ns0:is>
          <ns0:t>Nest counts do not measure zooplankton available to young fish.</ns0:t>
        </ns0:is>
      </ns0:c>
    </ns0:row>
    <ns0:row r="271" ht="33" customHeight="1">
      <ns0:c r="A271" s="12" t="n">
        <ns0:v>920092</ns0:v>
      </ns0:c>
      <ns0:c r="B271" s="12" t="inlineStr">
        <ns0:is>
          <ns0:t>c</ns0:t>
        </ns0:is>
      </ns0:c>
      <ns0:c r="C271" s="12" t="inlineStr">
        <ns0:is>
          <ns0:t>섬 위 육상 식물의 종류만</ns0:t>
        </ns0:is>
      </ns0:c>
      <ns0:c r="D271" s="12" t="n">
        <ns0:v>0</ns0:v>
      </ns0:c>
      <ns0:c r="E271" s="12" t="inlineStr">
        <ns0:is>
          <ns0:t>육상 식물 목록은 제시된 물고기의 먹이 공급 자료와 달라요.</ns0:t>
        </ns0:is>
      </ns0:c>
      <ns0:c r="F271" s="12" t="inlineStr">
        <ns0:is>
          <ns0:t>Only land-plant species on the islands</ns0:t>
        </ns0:is>
      </ns0:c>
      <ns0:c r="G271" s="12" t="inlineStr">
        <ns0:is>
          <ns0:t>A land-plant list does not measure the supplied marine food link.</ns0:t>
        </ns0:is>
      </ns0:c>
    </ns0:row>
    <ns0:row r="272" ht="33" customHeight="1">
      <ns0:c r="A272" s="10" t="n">
        <ns0:v>920092</ns0:v>
      </ns0:c>
      <ns0:c r="B272" s="10" t="inlineStr">
        <ns0:is>
          <ns0:t>a</ns0:t>
        </ns0:is>
      </ns0:c>
      <ns0:c r="C272" s="10" t="inlineStr">
        <ns0:is>
          <ns0:t>먹이가 되는 동물플랑크톤의 양</ns0:t>
        </ns0:is>
      </ns0:c>
      <ns0:c r="D272" s="10" t="n">
        <ns0:v>1</ns0:v>
      </ns0:c>
      <ns0:c r="E272" s="10" t="inlineStr">
        <ns0:is>
          <ns0:t>제시된 관계에서 어린 물고기가 직접 먹는 생물을 조사해요.</ns0:t>
        </ns0:is>
      </ns0:c>
      <ns0:c r="F272" s="10" t="inlineStr">
        <ns0:is>
          <ns0:t>Abundance of zooplankton used as food</ns0:t>
        </ns0:is>
      </ns0:c>
      <ns0:c r="G272" s="10" t="inlineStr">
        <ns0:is>
          <ns0:t>This surveys the food directly consumed by the young fish in the given link.</ns0:t>
        </ns0:is>
      </ns0:c>
    </ns0:row>
    <ns0:row r="273" ht="33" customHeight="1">
      <ns0:c r="A273" s="12" t="n">
        <ns0:v>920093</ns0:v>
      </ns0:c>
      <ns0:c r="B273" s="12" t="inlineStr">
        <ns0:is>
          <ns0:t>a</ns0:t>
        </ns0:is>
      </ns0:c>
      <ns0:c r="C273" s="12" t="inlineStr">
        <ns0:is>
          <ns0:t>강치</ns0:t>
        </ns0:is>
      </ns0:c>
      <ns0:c r="D273" s="12" t="n">
        <ns0:v>1</ns0:v>
      </ns0:c>
      <ns0:c r="E273" s="12" t="inlineStr">
        <ns0:is>
          <ns0:t>독도 포획 기록과 개체군 연구의 대상은 멸종한 강치예요.</ns0:t>
        </ns0:is>
      </ns0:c>
      <ns0:c r="F273" s="12" t="inlineStr">
        <ns0:is>
          <ns0:t>Japanese sea lion</ns0:t>
        </ns0:is>
      </ns0:c>
      <ns0:c r="G273" s="12" t="inlineStr">
        <ns0:is>
          <ns0:t>The Dokdo catch records and population study concern the extinct Japanese sea lion.</ns0:t>
        </ns0:is>
      </ns0:c>
    </ns0:row>
    <ns0:row r="274" ht="33" customHeight="1">
      <ns0:c r="A274" s="10" t="n">
        <ns0:v>920093</ns0:v>
      </ns0:c>
      <ns0:c r="B274" s="10" t="inlineStr">
        <ns0:is>
          <ns0:t>b</ns0:t>
        </ns0:is>
      </ns0:c>
      <ns0:c r="C274" s="10" t="inlineStr">
        <ns0:is>
          <ns0:t>해달</ns0:t>
        </ns0:is>
      </ns0:c>
      <ns0:c r="D274" s="10" t="n">
        <ns0:v>0</ns0:v>
      </ns0:c>
      <ns0:c r="E274" s="10" t="inlineStr">
        <ns0:is>
          <ns0:t>해달은 다른 바다 포유류이며 이 포획·멸종 기록의 강치와 같은 종이 아니에요.</ns0:t>
        </ns0:is>
      </ns0:c>
      <ns0:c r="F274" s="10" t="inlineStr">
        <ns0:is>
          <ns0:t>Sea otter</ns0:t>
        </ns0:is>
      </ns0:c>
      <ns0:c r="G274" s="10" t="inlineStr">
        <ns0:is>
          <ns0:t>A sea otter is a different marine mammal, not the sea lion in this historical account.</ns0:t>
        </ns0:is>
      </ns0:c>
    </ns0:row>
    <ns0:row r="275" ht="33" customHeight="1">
      <ns0:c r="A275" s="12" t="n">
        <ns0:v>920093</ns0:v>
      </ns0:c>
      <ns0:c r="B275" s="12" t="inlineStr">
        <ns0:is>
          <ns0:t>c</ns0:t>
        </ns0:is>
      </ns0:c>
      <ns0:c r="C275" s="12" t="inlineStr">
        <ns0:is>
          <ns0:t>바다표범</ns0:t>
        </ns0:is>
      </ns0:c>
      <ns0:c r="D275" s="12" t="n">
        <ns0:v>0</ns0:v>
      </ns0:c>
      <ns0:c r="E275" s="12" t="inlineStr">
        <ns0:is>
          <ns0:t>바다표범과 강치는 다른 분류의 동물이에요. 이 독도 기록은 강치를 다뤄요.</ns0:t>
        </ns0:is>
      </ns0:c>
      <ns0:c r="F275" s="12" t="inlineStr">
        <ns0:is>
          <ns0:t>Seal</ns0:t>
        </ns0:is>
      </ns0:c>
      <ns0:c r="G275" s="12" t="inlineStr">
        <ns0:is>
          <ns0:t>Seals and sea lions are different groups; this account concerns sea lions.</ns0:t>
        </ns0:is>
      </ns0:c>
    </ns0:row>
    <ns0:row r="276" ht="33" customHeight="1">
      <ns0:c r="A276" s="10" t="n">
        <ns0:v>920094</ns0:v>
      </ns0:c>
      <ns0:c r="B276" s="10" t="inlineStr">
        <ns0:is>
          <ns0:t>b</ns0:t>
        </ns0:is>
      </ns0:c>
      <ns0:c r="C276" s="10" t="inlineStr">
        <ns0:is>
          <ns0:t>섬의 농경지 확대</ns0:t>
        </ns0:is>
      </ns0:c>
      <ns0:c r="D276" s="10" t="n">
        <ns0:v>0</ns0:v>
      </ns0:c>
      <ns0:c r="E276" s="10" t="inlineStr">
        <ns0:is>
          <ns0:t>해당 연구가 강치 감소의 핵심 인간 활동으로 지목한 것은 포획이에요.</ns0:t>
        </ns0:is>
      </ns0:c>
      <ns0:c r="F276" s="10" t="inlineStr">
        <ns0:is>
          <ns0:t>Expansion of farmland on the islands</ns0:t>
        </ns0:is>
      </ns0:c>
      <ns0:c r="G276" s="10" t="inlineStr">
        <ns0:is>
          <ns0:t>The study identifies hunting, not farmland expansion, as the central human pressure.</ns0:t>
        </ns0:is>
      </ns0:c>
    </ns0:row>
    <ns0:row r="277" ht="33" customHeight="1">
      <ns0:c r="A277" s="12" t="n">
        <ns0:v>920094</ns0:v>
      </ns0:c>
      <ns0:c r="B277" s="12" t="inlineStr">
        <ns0:is>
          <ns0:t>a</ns0:t>
        </ns0:is>
      </ns0:c>
      <ns0:c r="C277" s="12" t="inlineStr">
        <ns0:is>
          <ns0:t>지나치게 많은 포획</ns0:t>
        </ns0:is>
      </ns0:c>
      <ns0:c r="D277" s="12" t="n">
        <ns0:v>1</ns0:v>
      </ns0:c>
      <ns0:c r="E277" s="12" t="inlineStr">
        <ns0:is>
          <ns0:t>남아 있는 포획 기록을 이용한 연구는 강한 포획 압력이 감소에 크게 작용했음을 설명해요.</ns0:t>
        </ns0:is>
      </ns0:c>
      <ns0:c r="F277" s="12" t="inlineStr">
        <ns0:is>
          <ns0:t>Excessive hunting</ns0:t>
        </ns0:is>
      </ns0:c>
      <ns0:c r="G277" s="12" t="inlineStr">
        <ns0:is>
          <ns0:t>Research using catch records identifies heavy hunting pressure as a major cause.</ns0:t>
        </ns0:is>
      </ns0:c>
    </ns0:row>
    <ns0:row r="278" ht="33" customHeight="1">
      <ns0:c r="A278" s="10" t="n">
        <ns0:v>920094</ns0:v>
      </ns0:c>
      <ns0:c r="B278" s="10" t="inlineStr">
        <ns0:is>
          <ns0:t>c</ns0:t>
        </ns0:is>
      </ns0:c>
      <ns0:c r="C278" s="10" t="inlineStr">
        <ns0:is>
          <ns0:t>바다숲 채집만</ns0:t>
        </ns0:is>
      </ns0:c>
      <ns0:c r="D278" s="10" t="n">
        <ns0:v>0</ns0:v>
      </ns0:c>
      <ns0:c r="E278" s="10" t="inlineStr">
        <ns0:is>
          <ns0:t>연구는 강치를 직접 잡은 포획 압력의 영향을 다뤄요.</ns0:t>
        </ns0:is>
      </ns0:c>
      <ns0:c r="F278" s="10" t="inlineStr">
        <ns0:is>
          <ns0:t>Seaweed harvesting alone</ns0:t>
        </ns0:is>
      </ns0:c>
      <ns0:c r="G278" s="10" t="inlineStr">
        <ns0:is>
          <ns0:t>The research examines direct hunting of sea lions rather than seaweed harvesting alone.</ns0:t>
        </ns0:is>
      </ns0:c>
    </ns0:row>
    <ns0:row r="279" ht="33" customHeight="1">
      <ns0:c r="A279" s="12" t="n">
        <ns0:v>920095</ns0:v>
      </ns0:c>
      <ns0:c r="B279" s="12" t="inlineStr">
        <ns0:is>
          <ns0:t>b</ns0:t>
        </ns0:is>
      </ns0:c>
      <ns0:c r="C279" s="12" t="inlineStr">
        <ns0:is>
          <ns0:t>바닷새의 연도별 둥지 수만</ns0:t>
        </ns0:is>
      </ns0:c>
      <ns0:c r="D279" s="12" t="n">
        <ns0:v>0</ns0:v>
      </ns0:c>
      <ns0:c r="E279" s="12" t="inlineStr">
        <ns0:is>
          <ns0:t>새의 둥지 수는 강치가 몇 마리 잡혔는지를 기록한 자료가 아니에요.</ns0:t>
        </ns0:is>
      </ns0:c>
      <ns0:c r="F279" s="12" t="inlineStr">
        <ns0:is>
          <ns0:t>Only annual seabird nest counts</ns0:t>
        </ns0:is>
      </ns0:c>
      <ns0:c r="G279" s="12" t="inlineStr">
        <ns0:is>
          <ns0:t>Bird nests do not record the number of sea lions caught.</ns0:t>
        </ns0:is>
      </ns0:c>
    </ns0:row>
    <ns0:row r="280" ht="33" customHeight="1">
      <ns0:c r="A280" s="10" t="n">
        <ns0:v>920095</ns0:v>
      </ns0:c>
      <ns0:c r="B280" s="10" t="inlineStr">
        <ns0:is>
          <ns0:t>c</ns0:t>
        </ns0:is>
      </ns0:c>
      <ns0:c r="C280" s="10" t="inlineStr">
        <ns0:is>
          <ns0:t>현재 물고기의 어획량만</ns0:t>
        </ns0:is>
      </ns0:c>
      <ns0:c r="D280" s="10" t="n">
        <ns0:v>0</ns0:v>
      </ns0:c>
      <ns0:c r="E280" s="10" t="inlineStr">
        <ns0:is>
          <ns0:t>현재 물고기 어획량은 과거 강치 포획 기록과 대상·시기가 달라요.</ns0:t>
        </ns0:is>
      </ns0:c>
      <ns0:c r="F280" s="10" t="inlineStr">
        <ns0:is>
          <ns0:t>Only present fish catches</ns0:t>
        </ns0:is>
      </ns0:c>
      <ns0:c r="G280" s="10" t="inlineStr">
        <ns0:is>
          <ns0:t>Present fish catches differ in species and period from historical sea lion catches.</ns0:t>
        </ns0:is>
      </ns0:c>
    </ns0:row>
    <ns0:row r="281" ht="33" customHeight="1">
      <ns0:c r="A281" s="12" t="n">
        <ns0:v>920095</ns0:v>
      </ns0:c>
      <ns0:c r="B281" s="12" t="inlineStr">
        <ns0:is>
          <ns0:t>a</ns0:t>
        </ns0:is>
      </ns0:c>
      <ns0:c r="C281" s="12" t="inlineStr">
        <ns0:is>
          <ns0:t>강치의 연도별 포획 기록</ns0:t>
        </ns0:is>
      </ns0:c>
      <ns0:c r="D281" s="12" t="n">
        <ns0:v>1</ns0:v>
      </ns0:c>
      <ns0:c r="E281" s="12" t="inlineStr">
        <ns0:is>
          <ns0:t>포획 자료를 모형에 넣어 개체군 변화의 한 요인을 계산했어요.</ns0:t>
        </ns0:is>
      </ns0:c>
      <ns0:c r="F281" s="12" t="inlineStr">
        <ns0:is>
          <ns0:t>Historical annual sea lion catches</ns0:t>
        </ns0:is>
      </ns0:c>
      <ns0:c r="G281" s="12" t="inlineStr">
        <ns0:is>
          <ns0:t>Catch information provides a model input for population change.</ns0:t>
        </ns0:is>
      </ns0:c>
    </ns0:row>
    <ns0:row r="282" ht="38" customHeight="1">
      <ns0:c r="A282" s="10" t="n">
        <ns0:v>920096</ns0:v>
      </ns0:c>
      <ns0:c r="B282" s="10" t="inlineStr">
        <ns0:is>
          <ns0:t>a</ns0:t>
        </ns0:is>
      </ns0:c>
      <ns0:c r="C282" s="10" t="inlineStr">
        <ns0:is>
          <ns0:t>사람에게 잡혀 개체군에서 빠지는 수</ns0:t>
        </ns0:is>
      </ns0:c>
      <ns0:c r="D282" s="10" t="n">
        <ns0:v>1</ns0:v>
      </ns0:c>
      <ns0:c r="E282" s="10" t="inlineStr">
        <ns0:is>
          <ns0:t>포획 압력의 직접적인 효과는 잡히는 개체의 증가예요. 번식에 의한 보충과 함께 비교해요.</ns0:t>
        </ns0:is>
      </ns0:c>
      <ns0:c r="F282" s="10" t="inlineStr">
        <ns0:is>
          <ns0:t>Losses from the population through catches</ns0:t>
        </ns0:is>
      </ns0:c>
      <ns0:c r="G282" s="10" t="inlineStr">
        <ns0:is>
          <ns0:t>Hunting directly adds catch losses, which must be compared with replacement through births.</ns0:t>
        </ns0:is>
      </ns0:c>
    </ns0:row>
    <ns0:row r="283" ht="33" customHeight="1">
      <ns0:c r="A283" s="12" t="n">
        <ns0:v>920096</ns0:v>
      </ns0:c>
      <ns0:c r="B283" s="12" t="inlineStr">
        <ns0:is>
          <ns0:t>b</ns0:t>
        </ns0:is>
      </ns0:c>
      <ns0:c r="C283" s="12" t="inlineStr">
        <ns0:is>
          <ns0:t>태어나는 새끼 수</ns0:t>
        </ns0:is>
      </ns0:c>
      <ns0:c r="D283" s="12" t="n">
        <ns0:v>0</ns0:v>
      </ns0:c>
      <ns0:c r="E283" s="12" t="inlineStr">
        <ns0:is>
          <ns0:t>포획이 증가한다고 출생이 직접 같은 만큼 늘어나는 것은 아니에요.</ns0:t>
        </ns0:is>
      </ns0:c>
      <ns0:c r="F283" s="12" t="inlineStr">
        <ns0:is>
          <ns0:t>The number of newborns</ns0:t>
        </ns0:is>
      </ns0:c>
      <ns0:c r="G283" s="12" t="inlineStr">
        <ns0:is>
          <ns0:t>Increased catches do not directly produce a matching increase in births.</ns0:t>
        </ns0:is>
      </ns0:c>
    </ns0:row>
    <ns0:row r="284" ht="33" customHeight="1">
      <ns0:c r="A284" s="10" t="n">
        <ns0:v>920096</ns0:v>
      </ns0:c>
      <ns0:c r="B284" s="10" t="inlineStr">
        <ns0:is>
          <ns0:t>c</ns0:t>
        </ns0:is>
      </ns0:c>
      <ns0:c r="C284" s="10" t="inlineStr">
        <ns0:is>
          <ns0:t>과거 조사에 실제 관찰된 수</ns0:t>
        </ns0:is>
      </ns0:c>
      <ns0:c r="D284" s="10" t="n">
        <ns0:v>0</ns0:v>
      </ns0:c>
      <ns0:c r="E284" s="10" t="inlineStr">
        <ns0:is>
          <ns0:t>모형 조건을 바꾼다고 과거 관찰 기록 자체가 바뀌지는 않아요.</ns0:t>
        </ns0:is>
      </ns0:c>
      <ns0:c r="F284" s="10" t="inlineStr">
        <ns0:is>
          <ns0:t>The number actually observed in a past survey</ns0:t>
        </ns0:is>
      </ns0:c>
      <ns0:c r="G284" s="10" t="inlineStr">
        <ns0:is>
          <ns0:t>Changing model assumptions does not alter historical observations.</ns0:t>
        </ns0:is>
      </ns0:c>
    </ns0:row>
    <ns0:row r="285" ht="33" customHeight="1">
      <ns0:c r="A285" s="12" t="n">
        <ns0:v>920097</ns0:v>
      </ns0:c>
      <ns0:c r="B285" s="12" t="inlineStr">
        <ns0:is>
          <ns0:t>b</ns0:t>
        </ns0:is>
      </ns0:c>
      <ns0:c r="C285" s="12" t="inlineStr">
        <ns0:is>
          <ns0:t>당시의 전수 관찰값</ns0:t>
        </ns0:is>
      </ns0:c>
      <ns0:c r="D285" s="12" t="n">
        <ns0:v>0</ns0:v>
      </ns0:c>
      <ns0:c r="E285" s="12" t="inlineStr">
        <ns0:is>
          <ns0:t>모든 개체를 직접 센 것이 아니라 기록으로 계산한 값이에요.</ns0:t>
        </ns0:is>
      </ns0:c>
      <ns0:c r="F285" s="12" t="inlineStr">
        <ns0:is>
          <ns0:t>A complete count made at that time</ns0:t>
        </ns0:is>
      </ns0:c>
      <ns0:c r="G285" s="12" t="inlineStr">
        <ns0:is>
          <ns0:t>The value was calculated rather than obtained by counting every individual.</ns0:t>
        </ns0:is>
      </ns0:c>
    </ns0:row>
    <ns0:row r="286" ht="38" customHeight="1">
      <ns0:c r="A286" s="10" t="n">
        <ns0:v>920097</ns0:v>
      </ns0:c>
      <ns0:c r="B286" s="10" t="inlineStr">
        <ns0:is>
          <ns0:t>a</ns0:t>
        </ns0:is>
      </ns0:c>
      <ns0:c r="C286" s="10" t="inlineStr">
        <ns0:is>
          <ns0:t>추정값</ns0:t>
        </ns0:is>
      </ns0:c>
      <ns0:c r="D286" s="10" t="n">
        <ns0:v>1</ns0:v>
      </ns0:c>
      <ns0:c r="E286" s="10" t="inlineStr">
        <ns0:is>
          <ns0:t>불완전한 기록과 가정으로 계산했으므로 정확한 전수 관찰값과 구분해요.</ns0:t>
        </ns0:is>
      </ns0:c>
      <ns0:c r="F286" s="10" t="inlineStr">
        <ns0:is>
          <ns0:t>An estimate</ns0:t>
        </ns0:is>
      </ns0:c>
      <ns0:c r="G286" s="10" t="inlineStr">
        <ns0:is>
          <ns0:t>A calculation from incomplete records and assumptions is an estimate, not a complete census.</ns0:t>
        </ns0:is>
      </ns0:c>
    </ns0:row>
    <ns0:row r="287" ht="33" customHeight="1">
      <ns0:c r="A287" s="12" t="n">
        <ns0:v>920097</ns0:v>
      </ns0:c>
      <ns0:c r="B287" s="12" t="inlineStr">
        <ns0:is>
          <ns0:t>c</ns0:t>
        </ns0:is>
      </ns0:c>
      <ns0:c r="C287" s="12" t="inlineStr">
        <ns0:is>
          <ns0:t>오늘의 실시간 개체 수</ns0:t>
        </ns0:is>
      </ns0:c>
      <ns0:c r="D287" s="12" t="n">
        <ns0:v>0</ns0:v>
      </ns0:c>
      <ns0:c r="E287" s="12" t="inlineStr">
        <ns0:is>
          <ns0:t>과거를 계산한 값이므로 오늘의 실제 관찰 수가 아니에요.</ns0:t>
        </ns0:is>
      </ns0:c>
      <ns0:c r="F287" s="12" t="inlineStr">
        <ns0:is>
          <ns0:t>A live population count today</ns0:t>
        </ns0:is>
      </ns0:c>
      <ns0:c r="G287" s="12" t="inlineStr">
        <ns0:is>
          <ns0:t>It estimates a historical population, not current observations.</ns0:t>
        </ns0:is>
      </ns0:c>
    </ns0:row>
    <ns0:row r="288" ht="33" customHeight="1">
      <ns0:c r="A288" s="10" t="n">
        <ns0:v>920098</ns0:v>
      </ns0:c>
      <ns0:c r="B288" s="10" t="inlineStr">
        <ns0:is>
          <ns0:t>b</ns0:t>
        </ns0:is>
      </ns0:c>
      <ns0:c r="C288" s="10" t="inlineStr">
        <ns0:is>
          <ns0:t>당시에 살던 강치 전부</ns0:t>
        </ns0:is>
      </ns0:c>
      <ns0:c r="D288" s="10" t="n">
        <ns0:v>0</ns0:v>
      </ns0:c>
      <ns0:c r="E288" s="10" t="inlineStr">
        <ns0:is>
          <ns0:t>잡히지 않은 개체가 있을 수 있어 두 수가 같다고 가정할 수 없어요.</ns0:t>
        </ns0:is>
      </ns0:c>
      <ns0:c r="F288" s="10" t="inlineStr">
        <ns0:is>
          <ns0:t>Every sea lion alive at the time</ns0:t>
        </ns0:is>
      </ns0:c>
      <ns0:c r="G288" s="10" t="inlineStr">
        <ns0:is>
          <ns0:t>Uncaught animals may exist, so equality cannot be assumed.</ns0:t>
        </ns0:is>
      </ns0:c>
    </ns0:row>
    <ns0:row r="289" ht="33" customHeight="1">
      <ns0:c r="A289" s="12" t="n">
        <ns0:v>920098</ns0:v>
      </ns0:c>
      <ns0:c r="B289" s="12" t="inlineStr">
        <ns0:is>
          <ns0:t>c</ns0:t>
        </ns0:is>
      </ns0:c>
      <ns0:c r="C289" s="12" t="inlineStr">
        <ns0:is>
          <ns0:t>그해 태어난 강치</ns0:t>
        </ns0:is>
      </ns0:c>
      <ns0:c r="D289" s="12" t="n">
        <ns0:v>0</ns0:v>
      </ns0:c>
      <ns0:c r="E289" s="12" t="inlineStr">
        <ns0:is>
          <ns0:t>포획 수는 태어난 수가 아니라 사냥으로 잡힌 수예요.</ns0:t>
        </ns0:is>
      </ns0:c>
      <ns0:c r="F289" s="12" t="inlineStr">
        <ns0:is>
          <ns0:t>Sea lions born that year</ns0:t>
        </ns0:is>
      </ns0:c>
      <ns0:c r="G289" s="12" t="inlineStr">
        <ns0:is>
          <ns0:t>Catches count animals taken by hunting, not births.</ns0:t>
        </ns0:is>
      </ns0:c>
    </ns0:row>
    <ns0:row r="290" ht="38" customHeight="1">
      <ns0:c r="A290" s="10" t="n">
        <ns0:v>920098</ns0:v>
      </ns0:c>
      <ns0:c r="B290" s="10" t="inlineStr">
        <ns0:is>
          <ns0:t>a</ns0:t>
        </ns0:is>
      </ns0:c>
      <ns0:c r="C290" s="10" t="inlineStr">
        <ns0:is>
          <ns0:t>사람에게 잡힌 강치</ns0:t>
        </ns0:is>
      </ns0:c>
      <ns0:c r="D290" s="10" t="n">
        <ns0:v>1</ns0:v>
      </ns0:c>
      <ns0:c r="E290" s="10" t="inlineStr">
        <ns0:is>
          <ns0:t>포획 수는 사람이 잡은 강치를 센 값이에요. 잡히지 않은 강치까지 포함한 전체 개체 수와는 달라요.</ns0:t>
        </ns0:is>
      </ns0:c>
      <ns0:c r="F290" s="10" t="inlineStr">
        <ns0:is>
          <ns0:t>Sea lions caught by people</ns0:t>
        </ns0:is>
      </ns0:c>
      <ns0:c r="G290" s="10" t="inlineStr">
        <ns0:is>
          <ns0:t>A catch total counts sea lions taken by people. It is not the whole population, which also includes uncaught animals.</ns0:t>
        </ns0:is>
      </ns0:c>
    </ns0:row>
    <ns0:row r="291" ht="38" customHeight="1">
      <ns0:c r="A291" s="12" t="n">
        <ns0:v>920099</ns0:v>
      </ns0:c>
      <ns0:c r="B291" s="12" t="inlineStr">
        <ns0:is>
          <ns0:t>a</ns0:t>
        </ns0:is>
      </ns0:c>
      <ns0:c r="C291" s="12" t="inlineStr">
        <ns0:is>
          <ns0:t>과거 기록과 가정으로 계산한 추정값</ns0:t>
        </ns0:is>
      </ns0:c>
      <ns0:c r="D291" s="12" t="n">
        <ns0:v>1</ns0:v>
      </ns0:c>
      <ns0:c r="E291" s="12" t="inlineStr">
        <ns0:is>
          <ns0:t>계산의 성격을 밝혀 관찰한 수와 혼동하지 않게 해요.</ns0:t>
        </ns0:is>
      </ns0:c>
      <ns0:c r="F291" s="12" t="inlineStr">
        <ns0:is>
          <ns0:t>An estimate calculated from historical records and assumptions</ns0:t>
        </ns0:is>
      </ns0:c>
      <ns0:c r="G291" s="12" t="inlineStr">
        <ns0:is>
          <ns0:t>This identifies the calculation and distinguishes it from observation.</ns0:t>
        </ns0:is>
      </ns0:c>
    </ns0:row>
    <ns0:row r="292" ht="38" customHeight="1">
      <ns0:c r="A292" s="10" t="n">
        <ns0:v>920099</ns0:v>
      </ns0:c>
      <ns0:c r="B292" s="10" t="inlineStr">
        <ns0:is>
          <ns0:t>b</ns0:t>
        </ns0:is>
      </ns0:c>
      <ns0:c r="C292" s="10" t="inlineStr">
        <ns0:is>
          <ns0:t>연구자가 당시 강치를 모두 세어 얻은 수</ns0:t>
        </ns0:is>
      </ns0:c>
      <ns0:c r="D292" s="10" t="n">
        <ns0:v>0</ns0:v>
      </ns0:c>
      <ns0:c r="E292" s="10" t="inlineStr">
        <ns0:is>
          <ns0:t>자료는 모형 추정이지 과거 현장 전수 조사로 제시되지 않았어요.</ns0:t>
        </ns0:is>
      </ns0:c>
      <ns0:c r="F292" s="10" t="inlineStr">
        <ns0:is>
          <ns0:t>A full count made by researchers at the historical time</ns0:t>
        </ns0:is>
      </ns0:c>
      <ns0:c r="G292" s="10" t="inlineStr">
        <ns0:is>
          <ns0:t>The account describes modelling, not a historical full census.</ns0:t>
        </ns0:is>
      </ns0:c>
    </ns0:row>
    <ns0:row r="293" ht="33" customHeight="1">
      <ns0:c r="A293" s="12" t="n">
        <ns0:v>920099</ns0:v>
      </ns0:c>
      <ns0:c r="B293" s="12" t="inlineStr">
        <ns0:is>
          <ns0:t>c</ns0:t>
        </ns0:is>
      </ns0:c>
      <ns0:c r="C293" s="12" t="inlineStr">
        <ns0:is>
          <ns0:t>현재 독도에 사는 강치 수</ns0:t>
        </ns0:is>
      </ns0:c>
      <ns0:c r="D293" s="12" t="n">
        <ns0:v>0</ns0:v>
      </ns0:c>
      <ns0:c r="E293" s="12" t="inlineStr">
        <ns0:is>
          <ns0:t>연구 대상은 과거 개체군이며 현재 살아 있는 개체 수가 아니에요.</ns0:t>
        </ns0:is>
      </ns0:c>
      <ns0:c r="F293" s="12" t="inlineStr">
        <ns0:is>
          <ns0:t>The number of sea lions now living on Dokdo</ns0:t>
        </ns0:is>
      </ns0:c>
      <ns0:c r="G293" s="12" t="inlineStr">
        <ns0:is>
          <ns0:t>The study concerns the historical population, not a present count.</ns0:t>
        </ns0:is>
      </ns0:c>
    </ns0:row>
    <ns0:row r="294" ht="38" customHeight="1">
      <ns0:c r="A294" s="10" t="n">
        <ns0:v>920100</ns0:v>
      </ns0:c>
      <ns0:c r="B294" s="10" t="inlineStr">
        <ns0:is>
          <ns0:t>b</ns0:t>
        </ns0:is>
      </ns0:c>
      <ns0:c r="C294" s="10" t="inlineStr">
        <ns0:is>
          <ns0:t>기존 계산값을 직접 관찰값으로 바꾸어 표시</ns0:t>
        </ns0:is>
      </ns0:c>
      <ns0:c r="D294" s="10" t="n">
        <ns0:v>0</ns0:v>
      </ns0:c>
      <ns0:c r="E294" s="10" t="inlineStr">
        <ns0:is>
          <ns0:t>가정이 바뀌어도 계산값이 현장 관찰값으로 바뀌지는 않아요.</ns0:t>
        </ns0:is>
      </ns0:c>
      <ns0:c r="F294" s="10" t="inlineStr">
        <ns0:is>
          <ns0:t>Relabel the old estimate as a direct observation</ns0:t>
        </ns0:is>
      </ns0:c>
      <ns0:c r="G294" s="10" t="inlineStr">
        <ns0:is>
          <ns0:t>Changing assumptions does not turn an estimate into an observation.</ns0:t>
        </ns0:is>
      </ns0:c>
    </ns0:row>
    <ns0:row r="295" ht="38" customHeight="1">
      <ns0:c r="A295" s="12" t="n">
        <ns0:v>920100</ns0:v>
      </ns0:c>
      <ns0:c r="B295" s="12" t="inlineStr">
        <ns0:is>
          <ns0:t>a</ns0:t>
        </ns0:is>
      </ns0:c>
      <ns0:c r="C295" s="12" t="inlineStr">
        <ns0:is>
          <ns0:t>바뀐 가정으로 계산해 결과가 얼마나 달라지는지 비교</ns0:t>
        </ns0:is>
      </ns0:c>
      <ns0:c r="D295" s="12" t="n">
        <ns0:v>1</ns0:v>
      </ns0:c>
      <ns0:c r="E295" s="12" t="inlineStr">
        <ns0:is>
          <ns0:t>모형 결과가 가정에 얼마나 의존하는지 확인하는 방법이에요.</ns0:t>
        </ns0:is>
      </ns0:c>
      <ns0:c r="F295" s="12" t="inlineStr">
        <ns0:is>
          <ns0:t>Recalculate and compare how much the results change</ns0:t>
        </ns0:is>
      </ns0:c>
      <ns0:c r="G295" s="12" t="inlineStr">
        <ns0:is>
          <ns0:t>This checks how strongly results depend on the assumption.</ns0:t>
        </ns0:is>
      </ns0:c>
    </ns0:row>
    <ns0:row r="296" ht="33" customHeight="1">
      <ns0:c r="A296" s="10" t="n">
        <ns0:v>920100</ns0:v>
      </ns0:c>
      <ns0:c r="B296" s="10" t="inlineStr">
        <ns0:is>
          <ns0:t>c</ns0:t>
        </ns0:is>
      </ns0:c>
      <ns0:c r="C296" s="10" t="inlineStr">
        <ns0:is>
          <ns0:t>포획 기록의 숫자를 결과에 맞게 바꾸기</ns0:t>
        </ns0:is>
      </ns0:c>
      <ns0:c r="D296" s="10" t="n">
        <ns0:v>0</ns0:v>
      </ns0:c>
      <ns0:c r="E296" s="10" t="inlineStr">
        <ns0:is>
          <ns0:t>원기록을 바꾸는 것이 아니라 가정에 따른 결과 차이를 조사해야 해요.</ns0:t>
        </ns0:is>
      </ns0:c>
      <ns0:c r="F296" s="10" t="inlineStr">
        <ns0:is>
          <ns0:t>Alter catch records to match the desired result</ns0:t>
        </ns0:is>
      </ns0:c>
      <ns0:c r="G296" s="10" t="inlineStr">
        <ns0:is>
          <ns0:t>Original records should not be altered; the model’s response should be examined.</ns0:t>
        </ns0:is>
      </ns0:c>
    </ns0:row>
    <ns0:row r="297" ht="33" customHeight="1">
      <ns0:c r="A297" s="12" t="n">
        <ns0:v>920101</ns0:v>
      </ns0:c>
      <ns0:c r="B297" s="12" t="inlineStr">
        <ns0:is>
          <ns0:t>b</ns0:t>
        </ns0:is>
      </ns0:c>
      <ns0:c r="C297" s="12" t="inlineStr">
        <ns0:is>
          <ns0:t>서도</ns0:t>
        </ns0:is>
      </ns0:c>
      <ns0:c r="D297" s="12" t="n">
        <ns0:v>0</ns0:v>
      </ns0:c>
      <ns0:c r="E297" s="12" t="inlineStr">
        <ns0:is>
          <ns0:t>서도 주민숙소와 달리 독도등대는 동도 시설이에요.</ns0:t>
        </ns0:is>
      </ns0:c>
      <ns0:c r="F297" s="12" t="inlineStr">
        <ns0:is>
          <ns0:t>Seodo</ns0:t>
        </ns0:is>
      </ns0:c>
      <ns0:c r="G297" s="12" t="inlineStr">
        <ns0:is>
          <ns0:t>Unlike the accommodation on Seodo, the lighthouse is on Dongdo.</ns0:t>
        </ns0:is>
      </ns0:c>
    </ns0:row>
    <ns0:row r="298" ht="33" customHeight="1">
      <ns0:c r="A298" s="10" t="n">
        <ns0:v>920101</ns0:v>
      </ns0:c>
      <ns0:c r="B298" s="10" t="inlineStr">
        <ns0:is>
          <ns0:t>a</ns0:t>
        </ns0:is>
      </ns0:c>
      <ns0:c r="C298" s="10" t="inlineStr">
        <ns0:is>
          <ns0:t>동도</ns0:t>
        </ns0:is>
      </ns0:c>
      <ns0:c r="D298" s="10" t="n">
        <ns0:v>1</ns0:v>
      </ns0:c>
      <ns0:c r="E298" s="10" t="inlineStr">
        <ns0:is>
          <ns0:t>등대는 동도에 있어요. 서도에는 주민숙소가 있어요.</ns0:t>
        </ns0:is>
      </ns0:c>
      <ns0:c r="F298" s="10" t="inlineStr">
        <ns0:is>
          <ns0:t>Dongdo</ns0:t>
        </ns0:is>
      </ns0:c>
      <ns0:c r="G298" s="10" t="inlineStr">
        <ns0:is>
          <ns0:t>The lighthouse is on Dongdo; residents’ accommodation is on Seodo.</ns0:t>
        </ns0:is>
      </ns0:c>
    </ns0:row>
    <ns0:row r="299" ht="33" customHeight="1">
      <ns0:c r="A299" s="12" t="n">
        <ns0:v>920102</ns0:v>
      </ns0:c>
      <ns0:c r="B299" s="12" t="inlineStr">
        <ns0:is>
          <ns0:t>b</ns0:t>
        </ns0:is>
      </ns0:c>
      <ns0:c r="C299" s="12" t="inlineStr">
        <ns0:is>
          <ns0:t>배가 닿을 접안 공간을 제공한다</ns0:t>
        </ns0:is>
      </ns0:c>
      <ns0:c r="D299" s="12" t="n">
        <ns0:v>0</ns0:v>
      </ns0:c>
      <ns0:c r="E299" s="12" t="inlineStr">
        <ns0:is>
          <ns0:t>배가 닿는 공간은 접안시설의 역할이고, 등대는 항해 표지예요.</ns0:t>
        </ns0:is>
      </ns0:c>
      <ns0:c r="F299" s="12" t="inlineStr">
        <ns0:is>
          <ns0:t>It provides a docking space</ns0:t>
        </ns0:is>
      </ns0:c>
      <ns0:c r="G299" s="12" t="inlineStr">
        <ns0:is>
          <ns0:t>Docking space is provided by the dock, while a lighthouse is a navigational aid.</ns0:t>
        </ns0:is>
      </ns0:c>
    </ns0:row>
    <ns0:row r="300" ht="33" customHeight="1">
      <ns0:c r="A300" s="10" t="n">
        <ns0:v>920102</ns0:v>
      </ns0:c>
      <ns0:c r="B300" s="10" t="inlineStr">
        <ns0:is>
          <ns0:t>c</ns0:t>
        </ns0:is>
      </ns0:c>
      <ns0:c r="C300" s="10" t="inlineStr">
        <ns0:is>
          <ns0:t>바닷물을 마실 물로 바꾼다</ns0:t>
        </ns0:is>
      </ns0:c>
      <ns0:c r="D300" s="10" t="n">
        <ns0:v>0</ns0:v>
      </ns0:c>
      <ns0:c r="E300" s="10" t="inlineStr">
        <ns0:is>
          <ns0:t>물을 만드는 역할은 담수화 시설이며 등대의 주요 역할과 달라요.</ns0:t>
        </ns0:is>
      </ns0:c>
      <ns0:c r="F300" s="10" t="inlineStr">
        <ns0:is>
          <ns0:t>It converts seawater into fresh water</ns0:t>
        </ns0:is>
      </ns0:c>
      <ns0:c r="G300" s="10" t="inlineStr">
        <ns0:is>
          <ns0:t>Water treatment is the role of desalination equipment, not the lighthouse.</ns0:t>
        </ns0:is>
      </ns0:c>
    </ns0:row>
    <ns0:row r="301" ht="33" customHeight="1">
      <ns0:c r="A301" s="12" t="n">
        <ns0:v>920102</ns0:v>
      </ns0:c>
      <ns0:c r="B301" s="12" t="inlineStr">
        <ns0:is>
          <ns0:t>a</ns0:t>
        </ns0:is>
      </ns0:c>
      <ns0:c r="C301" s="12" t="inlineStr">
        <ns0:is>
          <ns0:t>빛으로 위치를 알아보게 한다</ns0:t>
        </ns0:is>
      </ns0:c>
      <ns0:c r="D301" s="12" t="n">
        <ns0:v>1</ns0:v>
      </ns0:c>
      <ns0:c r="E301" s="12" t="inlineStr">
        <ns0:is>
          <ns0:t>등대의 빛은 배가 바다에서 위치를 파악하는 항해 표지가 돼요.</ns0:t>
        </ns0:is>
      </ns0:c>
      <ns0:c r="F301" s="12" t="inlineStr">
        <ns0:is>
          <ns0:t>It provides a light to help recognise location</ns0:t>
        </ns0:is>
      </ns0:c>
      <ns0:c r="G301" s="12" t="inlineStr">
        <ns0:is>
          <ns0:t>The light serves as a navigational aid for recognising location.</ns0:t>
        </ns0:is>
      </ns0:c>
    </ns0:row>
    <ns0:row r="302" ht="33" customHeight="1">
      <ns0:c r="A302" s="10" t="n">
        <ns0:v>920103</ns0:v>
      </ns0:c>
      <ns0:c r="B302" s="10" t="inlineStr">
        <ns0:is>
          <ns0:t>a</ns0:t>
        </ns0:is>
      </ns0:c>
      <ns0:c r="C302" s="10" t="inlineStr">
        <ns0:is>
          <ns0:t>독도등대</ns0:t>
        </ns0:is>
      </ns0:c>
      <ns0:c r="D302" s="10" t="n">
        <ns0:v>1</ns0:v>
      </ns0:c>
      <ns0:c r="E302" s="10" t="inlineStr">
        <ns0:is>
          <ns0:t>위치와 기능을 함께 읽으면 동도의 독도등대를 찾을 수 있어요.</ns0:t>
        </ns0:is>
      </ns0:c>
      <ns0:c r="F302" s="10" t="inlineStr">
        <ns0:is>
          <ns0:t>Dokdo Lighthouse</ns0:t>
        </ns0:is>
      </ns0:c>
      <ns0:c r="G302" s="10" t="inlineStr">
        <ns0:is>
          <ns0:t>Combining the location and function identifies Dokdo Lighthouse.</ns0:t>
        </ns0:is>
      </ns0:c>
    </ns0:row>
    <ns0:row r="303" ht="33" customHeight="1">
      <ns0:c r="A303" s="12" t="n">
        <ns0:v>920103</ns0:v>
      </ns0:c>
      <ns0:c r="B303" s="12" t="inlineStr">
        <ns0:is>
          <ns0:t>b</ns0:t>
        </ns0:is>
      </ns0:c>
      <ns0:c r="C303" s="12" t="inlineStr">
        <ns0:is>
          <ns0:t>접안시설</ns0:t>
        </ns0:is>
      </ns0:c>
      <ns0:c r="D303" s="12" t="n">
        <ns0:v>0</ns0:v>
      </ns0:c>
      <ns0:c r="E303" s="12" t="inlineStr">
        <ns0:is>
          <ns0:t>접안시설은 배가 섬에 닿는 공간이며 빛을 보내는 등대와 달라요.</ns0:t>
        </ns0:is>
      </ns0:c>
      <ns0:c r="F303" s="12" t="inlineStr">
        <ns0:is>
          <ns0:t>Docking facility</ns0:t>
        </ns0:is>
      </ns0:c>
      <ns0:c r="G303" s="12" t="inlineStr">
        <ns0:is>
          <ns0:t>The dock is a landing space, not the light-based aid.</ns0:t>
        </ns0:is>
      </ns0:c>
    </ns0:row>
    <ns0:row r="304" ht="33" customHeight="1">
      <ns0:c r="A304" s="10" t="n">
        <ns0:v>920103</ns0:v>
      </ns0:c>
      <ns0:c r="B304" s="10" t="inlineStr">
        <ns0:is>
          <ns0:t>c</ns0:t>
        </ns0:is>
      </ns0:c>
      <ns0:c r="C304" s="10" t="inlineStr">
        <ns0:is>
          <ns0:t>담수화 시설</ns0:t>
        </ns0:is>
      </ns0:c>
      <ns0:c r="D304" s="10" t="n">
        <ns0:v>0</ns0:v>
      </ns0:c>
      <ns0:c r="E304" s="10" t="inlineStr">
        <ns0:is>
          <ns0:t>담수화 시설은 바닷물을 처리하는 설비예요.</ns0:t>
        </ns0:is>
      </ns0:c>
      <ns0:c r="F304" s="10" t="inlineStr">
        <ns0:is>
          <ns0:t>Desalination facility</ns0:t>
        </ns0:is>
      </ns0:c>
      <ns0:c r="G304" s="10" t="inlineStr">
        <ns0:is>
          <ns0:t>Desalination equipment processes seawater.</ns0:t>
        </ns0:is>
      </ns0:c>
    </ns0:row>
    <ns0:row r="305" ht="33" customHeight="1">
      <ns0:c r="A305" s="12" t="n">
        <ns0:v>920104</ns0:v>
      </ns0:c>
      <ns0:c r="B305" s="12" t="inlineStr">
        <ns0:is>
          <ns0:t>b</ns0:t>
        </ns0:is>
      </ns0:c>
      <ns0:c r="C305" s="12" t="inlineStr">
        <ns0:is>
          <ns0:t>접안시설 → 등대</ns0:t>
        </ns0:is>
      </ns0:c>
      <ns0:c r="D305" s="12" t="n">
        <ns0:v>0</ns0:v>
      </ns0:c>
      <ns0:c r="E305" s="12" t="inlineStr">
        <ns0:is>
          <ns0:t>두 시설의 기능을 바꿔 놓았어요.</ns0:t>
        </ns0:is>
      </ns0:c>
      <ns0:c r="F305" s="12" t="inlineStr">
        <ns0:is>
          <ns0:t>Dock → lighthouse</ns0:t>
        </ns0:is>
      </ns0:c>
      <ns0:c r="G305" s="12" t="inlineStr">
        <ns0:is>
          <ns0:t>The functions have been reversed.</ns0:t>
        </ns0:is>
      </ns0:c>
    </ns0:row>
    <ns0:row r="306" ht="33" customHeight="1">
      <ns0:c r="A306" s="10" t="n">
        <ns0:v>920104</ns0:v>
      </ns0:c>
      <ns0:c r="B306" s="10" t="inlineStr">
        <ns0:is>
          <ns0:t>a</ns0:t>
        </ns0:is>
      </ns0:c>
      <ns0:c r="C306" s="10" t="inlineStr">
        <ns0:is>
          <ns0:t>등대 → 접안시설</ns0:t>
        </ns0:is>
      </ns0:c>
      <ns0:c r="D306" s="10" t="n">
        <ns0:v>1</ns0:v>
      </ns0:c>
      <ns0:c r="E306" s="10" t="inlineStr">
        <ns0:is>
          <ns0:t>등대는 항해 중 위치를 알아보게 하고, 접안시설은 실제로 배가 닿게 해요.</ns0:t>
        </ns0:is>
      </ns0:c>
      <ns0:c r="F306" s="10" t="inlineStr">
        <ns0:is>
          <ns0:t>Lighthouse → dock</ns0:t>
        </ns0:is>
      </ns0:c>
      <ns0:c r="G306" s="10" t="inlineStr">
        <ns0:is>
          <ns0:t>The lighthouse aids navigation; the dock provides the landing point.</ns0:t>
        </ns0:is>
      </ns0:c>
    </ns0:row>
    <ns0:row r="307" ht="33" customHeight="1">
      <ns0:c r="A307" s="12" t="n">
        <ns0:v>920104</ns0:v>
      </ns0:c>
      <ns0:c r="B307" s="12" t="inlineStr">
        <ns0:is>
          <ns0:t>c</ns0:t>
        </ns0:is>
      </ns0:c>
      <ns0:c r="C307" s="12" t="inlineStr">
        <ns0:is>
          <ns0:t>담수시설 → 주민숙소</ns0:t>
        </ns0:is>
      </ns0:c>
      <ns0:c r="D307" s="12" t="n">
        <ns0:v>0</ns0:v>
      </ns0:c>
      <ns0:c r="E307" s="12" t="inlineStr">
        <ns0:is>
          <ns0:t>두 시설은 물과 생활 공간을 제공하며 항해 표지와 접안 기능은 아니에요.</ns0:t>
        </ns0:is>
      </ns0:c>
      <ns0:c r="F307" s="12" t="inlineStr">
        <ns0:is>
          <ns0:t>Desalination facility → accommodation</ns0:t>
        </ns0:is>
      </ns0:c>
      <ns0:c r="G307" s="12" t="inlineStr">
        <ns0:is>
          <ns0:t>These provide water and living space, not navigation and docking.</ns0:t>
        </ns0:is>
      </ns0:c>
    </ns0:row>
    <ns0:row r="308" ht="33" customHeight="1">
      <ns0:c r="A308" s="10" t="n">
        <ns0:v>920105</ns0:v>
      </ns0:c>
      <ns0:c r="B308" s="10" t="inlineStr">
        <ns0:is>
          <ns0:t>a</ns0:t>
        </ns0:is>
      </ns0:c>
      <ns0:c r="C308" s="10" t="inlineStr">
        <ns0:is>
          <ns0:t>동도</ns0:t>
        </ns0:is>
      </ns0:c>
      <ns0:c r="D308" s="10" t="n">
        <ns0:v>1</ns0:v>
      </ns0:c>
      <ns0:c r="E308" s="10" t="inlineStr">
        <ns0:is>
          <ns0:t>입도 안내에서 일반 탐방객의 관람 공간은 동도 선착장으로 안내해요.</ns0:t>
        </ns0:is>
      </ns0:c>
      <ns0:c r="F308" s="10" t="inlineStr">
        <ns0:is>
          <ns0:t>Dongdo</ns0:t>
        </ns0:is>
      </ns0:c>
      <ns0:c r="G308" s="10" t="inlineStr">
        <ns0:is>
          <ns0:t>Visitor guidance identifies Dongdo’s dock as the ordinary landing and viewing area.</ns0:t>
        </ns0:is>
      </ns0:c>
    </ns0:row>
    <ns0:row r="309" ht="33" customHeight="1">
      <ns0:c r="A309" s="12" t="n">
        <ns0:v>920105</ns0:v>
      </ns0:c>
      <ns0:c r="B309" s="12" t="inlineStr">
        <ns0:is>
          <ns0:t>b</ns0:t>
        </ns0:is>
      </ns0:c>
      <ns0:c r="C309" s="12" t="inlineStr">
        <ns0:is>
          <ns0:t>서도</ns0:t>
        </ns0:is>
      </ns0:c>
      <ns0:c r="D309" s="12" t="n">
        <ns0:v>0</ns0:v>
      </ns0:c>
      <ns0:c r="E309" s="12" t="inlineStr">
        <ns0:is>
          <ns0:t>서도는 일반 탐방의 기본 하선 장소로 안내되지 않아요.</ns0:t>
        </ns0:is>
      </ns0:c>
      <ns0:c r="F309" s="12" t="inlineStr">
        <ns0:is>
          <ns0:t>Seodo</ns0:t>
        </ns0:is>
      </ns0:c>
      <ns0:c r="G309" s="12" t="inlineStr">
        <ns0:is>
          <ns0:t>Seodo is not the standard landing area described for ordinary visits.</ns0:t>
        </ns0:is>
      </ns0:c>
    </ns0:row>
    <ns0:row r="310" ht="33" customHeight="1">
      <ns0:c r="A310" s="10" t="n">
        <ns0:v>920106</ns0:v>
      </ns0:c>
      <ns0:c r="B310" s="10" t="inlineStr">
        <ns0:is>
          <ns0:t>b</ns0:t>
        </ns0:is>
      </ns0:c>
      <ns0:c r="C310" s="10" t="inlineStr">
        <ns0:is>
          <ns0:t>헬기가 착륙하는 곳</ns0:t>
        </ns0:is>
      </ns0:c>
      <ns0:c r="D310" s="10" t="n">
        <ns0:v>0</ns0:v>
      </ns0:c>
      <ns0:c r="E310" s="10" t="inlineStr">
        <ns0:is>
          <ns0:t>헬기가 내리는 곳은 헬기장이며 선박 접안시설과 달라요.</ns0:t>
        </ns0:is>
      </ns0:c>
      <ns0:c r="F310" s="10" t="inlineStr">
        <ns0:is>
          <ns0:t>A helicopter landing area</ns0:t>
        </ns0:is>
      </ns0:c>
      <ns0:c r="G310" s="10" t="inlineStr">
        <ns0:is>
          <ns0:t>Helicopters use a helipad, not the vessel docking facility.</ns0:t>
        </ns0:is>
      </ns0:c>
    </ns0:row>
    <ns0:row r="311" ht="38" customHeight="1">
      <ns0:c r="A311" s="12" t="n">
        <ns0:v>920106</ns0:v>
      </ns0:c>
      <ns0:c r="B311" s="12" t="inlineStr">
        <ns0:is>
          <ns0:t>c</ns0:t>
        </ns0:is>
      </ns0:c>
      <ns0:c r="C311" s="12" t="inlineStr">
        <ns0:is>
          <ns0:t>밤에 빛으로 위치를 알리는 곳</ns0:t>
        </ns0:is>
      </ns0:c>
      <ns0:c r="D311" s="12" t="n">
        <ns0:v>0</ns0:v>
      </ns0:c>
      <ns0:c r="E311" s="12" t="inlineStr">
        <ns0:is>
          <ns0:t>그 기능은 등대의 항해 표지 역할이에요.</ns0:t>
        </ns0:is>
      </ns0:c>
      <ns0:c r="F311" s="12" t="inlineStr">
        <ns0:is>
          <ns0:t>A place that signals location with light at night</ns0:t>
        </ns0:is>
      </ns0:c>
      <ns0:c r="G311" s="12" t="inlineStr">
        <ns0:is>
          <ns0:t>That describes the lighthouse’s navigational role.</ns0:t>
        </ns0:is>
      </ns0:c>
    </ns0:row>
    <ns0:row r="312" ht="38" customHeight="1">
      <ns0:c r="A312" s="10" t="n">
        <ns0:v>920106</ns0:v>
      </ns0:c>
      <ns0:c r="B312" s="10" t="inlineStr">
        <ns0:is>
          <ns0:t>a</ns0:t>
        </ns0:is>
      </ns0:c>
      <ns0:c r="C312" s="10" t="inlineStr">
        <ns0:is>
          <ns0:t>배가 섬에 닿고 사람이 내리는 곳</ns0:t>
        </ns0:is>
      </ns0:c>
      <ns0:c r="D312" s="10" t="n">
        <ns0:v>1</ns0:v>
      </ns0:c>
      <ns0:c r="E312" s="10" t="inlineStr">
        <ns0:is>
          <ns0:t>접안은 배를 육지나 시설에 대는 일이에요.</ns0:t>
        </ns0:is>
      </ns0:c>
      <ns0:c r="F312" s="10" t="inlineStr">
        <ns0:is>
          <ns0:t>A place where vessels berth and people disembark</ns0:t>
        </ns0:is>
      </ns0:c>
      <ns0:c r="G312" s="10" t="inlineStr">
        <ns0:is>
          <ns0:t>Docking means bringing a vessel alongside land or a facility.</ns0:t>
        </ns0:is>
      </ns0:c>
    </ns0:row>
    <ns0:row r="313" ht="33" customHeight="1">
      <ns0:c r="A313" s="12" t="n">
        <ns0:v>920107</ns0:v>
      </ns0:c>
      <ns0:c r="B313" s="12" t="inlineStr">
        <ns0:is>
          <ns0:t>a</ns0:t>
        </ns0:is>
      </ns0:c>
      <ns0:c r="C313" s="12" t="inlineStr">
        <ns0:is>
          <ns0:t>접안시설</ns0:t>
        </ns0:is>
      </ns0:c>
      <ns0:c r="D313" s="12" t="n">
        <ns0:v>1</ns0:v>
      </ns0:c>
      <ns0:c r="E313" s="12" t="inlineStr">
        <ns0:is>
          <ns0:t>자료의 80m는 동도 접안시설 길이에 붙어 있어요.</ns0:t>
        </ns0:is>
      </ns0:c>
      <ns0:c r="F313" s="12" t="inlineStr">
        <ns0:is>
          <ns0:t>Docking facility</ns0:t>
        </ns0:is>
      </ns0:c>
      <ns0:c r="G313" s="12" t="inlineStr">
        <ns0:is>
          <ns0:t>The 80-metre figure refers to the docking facility in the supplied guide.</ns0:t>
        </ns0:is>
      </ns0:c>
    </ns0:row>
    <ns0:row r="314" ht="33" customHeight="1">
      <ns0:c r="A314" s="10" t="n">
        <ns0:v>920107</ns0:v>
      </ns0:c>
      <ns0:c r="B314" s="10" t="inlineStr">
        <ns0:is>
          <ns0:t>b</ns0:t>
        </ns0:is>
      </ns0:c>
      <ns0:c r="C314" s="10" t="inlineStr">
        <ns0:is>
          <ns0:t>등대</ns0:t>
        </ns0:is>
      </ns0:c>
      <ns0:c r="D314" s="10" t="n">
        <ns0:v>0</ns0:v>
      </ns0:c>
      <ns0:c r="E314" s="10" t="inlineStr">
        <ns0:is>
          <ns0:t>자료에서 80m를 등탑 높이로 제시한 것이 아니에요.</ns0:t>
        </ns0:is>
      </ns0:c>
      <ns0:c r="F314" s="10" t="inlineStr">
        <ns0:is>
          <ns0:t>Lighthouse</ns0:t>
        </ns0:is>
      </ns0:c>
      <ns0:c r="G314" s="10" t="inlineStr">
        <ns0:is>
          <ns0:t>The supplied guide does not identify 80 metres as the lighthouse height.</ns0:t>
        </ns0:is>
      </ns0:c>
    </ns0:row>
    <ns0:row r="315" ht="33" customHeight="1">
      <ns0:c r="A315" s="12" t="n">
        <ns0:v>920107</ns0:v>
      </ns0:c>
      <ns0:c r="B315" s="12" t="inlineStr">
        <ns0:is>
          <ns0:t>c</ns0:t>
        </ns0:is>
      </ns0:c>
      <ns0:c r="C315" s="12" t="inlineStr">
        <ns0:is>
          <ns0:t>주민숙소</ns0:t>
        </ns0:is>
      </ns0:c>
      <ns0:c r="D315" s="12" t="n">
        <ns0:v>0</ns0:v>
      </ns0:c>
      <ns0:c r="E315" s="12" t="inlineStr">
        <ns0:is>
          <ns0:t>주민숙소는 서도 시설이며 80m 접안시설과 다릅니다.</ns0:t>
        </ns0:is>
      </ns0:c>
      <ns0:c r="F315" s="12" t="inlineStr">
        <ns0:is>
          <ns0:t>Residents’ accommodation</ns0:t>
        </ns0:is>
      </ns0:c>
      <ns0:c r="G315" s="12" t="inlineStr">
        <ns0:is>
          <ns0:t>The accommodation is on Seodo and is not the described dock.</ns0:t>
        </ns0:is>
      </ns0:c>
    </ns0:row>
    <ns0:row r="316" ht="33" customHeight="1">
      <ns0:c r="A316" s="10" t="n">
        <ns0:v>920108</ns0:v>
      </ns0:c>
      <ns0:c r="B316" s="10" t="inlineStr">
        <ns0:is>
          <ns0:t>b</ns0:t>
        </ns0:is>
      </ns0:c>
      <ns0:c r="C316" s="10" t="inlineStr">
        <ns0:is>
          <ns0:t>둘 다 동도에서 서도까지 가는 거리</ns0:t>
        </ns0:is>
      </ns0:c>
      <ns0:c r="D316" s="10" t="n">
        <ns0:v>0</ns0:v>
      </ns0:c>
      <ns0:c r="E316" s="10" t="inlineStr">
        <ns0:is>
          <ns0:t>80m는 동도 접안시설의 길이예요.</ns0:t>
        </ns0:is>
      </ns0:c>
      <ns0:c r="F316" s="10" t="inlineStr">
        <ns0:is>
          <ns0:t>Both are distances from Dongdo to Seodo</ns0:t>
        </ns0:is>
      </ns0:c>
      <ns0:c r="G316" s="10" t="inlineStr">
        <ns0:is>
          <ns0:t>The 80-metre value is the dock’s length.</ns0:t>
        </ns0:is>
      </ns0:c>
    </ns0:row>
    <ns0:row r="317" ht="38" customHeight="1">
      <ns0:c r="A317" s="12" t="n">
        <ns0:v>920108</ns0:v>
      </ns0:c>
      <ns0:c r="B317" s="12" t="inlineStr">
        <ns0:is>
          <ns0:t>a</ns0:t>
        </ns0:is>
      </ns0:c>
      <ns0:c r="C317" s="12" t="inlineStr">
        <ns0:is>
          <ns0:t>80m는 시설 길이, 151m는 가장 가까운 해안 사이 거리</ns0:t>
        </ns0:is>
      </ns0:c>
      <ns0:c r="D317" s="12" t="n">
        <ns0:v>1</ns0:v>
      </ns0:c>
      <ns0:c r="E317" s="12" t="inlineStr">
        <ns0:is>
          <ns0:t>서로 다른 대상을 잰 값이므로 같은 길이라고 생각하거나 연결해서 더하지 않아요.</ns0:t>
        </ns0:is>
      </ns0:c>
      <ns0:c r="F317" s="12" t="inlineStr">
        <ns0:is>
          <ns0:t>80 m is dock length; 151 m is the nearest shore-to-shore gap</ns0:t>
        </ns0:is>
      </ns0:c>
      <ns0:c r="G317" s="12" t="inlineStr">
        <ns0:is>
          <ns0:t>These measure different objects and should not be treated as the same route.</ns0:t>
        </ns0:is>
      </ns0:c>
    </ns0:row>
    <ns0:row r="318" ht="38" customHeight="1">
      <ns0:c r="A318" s="10" t="n">
        <ns0:v>920108</ns0:v>
      </ns0:c>
      <ns0:c r="B318" s="10" t="inlineStr">
        <ns0:is>
          <ns0:t>c</ns0:t>
        </ns0:is>
      </ns0:c>
      <ns0:c r="C318" s="10" t="inlineStr">
        <ns0:is>
          <ns0:t>80m는 동도 높이, 151m는 서도 높이</ns0:t>
        </ns0:is>
      </ns0:c>
      <ns0:c r="D318" s="10" t="n">
        <ns0:v>0</ns0:v>
      </ns0:c>
      <ns0:c r="E318" s="10" t="inlineStr">
        <ns0:is>
          <ns0:t>두 값 모두 이 자료에서는 높이를 뜻하지 않아요.</ns0:t>
        </ns0:is>
      </ns0:c>
      <ns0:c r="F318" s="10" t="inlineStr">
        <ns0:is>
          <ns0:t>80 m is Dongdo’s height; 151 m is Seodo’s height</ns0:t>
        </ns0:is>
      </ns0:c>
      <ns0:c r="G318" s="10" t="inlineStr">
        <ns0:is>
          <ns0:t>Neither value denotes island elevation in this context.</ns0:t>
        </ns0:is>
      </ns0:c>
    </ns0:row>
    <ns0:row r="319" ht="33" customHeight="1">
      <ns0:c r="A319" s="12" t="n">
        <ns0:v>920109</ns0:v>
      </ns0:c>
      <ns0:c r="B319" s="12" t="inlineStr">
        <ns0:is>
          <ns0:t>b</ns0:t>
        </ns0:is>
      </ns0:c>
      <ns0:c r="C319" s="12" t="inlineStr">
        <ns0:is>
          <ns0:t>동도</ns0:t>
        </ns0:is>
      </ns0:c>
      <ns0:c r="D319" s="12" t="n">
        <ns0:v>0</ns0:v>
      </ns0:c>
      <ns0:c r="E319" s="12" t="inlineStr">
        <ns0:is>
          <ns0:t>동도에는 등대와 경비대 등이 있지만 질문의 주민숙소는 서도에 있어요.</ns0:t>
        </ns0:is>
      </ns0:c>
      <ns0:c r="F319" s="12" t="inlineStr">
        <ns0:is>
          <ns0:t>Dongdo</ns0:t>
        </ns0:is>
      </ns0:c>
      <ns0:c r="G319" s="12" t="inlineStr">
        <ns0:is>
          <ns0:t>Dongdo has the lighthouse and guard facilities, while this accommodation is on Seodo.</ns0:t>
        </ns0:is>
      </ns0:c>
    </ns0:row>
    <ns0:row r="320" ht="33" customHeight="1">
      <ns0:c r="A320" s="10" t="n">
        <ns0:v>920109</ns0:v>
      </ns0:c>
      <ns0:c r="B320" s="10" t="inlineStr">
        <ns0:is>
          <ns0:t>a</ns0:t>
        </ns0:is>
      </ns0:c>
      <ns0:c r="C320" s="10" t="inlineStr">
        <ns0:is>
          <ns0:t>서도</ns0:t>
        </ns0:is>
      </ns0:c>
      <ns0:c r="D320" s="10" t="n">
        <ns0:v>1</ns0:v>
      </ns0:c>
      <ns0:c r="E320" s="10" t="inlineStr">
        <ns0:is>
          <ns0:t>주민숙소는 서도에 있는 생활 시설이에요.</ns0:t>
        </ns0:is>
      </ns0:c>
      <ns0:c r="F320" s="10" t="inlineStr">
        <ns0:is>
          <ns0:t>Seodo</ns0:t>
        </ns0:is>
      </ns0:c>
      <ns0:c r="G320" s="10" t="inlineStr">
        <ns0:is>
          <ns0:t>The accommodation is a residential facility on Seodo.</ns0:t>
        </ns0:is>
      </ns0:c>
    </ns0:row>
    <ns0:row r="321" ht="33" customHeight="1">
      <ns0:c r="A321" s="12" t="n">
        <ns0:v>920110</ns0:v>
      </ns0:c>
      <ns0:c r="B321" s="12" t="inlineStr">
        <ns0:is>
          <ns0:t>b</ns0:t>
        </ns0:is>
      </ns0:c>
      <ns0:c r="C321" s="12" t="inlineStr">
        <ns0:is>
          <ns0:t>배의 위치를 알리는 항해 표지</ns0:t>
        </ns0:is>
      </ns0:c>
      <ns0:c r="D321" s="12" t="n">
        <ns0:v>0</ns0:v>
      </ns0:c>
      <ns0:c r="E321" s="12" t="inlineStr">
        <ns0:is>
          <ns0:t>빛으로 배를 안내하는 것은 등대의 기능이에요.</ns0:t>
        </ns0:is>
      </ns0:c>
      <ns0:c r="F321" s="12" t="inlineStr">
        <ns0:is>
          <ns0:t>A navigational signal for vessels</ns0:t>
        </ns0:is>
      </ns0:c>
      <ns0:c r="G321" s="12" t="inlineStr">
        <ns0:is>
          <ns0:t>Light-based navigation is the lighthouse’s role.</ns0:t>
        </ns0:is>
      </ns0:c>
    </ns0:row>
    <ns0:row r="322" ht="33" customHeight="1">
      <ns0:c r="A322" s="10" t="n">
        <ns0:v>920110</ns0:v>
      </ns0:c>
      <ns0:c r="B322" s="10" t="inlineStr">
        <ns0:is>
          <ns0:t>c</ns0:t>
        </ns0:is>
      </ns0:c>
      <ns0:c r="C322" s="10" t="inlineStr">
        <ns0:is>
          <ns0:t>헬기 착륙 공간</ns0:t>
        </ns0:is>
      </ns0:c>
      <ns0:c r="D322" s="10" t="n">
        <ns0:v>0</ns0:v>
      </ns0:c>
      <ns0:c r="E322" s="10" t="inlineStr">
        <ns0:is>
          <ns0:t>헬기장은 착륙 시설이며 주민숙소와 다릅니다.</ns0:t>
        </ns0:is>
      </ns0:c>
      <ns0:c r="F322" s="10" t="inlineStr">
        <ns0:is>
          <ns0:t>A helicopter landing area</ns0:t>
        </ns0:is>
      </ns0:c>
      <ns0:c r="G322" s="10" t="inlineStr">
        <ns0:is>
          <ns0:t>A helipad is a landing facility, not residential accommodation.</ns0:t>
        </ns0:is>
      </ns0:c>
    </ns0:row>
    <ns0:row r="323" ht="33" customHeight="1">
      <ns0:c r="A323" s="12" t="n">
        <ns0:v>920110</ns0:v>
      </ns0:c>
      <ns0:c r="B323" s="12" t="inlineStr">
        <ns0:is>
          <ns0:t>a</ns0:t>
        </ns0:is>
      </ns0:c>
      <ns0:c r="C323" s="12" t="inlineStr">
        <ns0:is>
          <ns0:t>사람이 머무는 생활 공간</ns0:t>
        </ns0:is>
      </ns0:c>
      <ns0:c r="D323" s="12" t="n">
        <ns0:v>1</ns0:v>
      </ns0:c>
      <ns0:c r="E323" s="12" t="inlineStr">
        <ns0:is>
          <ns0:t>이름 그대로 독도에서 사람이 생활하는 공간으로 소개돼요.</ns0:t>
        </ns0:is>
      </ns0:c>
      <ns0:c r="F323" s="12" t="inlineStr">
        <ns0:is>
          <ns0:t>Living accommodation</ns0:t>
        </ns0:is>
      </ns0:c>
      <ns0:c r="G323" s="12" t="inlineStr">
        <ns0:is>
          <ns0:t>It is described as accommodation for people living on Dokdo.</ns0:t>
        </ns0:is>
      </ns0:c>
    </ns0:row>
    <ns0:row r="324" ht="33" customHeight="1">
      <ns0:c r="A324" s="10" t="n">
        <ns0:v>920111</ns0:v>
      </ns0:c>
      <ns0:c r="B324" s="10" t="inlineStr">
        <ns0:is>
          <ns0:t>a</ns0:t>
        </ns0:is>
      </ns0:c>
      <ns0:c r="C324" s="10" t="inlineStr">
        <ns0:is>
          <ns0:t>주민숙소</ns0:t>
        </ns0:is>
      </ns0:c>
      <ns0:c r="D324" s="10" t="n">
        <ns0:v>1</ns0:v>
      </ns0:c>
      <ns0:c r="E324" s="10" t="inlineStr">
        <ns0:is>
          <ns0:t>목록에서 주민숙소의 섬이 서도로 표시돼요.</ns0:t>
        </ns0:is>
      </ns0:c>
      <ns0:c r="F324" s="10" t="inlineStr">
        <ns0:is>
          <ns0:t>Residents’ accommodation</ns0:t>
        </ns0:is>
      </ns0:c>
      <ns0:c r="G324" s="10" t="inlineStr">
        <ns0:is>
          <ns0:t>The list places the accommodation on Seodo.</ns0:t>
        </ns0:is>
      </ns0:c>
    </ns0:row>
    <ns0:row r="325" ht="33" customHeight="1">
      <ns0:c r="A325" s="12" t="n">
        <ns0:v>920111</ns0:v>
      </ns0:c>
      <ns0:c r="B325" s="12" t="inlineStr">
        <ns0:is>
          <ns0:t>b</ns0:t>
        </ns0:is>
      </ns0:c>
      <ns0:c r="C325" s="12" t="inlineStr">
        <ns0:is>
          <ns0:t>독도등대</ns0:t>
        </ns0:is>
      </ns0:c>
      <ns0:c r="D325" s="12" t="n">
        <ns0:v>0</ns0:v>
      </ns0:c>
      <ns0:c r="E325" s="12" t="inlineStr">
        <ns0:is>
          <ns0:t>목록에서 등대는 동도 시설이에요.</ns0:t>
        </ns0:is>
      </ns0:c>
      <ns0:c r="F325" s="12" t="inlineStr">
        <ns0:is>
          <ns0:t>Dokdo Lighthouse</ns0:t>
        </ns0:is>
      </ns0:c>
      <ns0:c r="G325" s="12" t="inlineStr">
        <ns0:is>
          <ns0:t>The list places the lighthouse on Dongdo.</ns0:t>
        </ns0:is>
      </ns0:c>
    </ns0:row>
    <ns0:row r="326" ht="33" customHeight="1">
      <ns0:c r="A326" s="10" t="n">
        <ns0:v>920111</ns0:v>
      </ns0:c>
      <ns0:c r="B326" s="10" t="inlineStr">
        <ns0:is>
          <ns0:t>c</ns0:t>
        </ns0:is>
      </ns0:c>
      <ns0:c r="C326" s="10" t="inlineStr">
        <ns0:is>
          <ns0:t>독도경비대</ns0:t>
        </ns0:is>
      </ns0:c>
      <ns0:c r="D326" s="10" t="n">
        <ns0:v>0</ns0:v>
      </ns0:c>
      <ns0:c r="E326" s="10" t="inlineStr">
        <ns0:is>
          <ns0:t>목록에서 경비대는 동도 시설이에요.</ns0:t>
        </ns0:is>
      </ns0:c>
      <ns0:c r="F326" s="10" t="inlineStr">
        <ns0:is>
          <ns0:t>Dokdo guard facility</ns0:t>
        </ns0:is>
      </ns0:c>
      <ns0:c r="G326" s="10" t="inlineStr">
        <ns0:is>
          <ns0:t>The list places the guard facility on Dongdo.</ns0:t>
        </ns0:is>
      </ns0:c>
    </ns0:row>
    <ns0:row r="327" ht="33" customHeight="1">
      <ns0:c r="A327" s="12" t="n">
        <ns0:v>920112</ns0:v>
      </ns0:c>
      <ns0:c r="B327" s="12" t="inlineStr">
        <ns0:is>
          <ns0:t>b</ns0:t>
        </ns0:is>
      </ns0:c>
      <ns0:c r="C327" s="12" t="inlineStr">
        <ns0:is>
          <ns0:t>등대가 동도에 있다</ns0:t>
        </ns0:is>
      </ns0:c>
      <ns0:c r="D327" s="12" t="n">
        <ns0:v>0</ns0:v>
      </ns0:c>
      <ns0:c r="E327" s="12" t="inlineStr">
        <ns0:is>
          <ns0:t>동도 시설의 사례만으로는 ‘모두 동도’라는 주장을 고칠 수 없어요.</ns0:t>
        </ns0:is>
      </ns0:c>
      <ns0:c r="F327" s="12" t="inlineStr">
        <ns0:is>
          <ns0:t>The lighthouse is on Dongdo</ns0:t>
        </ns0:is>
      </ns0:c>
      <ns0:c r="G327" s="12" t="inlineStr">
        <ns0:is>
          <ns0:t>Another Dongdo example does not refute the universal claim.</ns0:t>
        </ns0:is>
      </ns0:c>
    </ns0:row>
    <ns0:row r="328" ht="33" customHeight="1">
      <ns0:c r="A328" s="10" t="n">
        <ns0:v>920112</ns0:v>
      </ns0:c>
      <ns0:c r="B328" s="10" t="inlineStr">
        <ns0:is>
          <ns0:t>a</ns0:t>
        </ns0:is>
      </ns0:c>
      <ns0:c r="C328" s="10" t="inlineStr">
        <ns0:is>
          <ns0:t>주민숙소가 서도에 있다</ns0:t>
        </ns0:is>
      </ns0:c>
      <ns0:c r="D328" s="10" t="n">
        <ns0:v>1</ns0:v>
      </ns0:c>
      <ns0:c r="E328" s="10" t="inlineStr">
        <ns0:is>
          <ns0:t>서도 생활 시설의 구체적인 사례가 있으므로 ‘모두 동도’라는 설명은 틀려요.</ns0:t>
        </ns0:is>
      </ns0:c>
      <ns0:c r="F328" s="10" t="inlineStr">
        <ns0:is>
          <ns0:t>The residents’ accommodation is on Seodo</ns0:t>
        </ns0:is>
      </ns0:c>
      <ns0:c r="G328" s="10" t="inlineStr">
        <ns0:is>
          <ns0:t>A residential facility on Seodo directly disproves the “all on Dongdo” claim.</ns0:t>
        </ns0:is>
      </ns0:c>
    </ns0:row>
    <ns0:row r="329" ht="33" customHeight="1">
      <ns0:c r="A329" s="12" t="n">
        <ns0:v>920112</ns0:v>
      </ns0:c>
      <ns0:c r="B329" s="12" t="inlineStr">
        <ns0:is>
          <ns0:t>c</ns0:t>
        </ns0:is>
      </ns0:c>
      <ns0:c r="C329" s="12" t="inlineStr">
        <ns0:is>
          <ns0:t>접안시설이 동도에 있다</ns0:t>
        </ns0:is>
      </ns0:c>
      <ns0:c r="D329" s="12" t="n">
        <ns0:v>0</ns0:v>
      </ns0:c>
      <ns0:c r="E329" s="12" t="inlineStr">
        <ns0:is>
          <ns0:t>이 사실도 동도 시설의 사례이므로 서도의 시설을 보여주지 못해요.</ns0:t>
        </ns0:is>
      </ns0:c>
      <ns0:c r="F329" s="12" t="inlineStr">
        <ns0:is>
          <ns0:t>The dock is on Dongdo</ns0:t>
        </ns0:is>
      </ns0:c>
      <ns0:c r="G329" s="12" t="inlineStr">
        <ns0:is>
          <ns0:t>This is another Dongdo example and does not identify a Seodo facility.</ns0:t>
        </ns0:is>
      </ns0:c>
    </ns0:row>
    <ns0:row r="330" ht="33" customHeight="1">
      <ns0:c r="A330" s="10" t="n">
        <ns0:v>920113</ns0:v>
      </ns0:c>
      <ns0:c r="B330" s="10" t="inlineStr">
        <ns0:is>
          <ns0:t>b</ns0:t>
        </ns0:is>
      </ns0:c>
      <ns0:c r="C330" s="10" t="inlineStr">
        <ns0:is>
          <ns0:t>등대</ns0:t>
        </ns0:is>
      </ns0:c>
      <ns0:c r="D330" s="10" t="n">
        <ns0:v>0</ns0:v>
      </ns0:c>
      <ns0:c r="E330" s="10" t="inlineStr">
        <ns0:is>
          <ns0:t>등대는 항해 표지이며 물 처리 시설이 아니에요.</ns0:t>
        </ns0:is>
      </ns0:c>
      <ns0:c r="F330" s="10" t="inlineStr">
        <ns0:is>
          <ns0:t>Lighthouse</ns0:t>
        </ns0:is>
      </ns0:c>
      <ns0:c r="G330" s="10" t="inlineStr">
        <ns0:is>
          <ns0:t>A lighthouse is a navigational aid, not water-treatment equipment.</ns0:t>
        </ns0:is>
      </ns0:c>
    </ns0:row>
    <ns0:row r="331" ht="33" customHeight="1">
      <ns0:c r="A331" s="12" t="n">
        <ns0:v>920113</ns0:v>
      </ns0:c>
      <ns0:c r="B331" s="12" t="inlineStr">
        <ns0:is>
          <ns0:t>c</ns0:t>
        </ns0:is>
      </ns0:c>
      <ns0:c r="C331" s="12" t="inlineStr">
        <ns0:is>
          <ns0:t>접안시설</ns0:t>
        </ns0:is>
      </ns0:c>
      <ns0:c r="D331" s="12" t="n">
        <ns0:v>0</ns0:v>
      </ns0:c>
      <ns0:c r="E331" s="12" t="inlineStr">
        <ns0:is>
          <ns0:t>접안시설은 배가 닿는 곳이며 담수를 만드는 설비와 달라요.</ns0:t>
        </ns0:is>
      </ns0:c>
      <ns0:c r="F331" s="12" t="inlineStr">
        <ns0:is>
          <ns0:t>Dock</ns0:t>
        </ns0:is>
      </ns0:c>
      <ns0:c r="G331" s="12" t="inlineStr">
        <ns0:is>
          <ns0:t>The dock provides a landing point, not fresh-water production.</ns0:t>
        </ns0:is>
      </ns0:c>
    </ns0:row>
    <ns0:row r="332" ht="33" customHeight="1">
      <ns0:c r="A332" s="10" t="n">
        <ns0:v>920113</ns0:v>
      </ns0:c>
      <ns0:c r="B332" s="10" t="inlineStr">
        <ns0:is>
          <ns0:t>a</ns0:t>
        </ns0:is>
      </ns0:c>
      <ns0:c r="C332" s="10" t="inlineStr">
        <ns0:is>
          <ns0:t>담수화 시설</ns0:t>
        </ns0:is>
      </ns0:c>
      <ns0:c r="D332" s="10" t="n">
        <ns0:v>1</ns0:v>
      </ns0:c>
      <ns0:c r="E332" s="10" t="inlineStr">
        <ns0:is>
          <ns0:t>담수화는 바닷물의 소금을 줄이는 처리예요.</ns0:t>
        </ns0:is>
      </ns0:c>
      <ns0:c r="F332" s="10" t="inlineStr">
        <ns0:is>
          <ns0:t>Desalination equipment</ns0:t>
        </ns0:is>
      </ns0:c>
      <ns0:c r="G332" s="10" t="inlineStr">
        <ns0:is>
          <ns0:t>Desalination removes salt from seawater.</ns0:t>
        </ns0:is>
      </ns0:c>
    </ns0:row>
    <ns0:row r="333" ht="33" customHeight="1">
      <ns0:c r="A333" s="12" t="n">
        <ns0:v>920114</ns0:v>
      </ns0:c>
      <ns0:c r="B333" s="12" t="inlineStr">
        <ns0:is>
          <ns0:t>a</ns0:t>
        </ns0:is>
      </ns0:c>
      <ns0:c r="C333" s="12" t="inlineStr">
        <ns0:is>
          <ns0:t>소금</ns0:t>
        </ns0:is>
      </ns0:c>
      <ns0:c r="D333" s="12" t="n">
        <ns0:v>1</ns0:v>
      </ns0:c>
      <ns0:c r="E333" s="12" t="inlineStr">
        <ns0:is>
          <ns0:t>바닷물에 녹아 있는 소금을 줄여 생활에 쓸 담수를 얻어요.</ns0:t>
        </ns0:is>
      </ns0:c>
      <ns0:c r="F333" s="12" t="inlineStr">
        <ns0:is>
          <ns0:t>Salt</ns0:t>
        </ns0:is>
      </ns0:c>
      <ns0:c r="G333" s="12" t="inlineStr">
        <ns0:is>
          <ns0:t>Dissolved salt is removed to obtain usable fresh water.</ns0:t>
        </ns0:is>
      </ns0:c>
    </ns0:row>
    <ns0:row r="334" ht="33" customHeight="1">
      <ns0:c r="A334" s="10" t="n">
        <ns0:v>920114</ns0:v>
      </ns0:c>
      <ns0:c r="B334" s="10" t="inlineStr">
        <ns0:is>
          <ns0:t>b</ns0:t>
        </ns0:is>
      </ns0:c>
      <ns0:c r="C334" s="10" t="inlineStr">
        <ns0:is>
          <ns0:t>물 자체</ns0:t>
        </ns0:is>
      </ns0:c>
      <ns0:c r="D334" s="10" t="n">
        <ns0:v>0</ns0:v>
      </ns0:c>
      <ns0:c r="E334" s="10" t="inlineStr">
        <ns0:is>
          <ns0:t>목표는 물을 없애는 것이 아니라 소금을 줄여 물을 얻는 것이에요.</ns0:t>
        </ns0:is>
      </ns0:c>
      <ns0:c r="F334" s="10" t="inlineStr">
        <ns0:is>
          <ns0:t>The water itself</ns0:t>
        </ns0:is>
      </ns0:c>
      <ns0:c r="G334" s="10" t="inlineStr">
        <ns0:is>
          <ns0:t>The aim is to retain water while reducing salt, not eliminate the water.</ns0:t>
        </ns0:is>
      </ns0:c>
    </ns0:row>
    <ns0:row r="335" ht="33" customHeight="1">
      <ns0:c r="A335" s="12" t="n">
        <ns0:v>920114</ns0:v>
      </ns0:c>
      <ns0:c r="B335" s="12" t="inlineStr">
        <ns0:is>
          <ns0:t>c</ns0:t>
        </ns0:is>
      </ns0:c>
      <ns0:c r="C335" s="12" t="inlineStr">
        <ns0:is>
          <ns0:t>모래만</ns0:t>
        </ns0:is>
      </ns0:c>
      <ns0:c r="D335" s="12" t="n">
        <ns0:v>0</ns0:v>
      </ns0:c>
      <ns0:c r="E335" s="12" t="inlineStr">
        <ns0:is>
          <ns0:t>모래를 걸러도 녹아 있는 소금이 그대로면 담수화가 된 것은 아니에요.</ns0:t>
        </ns0:is>
      </ns0:c>
      <ns0:c r="F335" s="12" t="inlineStr">
        <ns0:is>
          <ns0:t>Only sand</ns0:t>
        </ns0:is>
      </ns0:c>
      <ns0:c r="G335" s="12" t="inlineStr">
        <ns0:is>
          <ns0:t>Removing sand alone does not remove dissolved salt.</ns0:t>
        </ns0:is>
      </ns0:c>
    </ns0:row>
    <ns0:row r="336" ht="33" customHeight="1">
      <ns0:c r="A336" s="10" t="n">
        <ns0:v>920115</ns0:v>
      </ns0:c>
      <ns0:c r="B336" s="10" t="inlineStr">
        <ns0:is>
          <ns0:t>b</ns0:t>
        </ns0:is>
      </ns0:c>
      <ns0:c r="C336" s="10" t="inlineStr">
        <ns0:is>
          <ns0:t>담수화 시설 — 물골</ns0:t>
        </ns0:is>
      </ns0:c>
      <ns0:c r="D336" s="10" t="n">
        <ns0:v>0</ns0:v>
      </ns0:c>
      <ns0:c r="E336" s="10" t="inlineStr">
        <ns0:is>
          <ns0:t>질문은 자연 식수원을 먼저 물으므로 순서가 뒤바뀌었어요.</ns0:t>
        </ns0:is>
      </ns0:c>
      <ns0:c r="F336" s="10" t="inlineStr">
        <ns0:is>
          <ns0:t>Desalination equipment — Mulgol</ns0:t>
        </ns0:is>
      </ns0:c>
      <ns0:c r="G336" s="10" t="inlineStr">
        <ns0:is>
          <ns0:t>The requested order is natural source first; this reverses the pair.</ns0:t>
        </ns0:is>
      </ns0:c>
    </ns0:row>
    <ns0:row r="337" ht="33" customHeight="1">
      <ns0:c r="A337" s="12" t="n">
        <ns0:v>920115</ns0:v>
      </ns0:c>
      <ns0:c r="B337" s="12" t="inlineStr">
        <ns0:is>
          <ns0:t>a</ns0:t>
        </ns0:is>
      </ns0:c>
      <ns0:c r="C337" s="12" t="inlineStr">
        <ns0:is>
          <ns0:t>물골 — 담수화 시설</ns0:t>
        </ns0:is>
      </ns0:c>
      <ns0:c r="D337" s="12" t="n">
        <ns0:v>1</ns0:v>
      </ns0:c>
      <ns0:c r="E337" s="12" t="inlineStr">
        <ns0:is>
          <ns0:t>물골은 자연적으로 떨어지는 물을 얻던 곳이고 담수화 시설은 바닷물을 처리해요.</ns0:t>
        </ns0:is>
      </ns0:c>
      <ns0:c r="F337" s="12" t="inlineStr">
        <ns0:is>
          <ns0:t>Mulgol — desalination equipment</ns0:t>
        </ns0:is>
      </ns0:c>
      <ns0:c r="G337" s="12" t="inlineStr">
        <ns0:is>
          <ns0:t>Mulgol supplies naturally dripping water; desalination processes seawater.</ns0:t>
        </ns0:is>
      </ns0:c>
    </ns0:row>
    <ns0:row r="338" ht="33" customHeight="1">
      <ns0:c r="A338" s="10" t="n">
        <ns0:v>920115</ns0:v>
      </ns0:c>
      <ns0:c r="B338" s="10" t="inlineStr">
        <ns0:is>
          <ns0:t>c</ns0:t>
        </ns0:is>
      </ns0:c>
      <ns0:c r="C338" s="10" t="inlineStr">
        <ns0:is>
          <ns0:t>등대 — 접안시설</ns0:t>
        </ns0:is>
      </ns0:c>
      <ns0:c r="D338" s="10" t="n">
        <ns0:v>0</ns0:v>
      </ns0:c>
      <ns0:c r="E338" s="10" t="inlineStr">
        <ns0:is>
          <ns0:t>두 시설은 물 공급원이 아니라 항해·접안과 관련돼요.</ns0:t>
        </ns0:is>
      </ns0:c>
      <ns0:c r="F338" s="10" t="inlineStr">
        <ns0:is>
          <ns0:t>Lighthouse — dock</ns0:t>
        </ns0:is>
      </ns0:c>
      <ns0:c r="G338" s="10" t="inlineStr">
        <ns0:is>
          <ns0:t>These facilities concern navigation and docking, not water supply.</ns0:t>
        </ns0:is>
      </ns0:c>
    </ns0:row>
    <ns0:row r="339" ht="33" customHeight="1">
      <ns0:c r="A339" s="12" t="n">
        <ns0:v>920116</ns0:v>
      </ns0:c>
      <ns0:c r="B339" s="12" t="inlineStr">
        <ns0:is>
          <ns0:t>b</ns0:t>
        </ns0:is>
      </ns0:c>
      <ns0:c r="C339" s="12" t="inlineStr">
        <ns0:is>
          <ns0:t>네, 맑아 보이면 소금도 모두 사라져요</ns0:t>
        </ns0:is>
      </ns0:c>
      <ns0:c r="D339" s="12" t="n">
        <ns0:v>0</ns0:v>
      </ns0:c>
      <ns0:c r="E339" s="12" t="inlineStr">
        <ns0:is>
          <ns0:t>소금이 녹아 있어도 물은 맑아 보일 수 있어요.</ns0:t>
        </ns0:is>
      </ns0:c>
      <ns0:c r="F339" s="12" t="inlineStr">
        <ns0:is>
          <ns0:t>Yes; clear-looking water has lost all salt</ns0:t>
        </ns0:is>
      </ns0:c>
      <ns0:c r="G339" s="12" t="inlineStr">
        <ns0:is>
          <ns0:t>Water can look clear while still containing dissolved salt.</ns0:t>
        </ns0:is>
      </ns0:c>
    </ns0:row>
    <ns0:row r="340" ht="38" customHeight="1">
      <ns0:c r="A340" s="10" t="n">
        <ns0:v>920116</ns0:v>
      </ns0:c>
      <ns0:c r="B340" s="10" t="inlineStr">
        <ns0:is>
          <ns0:t>c</ns0:t>
        </ns0:is>
      </ns0:c>
      <ns0:c r="C340" s="10" t="inlineStr">
        <ns0:is>
          <ns0:t>네, 물을 차갑게 만들면 모두 담수가 돼요</ns0:t>
        </ns0:is>
      </ns0:c>
      <ns0:c r="D340" s="10" t="n">
        <ns0:v>0</ns0:v>
      </ns0:c>
      <ns0:c r="E340" s="10" t="inlineStr">
        <ns0:is>
          <ns0:t>단순히 온도를 낮추는 것은 소금을 제거하는 처리와 다릅니다.</ns0:t>
        </ns0:is>
      </ns0:c>
      <ns0:c r="F340" s="10" t="inlineStr">
        <ns0:is>
          <ns0:t>Yes; simply cooling it makes all the water fresh</ns0:t>
        </ns0:is>
      </ns0:c>
      <ns0:c r="G340" s="10" t="inlineStr">
        <ns0:is>
          <ns0:t>Simple cooling is not the same as removing salt.</ns0:t>
        </ns0:is>
      </ns0:c>
    </ns0:row>
    <ns0:row r="341" ht="33" customHeight="1">
      <ns0:c r="A341" s="12" t="n">
        <ns0:v>920116</ns0:v>
      </ns0:c>
      <ns0:c r="B341" s="12" t="inlineStr">
        <ns0:is>
          <ns0:t>a</ns0:t>
        </ns0:is>
      </ns0:c>
      <ns0:c r="C341" s="12" t="inlineStr">
        <ns0:is>
          <ns0:t>아니요, 녹아 있는 소금도 줄여야 해요</ns0:t>
        </ns0:is>
      </ns0:c>
      <ns0:c r="D341" s="12" t="n">
        <ns0:v>1</ns0:v>
      </ns0:c>
      <ns0:c r="E341" s="12" t="inlineStr">
        <ns0:is>
          <ns0:t>눈에 보이는 모래와 물속에 녹아 있는 염분은 다르므로 모래 제거만으로 담수화가 되지 않아요.</ns0:t>
        </ns0:is>
      </ns0:c>
      <ns0:c r="F341" s="12" t="inlineStr">
        <ns0:is>
          <ns0:t>No; dissolved salt must also be removed</ns0:t>
        </ns0:is>
      </ns0:c>
      <ns0:c r="G341" s="12" t="inlineStr">
        <ns0:is>
          <ns0:t>Visible sand and dissolved salt differ; removing sand alone is not desalination.</ns0:t>
        </ns0:is>
      </ns0:c>
    </ns0:row>
    <ns0:row r="342" ht="33" customHeight="1">
      <ns0:c r="A342" s="10" t="n">
        <ns0:v>920117</ns0:v>
      </ns0:c>
      <ns0:c r="B342" s="10" t="inlineStr">
        <ns0:is>
          <ns0:t>a</ns0:t>
        </ns0:is>
      </ns0:c>
      <ns0:c r="C342" s="10" t="inlineStr">
        <ns0:is>
          <ns0:t>계단과 길</ns0:t>
        </ns0:is>
      </ns0:c>
      <ns0:c r="D342" s="10" t="n">
        <ns0:v>1</ns0:v>
      </ns0:c>
      <ns0:c r="E342" s="10" t="inlineStr">
        <ns0:is>
          <ns0:t>동도 선착장에서 위쪽 시설로는 계단과 길을 따라 걸어 올라가요.</ns0:t>
        </ns0:is>
      </ns0:c>
      <ns0:c r="F342" s="10" t="inlineStr">
        <ns0:is>
          <ns0:t>Steps and paths</ns0:t>
        </ns0:is>
      </ns0:c>
      <ns0:c r="G342" s="10" t="inlineStr">
        <ns0:is>
          <ns0:t>Steps and paths lead uphill from Dongdo’s dock.</ns0:t>
        </ns0:is>
      </ns0:c>
    </ns0:row>
    <ns0:row r="343" ht="33" customHeight="1">
      <ns0:c r="A343" s="12" t="n">
        <ns0:v>920117</ns0:v>
      </ns0:c>
      <ns0:c r="B343" s="12" t="inlineStr">
        <ns0:is>
          <ns0:t>b</ns0:t>
        </ns0:is>
      </ns0:c>
      <ns0:c r="C343" s="12" t="inlineStr">
        <ns0:is>
          <ns0:t>화물 운반 케이블</ns0:t>
        </ns0:is>
      </ns0:c>
      <ns0:c r="D343" s="12" t="n">
        <ns0:v>0</ns0:v>
      </ns0:c>
      <ns0:c r="E343" s="12" t="inlineStr">
        <ns0:is>
          <ns0:t>케이블은 짐을 옮기는 시설이에요. 질문은 사람이 걸어가는 계단과 길을 물어요.</ns0:t>
        </ns0:is>
      </ns0:c>
      <ns0:c r="F343" s="12" t="inlineStr">
        <ns0:is>
          <ns0:t>Cargo cableway</ns0:t>
        </ns0:is>
      </ns0:c>
      <ns0:c r="G343" s="12" t="inlineStr">
        <ns0:is>
          <ns0:t>The cableway carries cargo. The question asks about the steps and paths used on foot.</ns0:t>
        </ns0:is>
      </ns0:c>
    </ns0:row>
    <ns0:row r="344" ht="33" customHeight="1">
      <ns0:c r="A344" s="10" t="n">
        <ns0:v>920117</ns0:v>
      </ns0:c>
      <ns0:c r="B344" s="10" t="inlineStr">
        <ns0:is>
          <ns0:t>c</ns0:t>
        </ns0:is>
      </ns0:c>
      <ns0:c r="C344" s="10" t="inlineStr">
        <ns0:is>
          <ns0:t>배가 다니는 항로</ns0:t>
        </ns0:is>
      </ns0:c>
      <ns0:c r="D344" s="10" t="n">
        <ns0:v>0</ns0:v>
      </ns0:c>
      <ns0:c r="E344" s="10" t="inlineStr">
        <ns0:is>
          <ns0:t>항로는 배가 바다에서 다니는 길이에요. 동도 안에서 걸어 올라가는 길은 계단과 길이에요.</ns0:t>
        </ns0:is>
      </ns0:c>
      <ns0:c r="F344" s="10" t="inlineStr">
        <ns0:is>
          <ns0:t>Vessel route</ns0:t>
        </ns0:is>
      </ns0:c>
      <ns0:c r="G344" s="10" t="inlineStr">
        <ns0:is>
          <ns0:t>A vessel route is in the sea. Walking uphill on Dongdo uses steps and paths.</ns0:t>
        </ns0:is>
      </ns0:c>
    </ns0:row>
    <ns0:row r="345" ht="33" customHeight="1">
      <ns0:c r="A345" s="12" t="n">
        <ns0:v>920118</ns0:v>
      </ns0:c>
      <ns0:c r="B345" s="12" t="inlineStr">
        <ns0:is>
          <ns0:t>b</ns0:t>
        </ns0:is>
      </ns0:c>
      <ns0:c r="C345" s="12" t="inlineStr">
        <ns0:is>
          <ns0:t>서도 주민숙소</ns0:t>
        </ns0:is>
      </ns0:c>
      <ns0:c r="D345" s="12" t="n">
        <ns0:v>0</ns0:v>
      </ns0:c>
      <ns0:c r="E345" s="12" t="inlineStr">
        <ns0:is>
          <ns0:t>주민숙소는 바다 건너 서도에 있어 동도 계단만으로 이어지지 않아요.</ns0:t>
        </ns0:is>
      </ns0:c>
      <ns0:c r="F345" s="12" t="inlineStr">
        <ns0:is>
          <ns0:t>Seodo’s residents’ accommodation</ns0:t>
        </ns0:is>
      </ns0:c>
      <ns0:c r="G345" s="12" t="inlineStr">
        <ns0:is>
          <ns0:t>The accommodation is across the water on Seodo, not reached by Dongdo’s steps alone.</ns0:t>
        </ns0:is>
      </ns0:c>
    </ns0:row>
    <ns0:row r="346" ht="33" customHeight="1">
      <ns0:c r="A346" s="10" t="n">
        <ns0:v>920118</ns0:v>
      </ns0:c>
      <ns0:c r="B346" s="10" t="inlineStr">
        <ns0:is>
          <ns0:t>a</ns0:t>
        </ns0:is>
      </ns0:c>
      <ns0:c r="C346" s="10" t="inlineStr">
        <ns0:is>
          <ns0:t>위쪽의 관리 시설</ns0:t>
        </ns0:is>
      </ns0:c>
      <ns0:c r="D346" s="10" t="n">
        <ns0:v>1</ns0:v>
      </ns0:c>
      <ns0:c r="E346" s="10" t="inlineStr">
        <ns0:is>
          <ns0:t>동도는 높낮이가 있어 선착장에서 상부 시설까지 올라가는 길이 필요해요.</ns0:t>
        </ns0:is>
      </ns0:c>
      <ns0:c r="F346" s="10" t="inlineStr">
        <ns0:is>
          <ns0:t>Facilities higher on the island</ns0:t>
        </ns0:is>
      </ns0:c>
      <ns0:c r="G346" s="10" t="inlineStr">
        <ns0:is>
          <ns0:t>Dongdo’s relief requires an uphill route from the dock to upper facilities.</ns0:t>
        </ns0:is>
      </ns0:c>
    </ns0:row>
    <ns0:row r="347" ht="33" customHeight="1">
      <ns0:c r="A347" s="12" t="n">
        <ns0:v>920118</ns0:v>
      </ns0:c>
      <ns0:c r="B347" s="12" t="inlineStr">
        <ns0:is>
          <ns0:t>c</ns0:t>
        </ns0:is>
      </ns0:c>
      <ns0:c r="C347" s="12" t="inlineStr">
        <ns0:is>
          <ns0:t>울릉도 항구</ns0:t>
        </ns0:is>
      </ns0:c>
      <ns0:c r="D347" s="12" t="n">
        <ns0:v>0</ns0:v>
      </ns0:c>
      <ns0:c r="E347" s="12" t="inlineStr">
        <ns0:is>
          <ns0:t>울릉도는 독도와 떨어진 다른 섬이므로 육상 계단으로 이어지지 않아요.</ns0:t>
        </ns0:is>
      </ns0:c>
      <ns0:c r="F347" s="12" t="inlineStr">
        <ns0:is>
          <ns0:t>A harbour on Ulleungdo</ns0:t>
        </ns0:is>
      </ns0:c>
      <ns0:c r="G347" s="12" t="inlineStr">
        <ns0:is>
          <ns0:t>Ulleungdo is a separate island, not connected by these steps.</ns0:t>
        </ns0:is>
      </ns0:c>
    </ns0:row>
    <ns0:row r="348" ht="33" customHeight="1">
      <ns0:c r="A348" s="10" t="n">
        <ns0:v>920119</ns0:v>
      </ns0:c>
      <ns0:c r="B348" s="10" t="inlineStr">
        <ns0:is>
          <ns0:t>b</ns0:t>
        </ns0:is>
      </ns0:c>
      <ns0:c r="C348" s="10" t="inlineStr">
        <ns0:is>
          <ns0:t>철도</ns0:t>
        </ns0:is>
      </ns0:c>
      <ns0:c r="D348" s="10" t="n">
        <ns0:v>0</ns0:v>
      </ns0:c>
      <ns0:c r="E348" s="10" t="inlineStr">
        <ns0:is>
          <ns0:t>자료에서 이 구간의 시설은 철도가 아니라 케이블카로 안내돼요.</ns0:t>
        </ns0:is>
      </ns0:c>
      <ns0:c r="F348" s="10" t="inlineStr">
        <ns0:is>
          <ns0:t>A railway</ns0:t>
        </ns0:is>
      </ns0:c>
      <ns0:c r="G348" s="10" t="inlineStr">
        <ns0:is>
          <ns0:t>The listed facility is a cable system, not a railway.</ns0:t>
        </ns0:is>
      </ns0:c>
    </ns0:row>
    <ns0:row r="349" ht="33" customHeight="1">
      <ns0:c r="A349" s="12" t="n">
        <ns0:v>920119</ns0:v>
      </ns0:c>
      <ns0:c r="B349" s="12" t="inlineStr">
        <ns0:is>
          <ns0:t>c</ns0:t>
        </ns0:is>
      </ns0:c>
      <ns0:c r="C349" s="12" t="inlineStr">
        <ns0:is>
          <ns0:t>서도까지의 교량</ns0:t>
        </ns0:is>
      </ns0:c>
      <ns0:c r="D349" s="12" t="n">
        <ns0:v>0</ns0:v>
      </ns0:c>
      <ns0:c r="E349" s="12" t="inlineStr">
        <ns0:is>
          <ns0:t>설명은 동도 안의 선착장과 경비대 구간이며 두 섬을 잇는 다리가 아니에요.</ns0:t>
        </ns0:is>
      </ns0:c>
      <ns0:c r="F349" s="12" t="inlineStr">
        <ns0:is>
          <ns0:t>A bridge to Seodo</ns0:t>
        </ns0:is>
      </ns0:c>
      <ns0:c r="G349" s="12" t="inlineStr">
        <ns0:is>
          <ns0:t>The described connection lies within Dongdo, not across to Seodo.</ns0:t>
        </ns0:is>
      </ns0:c>
    </ns0:row>
    <ns0:row r="350" ht="33" customHeight="1">
      <ns0:c r="A350" s="10" t="n">
        <ns0:v>920119</ns0:v>
      </ns0:c>
      <ns0:c r="B350" s="10" t="inlineStr">
        <ns0:is>
          <ns0:t>a</ns0:t>
        </ns0:is>
      </ns0:c>
      <ns0:c r="C350" s="10" t="inlineStr">
        <ns0:is>
          <ns0:t>케이블카</ns0:t>
        </ns0:is>
      </ns0:c>
      <ns0:c r="D350" s="10" t="n">
        <ns0:v>1</ns0:v>
      </ns0:c>
      <ns0:c r="E350" s="10" t="inlineStr">
        <ns0:is>
          <ns0:t>주요 시설 안내에는 선착장과 경비대 사이 케이블카가 나와요.</ns0:t>
        </ns0:is>
      </ns0:c>
      <ns0:c r="F350" s="10" t="inlineStr">
        <ns0:is>
          <ns0:t>A cable transport system</ns0:t>
        </ns0:is>
      </ns0:c>
      <ns0:c r="G350" s="10" t="inlineStr">
        <ns0:is>
          <ns0:t>The facilities account lists a cable system between the dock and guard facilities.</ns0:t>
        </ns0:is>
      </ns0:c>
    </ns0:row>
    <ns0:row r="351" ht="33" customHeight="1">
      <ns0:c r="A351" s="12" t="n">
        <ns0:v>920120</ns0:v>
      </ns0:c>
      <ns0:c r="B351" s="12" t="inlineStr">
        <ns0:is>
          <ns0:t>a</ns0:t>
        </ns0:is>
      </ns0:c>
      <ns0:c r="C351" s="12" t="inlineStr">
        <ns0:is>
          <ns0:t>계단과 굽은 길을 따라 잰 거리</ns0:t>
        </ns0:is>
      </ns0:c>
      <ns0:c r="D351" s="12" t="n">
        <ns0:v>1</ns0:v>
      </ns0:c>
      <ns0:c r="E351" s="12" t="inlineStr">
        <ns0:is>
          <ns0:t>실제 이동은 길을 따라가므로 출발점과 끝점을 잇는 직선만 재면 부족해요.</ns0:t>
        </ns0:is>
      </ns0:c>
      <ns0:c r="F351" s="12" t="inlineStr">
        <ns0:is>
          <ns0:t>Distance along the steps and bends of the path</ns0:t>
        </ns0:is>
      </ns0:c>
      <ns0:c r="G351" s="12" t="inlineStr">
        <ns0:is>
          <ns0:t>Walking follows the route, so a straight-line separation is insufficient.</ns0:t>
        </ns0:is>
      </ns0:c>
    </ns0:row>
    <ns0:row r="352" ht="38" customHeight="1">
      <ns0:c r="A352" s="10" t="n">
        <ns0:v>920120</ns0:v>
      </ns0:c>
      <ns0:c r="B352" s="10" t="inlineStr">
        <ns0:is>
          <ns0:t>b</ns0:t>
        </ns0:is>
      </ns0:c>
      <ns0:c r="C352" s="10" t="inlineStr">
        <ns0:is>
          <ns0:t>사진 위 두 점의 직선만</ns0:t>
        </ns0:is>
      </ns0:c>
      <ns0:c r="D352" s="10" t="n">
        <ns0:v>0</ns0:v>
      </ns0:c>
      <ns0:c r="E352" s="10" t="inlineStr">
        <ns0:is>
          <ns0:t>직선은 길의 굽음과 높낮이를 반영하지 못할 수 있어요.</ns0:t>
        </ns0:is>
      </ns0:c>
      <ns0:c r="F352" s="10" t="inlineStr">
        <ns0:is>
          <ns0:t>Only the straight line between two points in a photo</ns0:t>
        </ns0:is>
      </ns0:c>
      <ns0:c r="G352" s="10" t="inlineStr">
        <ns0:is>
          <ns0:t>A straight line may omit bends and changes in elevation.</ns0:t>
        </ns0:is>
      </ns0:c>
    </ns0:row>
    <ns0:row r="353" ht="33" customHeight="1">
      <ns0:c r="A353" s="12" t="n">
        <ns0:v>920120</ns0:v>
      </ns0:c>
      <ns0:c r="B353" s="12" t="inlineStr">
        <ns0:is>
          <ns0:t>c</ns0:t>
        </ns0:is>
      </ns0:c>
      <ns0:c r="C353" s="12" t="inlineStr">
        <ns0:is>
          <ns0:t>동도 전체 해안선 길이</ns0:t>
        </ns0:is>
      </ns0:c>
      <ns0:c r="D353" s="12" t="n">
        <ns0:v>0</ns0:v>
      </ns0:c>
      <ns0:c r="E353" s="12" t="inlineStr">
        <ns0:is>
          <ns0:t>해안선 둘레는 선착장부터 상부 시설까지의 길과 다른 거리예요.</ns0:t>
        </ns0:is>
      </ns0:c>
      <ns0:c r="F353" s="12" t="inlineStr">
        <ns0:is>
          <ns0:t>Dongdo’s entire coastal perimeter</ns0:t>
        </ns0:is>
      </ns0:c>
      <ns0:c r="G353" s="12" t="inlineStr">
        <ns0:is>
          <ns0:t>The coastline perimeter measures a different route.</ns0:t>
        </ns0:is>
      </ns0:c>
    </ns0:row>
    <ns0:row r="354" ht="33" customHeight="1">
      <ns0:c r="A354" s="10" t="n">
        <ns0:v>920121</ns0:v>
      </ns0:c>
      <ns0:c r="B354" s="10" t="inlineStr">
        <ns0:is>
          <ns0:t>b</ns0:t>
        </ns0:is>
      </ns0:c>
      <ns0:c r="C354" s="10" t="inlineStr">
        <ns0:is>
          <ns0:t>대한제국 칙령 제41호</ns0:t>
        </ns0:is>
      </ns0:c>
      <ns0:c r="D354" s="10" t="n">
        <ns0:v>0</ns0:v>
      </ns0:c>
      <ns0:c r="E354" s="10" t="inlineStr">
        <ns0:is>
          <ns0:t>칙령 제41호는 1900년의 행정 명령으로 질문의 조선 지리지와 달라요.</ns0:t>
        </ns0:is>
      </ns0:c>
      <ns0:c r="F354" s="10" t="inlineStr">
        <ns0:is>
          <ns0:t>Korean Empire Decree No. 41</ns0:t>
        </ns0:is>
      </ns0:c>
      <ns0:c r="G354" s="10" t="inlineStr">
        <ns0:is>
          <ns0:t>The decree is an administrative order from 1900, not the Joseon geographical text.</ns0:t>
        </ns0:is>
      </ns0:c>
    </ns0:row>
    <ns0:row r="355" ht="38" customHeight="1">
      <ns0:c r="A355" s="12" t="n">
        <ns0:v>920121</ns0:v>
      </ns0:c>
      <ns0:c r="B355" s="12" t="inlineStr">
        <ns0:is>
          <ns0:t>a</ns0:t>
        </ns0:is>
      </ns0:c>
      <ns0:c r="C355" s="12" t="inlineStr">
        <ns0:is>
          <ns0:t>『세종실록』 지리지</ns0:t>
        </ns0:is>
      </ns0:c>
      <ns0:c r="D355" s="12" t="n">
        <ns0:v>1</ns0:v>
      </ns0:c>
      <ns0:c r="E355" s="12" t="inlineStr">
        <ns0:is>
          <ns0:t>이 기록은 조선의 지역 정보를 설명하며 우산·무릉 두 섬을 적고 있어요.</ns0:t>
        </ns0:is>
      </ns0:c>
      <ns0:c r="F355" s="12" t="inlineStr">
        <ns0:is>
          <ns0:t>The geographical appendix to the Annals of Sejong</ns0:t>
        </ns0:is>
      </ns0:c>
      <ns0:c r="G355" s="12" t="inlineStr">
        <ns0:is>
          <ns0:t>This geographical record of Joseon includes the two islands Usan and Mureung.</ns0:t>
        </ns0:is>
      </ns0:c>
    </ns0:row>
    <ns0:row r="356" ht="33" customHeight="1">
      <ns0:c r="A356" s="10" t="n">
        <ns0:v>920121</ns0:v>
      </ns0:c>
      <ns0:c r="B356" s="10" t="inlineStr">
        <ns0:is>
          <ns0:t>c</ns0:t>
        </ns0:is>
      </ns0:c>
      <ns0:c r="C356" s="10" t="inlineStr">
        <ns0:is>
          <ns0:t>일본 태정관지령</ns0:t>
        </ns0:is>
      </ns0:c>
      <ns0:c r="D356" s="10" t="n">
        <ns0:v>0</ns0:v>
      </ns0:c>
      <ns0:c r="E356" s="10" t="inlineStr">
        <ns0:is>
          <ns0:t>태정관지령은 1877년 일본의 행정 문서예요.</ns0:t>
        </ns0:is>
      </ns0:c>
      <ns0:c r="F356" s="10" t="inlineStr">
        <ns0:is>
          <ns0:t>Japan’s Dajokan directive</ns0:t>
        </ns0:is>
      </ns0:c>
      <ns0:c r="G356" s="10" t="inlineStr">
        <ns0:is>
          <ns0:t>The Dajokan directive is a Japanese administrative document from 1877.</ns0:t>
        </ns0:is>
      </ns0:c>
    </ns0:row>
    <ns0:row r="357" ht="33" customHeight="1">
      <ns0:c r="A357" s="12" t="n">
        <ns0:v>920122</ns0:v>
      </ns0:c>
      <ns0:c r="B357" s="12" t="inlineStr">
        <ns0:is>
          <ns0:t>b</ns0:t>
        </ns0:is>
      </ns0:c>
      <ns0:c r="C357" s="12" t="inlineStr">
        <ns0:is>
          <ns0:t>독도</ns0:t>
        </ns0:is>
      </ns0:c>
      <ns0:c r="D357" s="12" t="n">
        <ns0:v>0</ns0:v>
      </ns0:c>
      <ns0:c r="E357" s="12" t="inlineStr">
        <ns0:is>
          <ns0:t>해설에서 독도로 풀이하는 이름은 우산이에요.</ns0:t>
        </ns0:is>
      </ns0:c>
      <ns0:c r="F357" s="12" t="inlineStr">
        <ns0:is>
          <ns0:t>Dokdo</ns0:t>
        </ns0:is>
      </ns0:c>
      <ns0:c r="G357" s="12" t="inlineStr">
        <ns0:is>
          <ns0:t>Usan, rather than Mureung, is identified as Dokdo.</ns0:t>
        </ns0:is>
      </ns0:c>
    </ns0:row>
    <ns0:row r="358" ht="33" customHeight="1">
      <ns0:c r="A358" s="10" t="n">
        <ns0:v>920122</ns0:v>
      </ns0:c>
      <ns0:c r="B358" s="10" t="inlineStr">
        <ns0:is>
          <ns0:t>c</ns0:t>
        </ns0:is>
      </ns0:c>
      <ns0:c r="C358" s="10" t="inlineStr">
        <ns0:is>
          <ns0:t>제주도</ns0:t>
        </ns0:is>
      </ns0:c>
      <ns0:c r="D358" s="10" t="n">
        <ns0:v>0</ns0:v>
      </ns0:c>
      <ns0:c r="E358" s="10" t="inlineStr">
        <ns0:is>
          <ns0:t>이 기록의 두 섬에 관한 지명 해설은 독도와 울릉도를 대상으로 해요.</ns0:t>
        </ns0:is>
      </ns0:c>
      <ns0:c r="F358" s="10" t="inlineStr">
        <ns0:is>
          <ns0:t>Jeju Island</ns0:t>
        </ns0:is>
      </ns0:c>
      <ns0:c r="G358" s="10" t="inlineStr">
        <ns0:is>
          <ns0:t>The supplied identification concerns Dokdo and Ulleungdo, not Jeju.</ns0:t>
        </ns0:is>
      </ns0:c>
    </ns0:row>
    <ns0:row r="359" ht="33" customHeight="1">
      <ns0:c r="A359" s="12" t="n">
        <ns0:v>920122</ns0:v>
      </ns0:c>
      <ns0:c r="B359" s="12" t="inlineStr">
        <ns0:is>
          <ns0:t>a</ns0:t>
        </ns0:is>
      </ns0:c>
      <ns0:c r="C359" s="12" t="inlineStr">
        <ns0:is>
          <ns0:t>울릉도</ns0:t>
        </ns0:is>
      </ns0:c>
      <ns0:c r="D359" s="12" t="n">
        <ns0:v>1</ns0:v>
      </ns0:c>
      <ns0:c r="E359" s="12" t="inlineStr">
        <ns0:is>
          <ns0:t>지명 해설에서는 무릉을 울릉도, 우산을 독도로 풀이해요.</ns0:t>
        </ns0:is>
      </ns0:c>
      <ns0:c r="F359" s="12" t="inlineStr">
        <ns0:is>
          <ns0:t>Ulleungdo</ns0:t>
        </ns0:is>
      </ns0:c>
      <ns0:c r="G359" s="12" t="inlineStr">
        <ns0:is>
          <ns0:t>The commentary identifies Mureung with Ulleungdo and Usan with Dokdo.</ns0:t>
        </ns0:is>
      </ns0:c>
    </ns0:row>
    <ns0:row r="360" ht="33" customHeight="1">
      <ns0:c r="A360" s="10" t="n">
        <ns0:v>920123</ns0:v>
      </ns0:c>
      <ns0:c r="B360" s="10" t="inlineStr">
        <ns0:is>
          <ns0:t>a</ns0:t>
        </ns0:is>
      </ns0:c>
      <ns0:c r="C360" s="10" t="inlineStr">
        <ns0:is>
          <ns0:t>날씨가 맑을 때</ns0:t>
        </ns0:is>
      </ns0:c>
      <ns0:c r="D360" s="10" t="n">
        <ns0:v>1</ns0:v>
      </ns0:c>
      <ns0:c r="E360" s="10" t="inlineStr">
        <ns0:is>
          <ns0:t>역문의 ‘풍일이 청명하면’은 날씨가 맑을 때라는 뜻이에요.</ns0:t>
        </ns0:is>
      </ns0:c>
      <ns0:c r="F360" s="10" t="inlineStr">
        <ns0:is>
          <ns0:t>In clear weather</ns0:t>
        </ns0:is>
      </ns0:c>
      <ns0:c r="G360" s="10" t="inlineStr">
        <ns0:is>
          <ns0:t>The translated expression refers to clear weather.</ns0:t>
        </ns0:is>
      </ns0:c>
    </ns0:row>
    <ns0:row r="361" ht="33" customHeight="1">
      <ns0:c r="A361" s="12" t="n">
        <ns0:v>920123</ns0:v>
      </ns0:c>
      <ns0:c r="B361" s="12" t="inlineStr">
        <ns0:is>
          <ns0:t>b</ns0:t>
        </ns0:is>
      </ns0:c>
      <ns0:c r="C361" s="12" t="inlineStr">
        <ns0:is>
          <ns0:t>안개가 짙을 때</ns0:t>
        </ns0:is>
      </ns0:c>
      <ns0:c r="D361" s="12" t="n">
        <ns0:v>0</ns0:v>
      </ns0:c>
      <ns0:c r="E361" s="12" t="inlineStr">
        <ns0:is>
          <ns0:t>짙은 안개가 아니라 맑은 날을 가시성 조건으로 적었어요.</ns0:t>
        </ns0:is>
      </ns0:c>
      <ns0:c r="F361" s="12" t="inlineStr">
        <ns0:is>
          <ns0:t>In dense fog</ns0:t>
        </ns0:is>
      </ns0:c>
      <ns0:c r="G361" s="12" t="inlineStr">
        <ns0:is>
          <ns0:t>The text specifies clear conditions, not dense fog.</ns0:t>
        </ns0:is>
      </ns0:c>
    </ns0:row>
    <ns0:row r="362" ht="33" customHeight="1">
      <ns0:c r="A362" s="10" t="n">
        <ns0:v>920123</ns0:v>
      </ns0:c>
      <ns0:c r="B362" s="10" t="inlineStr">
        <ns0:is>
          <ns0:t>c</ns0:t>
        </ns0:is>
      </ns0:c>
      <ns0:c r="C362" s="10" t="inlineStr">
        <ns0:is>
          <ns0:t>밤이면 언제나</ns0:t>
        </ns0:is>
      </ns0:c>
      <ns0:c r="D362" s="10" t="n">
        <ns0:v>0</ns0:v>
      </ns0:c>
      <ns0:c r="E362" s="10" t="inlineStr">
        <ns0:is>
          <ns0:t>제시된 기록은 매일 밤을 말하지 않고 날씨 조건을 말해요.</ns0:t>
        </ns0:is>
      </ns0:c>
      <ns0:c r="F362" s="10" t="inlineStr">
        <ns0:is>
          <ns0:t>Every night regardless of conditions</ns0:t>
        </ns0:is>
      </ns0:c>
      <ns0:c r="G362" s="10" t="inlineStr">
        <ns0:is>
          <ns0:t>The passage gives a weather condition, not an every-night rule.</ns0:t>
        </ns0:is>
      </ns0:c>
    </ns0:row>
    <ns0:row r="363" ht="33" customHeight="1">
      <ns0:c r="A363" s="12" t="n">
        <ns0:v>920124</ns0:v>
      </ns0:c>
      <ns0:c r="B363" s="12" t="inlineStr">
        <ns0:is>
          <ns0:t>b</ns0:t>
        </ns0:is>
      </ns0:c>
      <ns0:c r="C363" s="12" t="inlineStr">
        <ns0:is>
          <ns0:t>울릉도·독도</ns0:t>
        </ns0:is>
      </ns0:c>
      <ns0:c r="D363" s="12" t="n">
        <ns0:v>0</ns0:v>
      </ns0:c>
      <ns0:c r="E363" s="12" t="inlineStr">
        <ns0:is>
          <ns0:t>두 지명의 순서를 뒤바꿨어요.</ns0:t>
        </ns0:is>
      </ns0:c>
      <ns0:c r="F363" s="12" t="inlineStr">
        <ns0:is>
          <ns0:t>Ulleungdo–Dokdo</ns0:t>
        </ns0:is>
      </ns0:c>
      <ns0:c r="G363" s="12" t="inlineStr">
        <ns0:is>
          <ns0:t>The two identifications have been reversed.</ns0:t>
        </ns0:is>
      </ns0:c>
    </ns0:row>
    <ns0:row r="364" ht="33" customHeight="1">
      <ns0:c r="A364" s="10" t="n">
        <ns0:v>920124</ns0:v>
      </ns0:c>
      <ns0:c r="B364" s="10" t="inlineStr">
        <ns0:is>
          <ns0:t>a</ns0:t>
        </ns0:is>
      </ns0:c>
      <ns0:c r="C364" s="10" t="inlineStr">
        <ns0:is>
          <ns0:t>독도·울릉도</ns0:t>
        </ns0:is>
      </ns0:c>
      <ns0:c r="D364" s="10" t="n">
        <ns0:v>1</ns0:v>
      </ns0:c>
      <ns0:c r="E364" s="10" t="inlineStr">
        <ns0:is>
          <ns0:t>대응표에서 우산은 독도, 무릉은 울릉도이므로 이 순서예요.</ns0:t>
        </ns0:is>
      </ns0:c>
      <ns0:c r="F364" s="10" t="inlineStr">
        <ns0:is>
          <ns0:t>Dokdo–Ulleungdo</ns0:t>
        </ns0:is>
      </ns0:c>
      <ns0:c r="G364" s="10" t="inlineStr">
        <ns0:is>
          <ns0:t>The key pairs Usan with Dokdo and Mureung with Ulleungdo.</ns0:t>
        </ns0:is>
      </ns0:c>
    </ns0:row>
    <ns0:row r="365" ht="33" customHeight="1">
      <ns0:c r="A365" s="12" t="n">
        <ns0:v>920124</ns0:v>
      </ns0:c>
      <ns0:c r="B365" s="12" t="inlineStr">
        <ns0:is>
          <ns0:t>c</ns0:t>
        </ns0:is>
      </ns0:c>
      <ns0:c r="C365" s="12" t="inlineStr">
        <ns0:is>
          <ns0:t>독도·죽도</ns0:t>
        </ns0:is>
      </ns0:c>
      <ns0:c r="D365" s="12" t="n">
        <ns0:v>0</ns0:v>
      </ns0:c>
      <ns0:c r="E365" s="12" t="inlineStr">
        <ns0:is>
          <ns0:t>무릉은 이 해설에서 죽도가 아니라 울릉도로 풀이돼요.</ns0:t>
        </ns0:is>
      </ns0:c>
      <ns0:c r="F365" s="12" t="inlineStr">
        <ns0:is>
          <ns0:t>Dokdo–Jukdo</ns0:t>
        </ns0:is>
      </ns0:c>
      <ns0:c r="G365" s="12" t="inlineStr">
        <ns0:is>
          <ns0:t>Mureung is identified as Ulleungdo, not Jukdo, in this commentary.</ns0:t>
        </ns0:is>
      </ns0:c>
    </ns0:row>
    <ns0:row r="366" ht="33" customHeight="1">
      <ns0:c r="A366" s="10" t="n">
        <ns0:v>920125</ns0:v>
      </ns0:c>
      <ns0:c r="B366" s="10" t="inlineStr">
        <ns0:is>
          <ns0:t>b</ns0:t>
        </ns0:is>
      </ns0:c>
      <ns0:c r="C366" s="10" t="inlineStr">
        <ns0:is>
          <ns0:t>에도 시대 일본</ns0:t>
        </ns0:is>
      </ns0:c>
      <ns0:c r="D366" s="10" t="n">
        <ns0:v>0</ns0:v>
      </ns0:c>
      <ns0:c r="E366" s="10" t="inlineStr">
        <ns0:is>
          <ns0:t>에도 막부의 명령과 조선의 『세종실록』 지리지는 다른 나라의 자료예요.</ns0:t>
        </ns0:is>
      </ns0:c>
      <ns0:c r="F366" s="10" t="inlineStr">
        <ns0:is>
          <ns0:t>Edo-period Japan</ns0:t>
        </ns0:is>
      </ns0:c>
      <ns0:c r="G366" s="10" t="inlineStr">
        <ns0:is>
          <ns0:t>Edo shogunate orders and the Joseon geographical record have different origins.</ns0:t>
        </ns0:is>
      </ns0:c>
    </ns0:row>
    <ns0:row r="367" ht="33" customHeight="1">
      <ns0:c r="A367" s="12" t="n">
        <ns0:v>920125</ns0:v>
      </ns0:c>
      <ns0:c r="B367" s="12" t="inlineStr">
        <ns0:is>
          <ns0:t>c</ns0:t>
        </ns0:is>
      </ns0:c>
      <ns0:c r="C367" s="12" t="inlineStr">
        <ns0:is>
          <ns0:t>대한제국</ns0:t>
        </ns0:is>
      </ns0:c>
      <ns0:c r="D367" s="12" t="n">
        <ns0:v>0</ns0:v>
      </ns0:c>
      <ns0:c r="E367" s="12" t="inlineStr">
        <ns0:is>
          <ns0:t>대한제국은 훨씬 뒤의 국가 체제이며 이 지리지는 조선 기록이에요.</ns0:t>
        </ns0:is>
      </ns0:c>
      <ns0:c r="F367" s="12" t="inlineStr">
        <ns0:is>
          <ns0:t>The Korean Empire</ns0:t>
        </ns0:is>
      </ns0:c>
      <ns0:c r="G367" s="12" t="inlineStr">
        <ns0:is>
          <ns0:t>The Korean Empire came much later; this text is from Joseon.</ns0:t>
        </ns0:is>
      </ns0:c>
    </ns0:row>
    <ns0:row r="368" ht="33" customHeight="1">
      <ns0:c r="A368" s="10" t="n">
        <ns0:v>920125</ns0:v>
      </ns0:c>
      <ns0:c r="B368" s="10" t="inlineStr">
        <ns0:is>
          <ns0:t>a</ns0:t>
        </ns0:is>
      </ns0:c>
      <ns0:c r="C368" s="10" t="inlineStr">
        <ns0:is>
          <ns0:t>조선</ns0:t>
        </ns0:is>
      </ns0:c>
      <ns0:c r="D368" s="10" t="n">
        <ns0:v>1</ns0:v>
      </ns0:c>
      <ns0:c r="E368" s="10" t="inlineStr">
        <ns0:is>
          <ns0:t>『세종실록』은 조선의 왕과 시대를 기록한 실록이고 지리지도 그 기록에 포함돼요.</ns0:t>
        </ns0:is>
      </ns0:c>
      <ns0:c r="F368" s="10" t="inlineStr">
        <ns0:is>
          <ns0:t>Joseon</ns0:t>
        </ns0:is>
      </ns0:c>
      <ns0:c r="G368" s="10" t="inlineStr">
        <ns0:is>
          <ns0:t>The Annals of Sejong are Joseon records, including the geographical appendix.</ns0:t>
        </ns0:is>
      </ns0:c>
    </ns0:row>
    <ns0:row r="369" ht="33" customHeight="1">
      <ns0:c r="A369" s="12" t="n">
        <ns0:v>920126</ns0:v>
      </ns0:c>
      <ns0:c r="B369" s="12" t="inlineStr">
        <ns0:is>
          <ns0:t>a</ns0:t>
        </ns0:is>
      </ns0:c>
      <ns0:c r="C369" s="12" t="inlineStr">
        <ns0:is>
          <ns0:t>지역과 지리 정보</ns0:t>
        </ns0:is>
      </ns0:c>
      <ns0:c r="D369" s="12" t="n">
        <ns0:v>1</ns0:v>
      </ns0:c>
      <ns0:c r="E369" s="12" t="inlineStr">
        <ns0:is>
          <ns0:t>지리지는 지역의 위치와 산·강·섬 등 지리 정보를 설명해요.</ns0:t>
        </ns0:is>
      </ns0:c>
      <ns0:c r="F369" s="12" t="inlineStr">
        <ns0:is>
          <ns0:t>Regions and geographical information</ns0:t>
        </ns0:is>
      </ns0:c>
      <ns0:c r="G369" s="12" t="inlineStr">
        <ns0:is>
          <ns0:t>A geographical record describes places and features such as mountains, rivers and islands.</ns0:t>
        </ns0:is>
      </ns0:c>
    </ns0:row>
    <ns0:row r="370" ht="33" customHeight="1">
      <ns0:c r="A370" s="10" t="n">
        <ns0:v>920126</ns0:v>
      </ns0:c>
      <ns0:c r="B370" s="10" t="inlineStr">
        <ns0:is>
          <ns0:t>b</ns0:t>
        </ns0:is>
      </ns0:c>
      <ns0:c r="C370" s="10" t="inlineStr">
        <ns0:is>
          <ns0:t>배가 따를 항해 금지 명령만</ns0:t>
        </ns0:is>
      </ns0:c>
      <ns0:c r="D370" s="10" t="n">
        <ns0:v>0</ns0:v>
      </ns0:c>
      <ns0:c r="E370" s="10" t="inlineStr">
        <ns0:is>
          <ns0:t>지리지는 항해 금지 명령 하나가 아니라 여러 지역 정보를 담은 기록이에요.</ns0:t>
        </ns0:is>
      </ns0:c>
      <ns0:c r="F370" s="10" t="inlineStr">
        <ns0:is>
          <ns0:t>Only prohibitions on sea voyages</ns0:t>
        </ns0:is>
      </ns0:c>
      <ns0:c r="G370" s="10" t="inlineStr">
        <ns0:is>
          <ns0:t>The appendix is a regional account, not a single voyage prohibition.</ns0:t>
        </ns0:is>
      </ns0:c>
    </ns0:row>
    <ns0:row r="371" ht="33" customHeight="1">
      <ns0:c r="A371" s="12" t="n">
        <ns0:v>920126</ns0:v>
      </ns0:c>
      <ns0:c r="B371" s="12" t="inlineStr">
        <ns0:is>
          <ns0:t>c</ns0:t>
        </ns0:is>
      </ns0:c>
      <ns0:c r="C371" s="12" t="inlineStr">
        <ns0:is>
          <ns0:t>1900년 행정 개편 명령</ns0:t>
        </ns0:is>
      </ns0:c>
      <ns0:c r="D371" s="12" t="n">
        <ns0:v>0</ns0:v>
      </ns0:c>
      <ns0:c r="E371" s="12" t="inlineStr">
        <ns0:is>
          <ns0:t>1900년의 행정 개편은 대한제국 칙령 제41호와 관련돼요.</ns0:t>
        </ns0:is>
      </ns0:c>
      <ns0:c r="F371" s="12" t="inlineStr">
        <ns0:is>
          <ns0:t>An administrative reform order from 1900</ns0:t>
        </ns0:is>
      </ns0:c>
      <ns0:c r="G371" s="12" t="inlineStr">
        <ns0:is>
          <ns0:t>The 1900 reorganisation concerns Korean Empire Decree No. 41.</ns0:t>
        </ns0:is>
      </ns0:c>
    </ns0:row>
    <ns0:row r="372" ht="33" customHeight="1">
      <ns0:c r="A372" s="10" t="n">
        <ns0:v>920127</ns0:v>
      </ns0:c>
      <ns0:c r="B372" s="10" t="inlineStr">
        <ns0:is>
          <ns0:t>b</ns0:t>
        </ns0:is>
      </ns0:c>
      <ns0:c r="C372" s="10" t="inlineStr">
        <ns0:is>
          <ns0:t>1900년 칙령이 이때 발표되었다</ns0:t>
        </ns0:is>
      </ns0:c>
      <ns0:c r="D372" s="10" t="n">
        <ns0:v>0</ns0:v>
      </ns0:c>
      <ns0:c r="E372" s="10" t="inlineStr">
        <ns0:is>
          <ns0:t>『세종실록』 지리지와 1900년 칙령은 서로 다른 시대의 자료예요.</ns0:t>
        </ns0:is>
      </ns0:c>
      <ns0:c r="F372" s="10" t="inlineStr">
        <ns0:is>
          <ns0:t>The 1900 decree was issued at that time</ns0:t>
        </ns0:is>
      </ns0:c>
      <ns0:c r="G372" s="10" t="inlineStr">
        <ns0:is>
          <ns0:t>The geographical record and the 1900 decree belong to different periods.</ns0:t>
        </ns0:is>
      </ns0:c>
    </ns0:row>
    <ns0:row r="373" ht="38" customHeight="1">
      <ns0:c r="A373" s="12" t="n">
        <ns0:v>920127</ns0:v>
      </ns0:c>
      <ns0:c r="B373" s="12" t="inlineStr">
        <ns0:is>
          <ns0:t>a</ns0:t>
        </ns0:is>
      </ns0:c>
      <ns0:c r="C373" s="12" t="inlineStr">
        <ns0:is>
          <ns0:t>조선의 지리 기록에 우산·무릉이 등장한다</ns0:t>
        </ns0:is>
      </ns0:c>
      <ns0:c r="D373" s="12" t="n">
        <ns0:v>1</ns0:v>
      </ns0:c>
      <ns0:c r="E373" s="12" t="inlineStr">
        <ns0:is>
          <ns0:t>두 이름이 적혀 있다는 것은 제시된 원자료에서 직접 확인하는 내용이에요.</ns0:t>
        </ns0:is>
      </ns0:c>
      <ns0:c r="F373" s="12" t="inlineStr">
        <ns0:is>
          <ns0:t>Usan and Mureung appear in a Joseon geographical record</ns0:t>
        </ns0:is>
      </ns0:c>
      <ns0:c r="G373" s="12" t="inlineStr">
        <ns0:is>
          <ns0:t>The presence of the two names is directly supported by the supplied entry.</ns0:t>
        </ns0:is>
      </ns0:c>
    </ns0:row>
    <ns0:row r="374" ht="38" customHeight="1">
      <ns0:c r="A374" s="10" t="n">
        <ns0:v>920127</ns0:v>
      </ns0:c>
      <ns0:c r="B374" s="10" t="inlineStr">
        <ns0:is>
          <ns0:t>c</ns0:t>
        </ns0:is>
      </ns0:c>
      <ns0:c r="C374" s="10" t="inlineStr">
        <ns0:is>
          <ns0:t>현재 섬의 모든 건물이 당시에도 있었다</ns0:t>
        </ns0:is>
      </ns0:c>
      <ns0:c r="D374" s="10" t="n">
        <ns0:v>0</ns0:v>
      </ns0:c>
      <ns0:c r="E374" s="10" t="inlineStr">
        <ns0:is>
          <ns0:t>이 발췌문에는 현대 시설의 존재를 확인할 내용이 없어요.</ns0:t>
        </ns0:is>
      </ns0:c>
      <ns0:c r="F374" s="10" t="inlineStr">
        <ns0:is>
          <ns0:t>All present island buildings already existed then</ns0:t>
        </ns0:is>
      </ns0:c>
      <ns0:c r="G374" s="10" t="inlineStr">
        <ns0:is>
          <ns0:t>The excerpt does not establish the existence of today’s facilities at that time.</ns0:t>
        </ns0:is>
      </ns0:c>
    </ns0:row>
    <ns0:row r="375" ht="38" customHeight="1">
      <ns0:c r="A375" s="12" t="n">
        <ns0:v>920128</ns0:v>
      </ns0:c>
      <ns0:c r="B375" s="12" t="inlineStr">
        <ns0:is>
          <ns0:t>b</ns0:t>
        </ns0:is>
      </ns0:c>
      <ns0:c r="C375" s="12" t="inlineStr">
        <ns0:is>
          <ns0:t>현대 기관이 공개했으니 현대에 작성됐다는 설명</ns0:t>
        </ns0:is>
      </ns0:c>
      <ns0:c r="D375" s="12" t="n">
        <ns0:v>0</ns0:v>
      </ns0:c>
      <ns0:c r="E375" s="12" t="inlineStr">
        <ns0:is>
          <ns0:t>공개한 시기와 원문이 만들어진 시기를 혼동하면 안 돼요.</ns0:t>
        </ns0:is>
      </ns0:c>
      <ns0:c r="F375" s="12" t="inlineStr">
        <ns0:is>
          <ns0:t>That it was written today because a modern institution publishes it</ns0:t>
        </ns0:is>
      </ns0:c>
      <ns0:c r="G375" s="12" t="inlineStr">
        <ns0:is>
          <ns0:t>Modern publication must not be confused with original composition.</ns0:t>
        </ns0:is>
      </ns0:c>
    </ns0:row>
    <ns0:row r="376" ht="38" customHeight="1">
      <ns0:c r="A376" s="10" t="n">
        <ns0:v>920128</ns0:v>
      </ns0:c>
      <ns0:c r="B376" s="10" t="inlineStr">
        <ns0:is>
          <ns0:t>c</ns0:t>
        </ns0:is>
      </ns0:c>
      <ns0:c r="C376" s="10" t="inlineStr">
        <ns0:is>
          <ns0:t>섬 이름만 보고 현재 지도와 완전히 같은 자료라는 설명</ns0:t>
        </ns0:is>
      </ns0:c>
      <ns0:c r="D376" s="10" t="n">
        <ns0:v>0</ns0:v>
      </ns0:c>
      <ns0:c r="E376" s="10" t="inlineStr">
        <ns0:is>
          <ns0:t>옛 기록과 현재 지도는 시기와 표현 방식이 달라요.</ns0:t>
        </ns0:is>
      </ns0:c>
      <ns0:c r="F376" s="10" t="inlineStr">
        <ns0:is>
          <ns0:t>That matching names make it identical to a current map</ns0:t>
        </ns0:is>
      </ns0:c>
      <ns0:c r="G376" s="10" t="inlineStr">
        <ns0:is>
          <ns0:t>A historical text and a present-day map differ in period and representation.</ns0:t>
        </ns0:is>
      </ns0:c>
    </ns0:row>
    <ns0:row r="377" ht="38" customHeight="1">
      <ns0:c r="A377" s="12" t="n">
        <ns0:v>920128</ns0:v>
      </ns0:c>
      <ns0:c r="B377" s="12" t="inlineStr">
        <ns0:is>
          <ns0:t>a</ns0:t>
        </ns0:is>
      </ns0:c>
      <ns0:c r="C377" s="12" t="inlineStr">
        <ns0:is>
          <ns0:t>조선의 지리 기록이라는 성격과 기록된 시기</ns0:t>
        </ns0:is>
      </ns0:c>
      <ns0:c r="D377" s="12" t="n">
        <ns0:v>1</ns0:v>
      </ns0:c>
      <ns0:c r="E377" s="12" t="inlineStr">
        <ns0:is>
          <ns0:t>누가 언제 어떤 종류의 기록을 만들었는지 밝혀야 당시의 자료로 읽을 수 있어요.</ns0:t>
        </ns0:is>
      </ns0:c>
      <ns0:c r="F377" s="12" t="inlineStr">
        <ns0:is>
          <ns0:t>Its origin as a Joseon geographical record and its date</ns0:t>
        </ns0:is>
      </ns0:c>
      <ns0:c r="G377" s="12" t="inlineStr">
        <ns0:is>
          <ns0:t>Identifying origin, date and document type places the evidence in its historical setting.</ns0:t>
        </ns0:is>
      </ns0:c>
    </ns0:row>
    <ns0:row r="378" ht="33" customHeight="1">
      <ns0:c r="A378" s="10" t="n">
        <ns0:v>920129</ns0:v>
      </ns0:c>
      <ns0:c r="B378" s="10" t="inlineStr">
        <ns0:is>
          <ns0:t>a</ns0:t>
        </ns0:is>
      </ns0:c>
      <ns0:c r="C378" s="10" t="inlineStr">
        <ns0:is>
          <ns0:t>안용복</ns0:t>
        </ns0:is>
      </ns0:c>
      <ns0:c r="D378" s="10" t="n">
        <ns0:v>1</ns0:v>
      </ns0:c>
      <ns0:c r="E378" s="10" t="inlineStr">
        <ns0:is>
          <ns0:t>1693년 사건의 두 조선 어민은 안용복과 박어둔이에요.</ns0:t>
        </ns0:is>
      </ns0:c>
      <ns0:c r="F378" s="10" t="inlineStr">
        <ns0:is>
          <ns0:t>An Yong-bok</ns0:t>
        </ns0:is>
      </ns0:c>
      <ns0:c r="G378" s="10" t="inlineStr">
        <ns0:is>
          <ns0:t>The two Joseon fishermen in the 1693 incident were An Yong-bok and Park Eo-dun.</ns0:t>
        </ns0:is>
      </ns0:c>
    </ns0:row>
    <ns0:row r="379" ht="33" customHeight="1">
      <ns0:c r="A379" s="12" t="n">
        <ns0:v>920129</ns0:v>
      </ns0:c>
      <ns0:c r="B379" s="12" t="inlineStr">
        <ns0:is>
          <ns0:t>b</ns0:t>
        </ns0:is>
      </ns0:c>
      <ns0:c r="C379" s="12" t="inlineStr">
        <ns0:is>
          <ns0:t>심흥택</ns0:t>
        </ns0:is>
      </ns0:c>
      <ns0:c r="D379" s="12" t="n">
        <ns0:v>0</ns0:v>
      </ns0:c>
      <ns0:c r="E379" s="12" t="inlineStr">
        <ns0:is>
          <ns0:t>심흥택은 1906년 독도 상황을 보고한 울도군수로, 이 사건의 인물과 달라요.</ns0:t>
        </ns0:is>
      </ns0:c>
      <ns0:c r="F379" s="12" t="inlineStr">
        <ns0:is>
          <ns0:t>Shim Heung-taek</ns0:t>
        </ns0:is>
      </ns0:c>
      <ns0:c r="G379" s="12" t="inlineStr">
        <ns0:is>
          <ns0:t>Shim was the Uldo magistrate reporting in 1906, not the person in this incident.</ns0:t>
        </ns0:is>
      </ns0:c>
    </ns0:row>
    <ns0:row r="380" ht="33" customHeight="1">
      <ns0:c r="A380" s="10" t="n">
        <ns0:v>920129</ns0:v>
      </ns0:c>
      <ns0:c r="B380" s="10" t="inlineStr">
        <ns0:is>
          <ns0:t>c</ns0:t>
        </ns0:is>
      </ns0:c>
      <ns0:c r="C380" s="10" t="inlineStr">
        <ns0:is>
          <ns0:t>이사부</ns0:t>
        </ns0:is>
      </ns0:c>
      <ns0:c r="D380" s="10" t="n">
        <ns0:v>0</ns0:v>
      </ns0:c>
      <ns0:c r="E380" s="10" t="inlineStr">
        <ns0:is>
          <ns0:t>이사부는 우산국 관련 더 이른 시대의 인물이며 1693년 사건의 당사자가 아니에요.</ns0:t>
        </ns0:is>
      </ns0:c>
      <ns0:c r="F380" s="10" t="inlineStr">
        <ns0:is>
          <ns0:t>Isabu</ns0:t>
        </ns0:is>
      </ns0:c>
      <ns0:c r="G380" s="10" t="inlineStr">
        <ns0:is>
          <ns0:t>Isabu belongs to an earlier history involving Usan-guk, not the 1693 incident.</ns0:t>
        </ns0:is>
      </ns0:c>
    </ns0:row>
    <ns0:row r="381" ht="33" customHeight="1">
      <ns0:c r="A381" s="12" t="n">
        <ns0:v>920130</ns0:v>
      </ns0:c>
      <ns0:c r="B381" s="12" t="inlineStr">
        <ns0:is>
          <ns0:t>b</ns0:t>
        </ns0:is>
      </ns0:c>
      <ns0:c r="C381" s="12" t="inlineStr">
        <ns0:is>
          <ns0:t>제주도</ns0:t>
        </ns0:is>
      </ns0:c>
      <ns0:c r="D381" s="12" t="n">
        <ns0:v>0</ns0:v>
      </ns0:c>
      <ns0:c r="E381" s="12" t="inlineStr">
        <ns0:is>
          <ns0:t>제시된 사건의 어업 장소는 제주도가 아니라 울릉도예요.</ns0:t>
        </ns0:is>
      </ns0:c>
      <ns0:c r="F381" s="12" t="inlineStr">
        <ns0:is>
          <ns0:t>Jeju Island</ns0:t>
        </ns0:is>
      </ns0:c>
      <ns0:c r="G381" s="12" t="inlineStr">
        <ns0:is>
          <ns0:t>The incident’s fishing location was Ulleungdo, not Jeju.</ns0:t>
        </ns0:is>
      </ns0:c>
    </ns0:row>
    <ns0:row r="382" ht="33" customHeight="1">
      <ns0:c r="A382" s="10" t="n">
        <ns0:v>920130</ns0:v>
      </ns0:c>
      <ns0:c r="B382" s="10" t="inlineStr">
        <ns0:is>
          <ns0:t>a</ns0:t>
        </ns0:is>
      </ns0:c>
      <ns0:c r="C382" s="10" t="inlineStr">
        <ns0:is>
          <ns0:t>울릉도</ns0:t>
        </ns0:is>
      </ns0:c>
      <ns0:c r="D382" s="10" t="n">
        <ns0:v>1</ns0:v>
      </ns0:c>
      <ns0:c r="E382" s="10" t="inlineStr">
        <ns0:is>
          <ns0:t>두 사람은 울릉도에서 어업을 하다가 일본으로 끌려갔어요.</ns0:t>
        </ns0:is>
      </ns0:c>
      <ns0:c r="F382" s="10" t="inlineStr">
        <ns0:is>
          <ns0:t>Ulleungdo</ns0:t>
        </ns0:is>
      </ns0:c>
      <ns0:c r="G382" s="10" t="inlineStr">
        <ns0:is>
          <ns0:t>They were fishing at Ulleungdo when taken to Japan.</ns0:t>
        </ns0:is>
      </ns0:c>
    </ns0:row>
    <ns0:row r="383" ht="33" customHeight="1">
      <ns0:c r="A383" s="12" t="n">
        <ns0:v>920130</ns0:v>
      </ns0:c>
      <ns0:c r="B383" s="12" t="inlineStr">
        <ns0:is>
          <ns0:t>c</ns0:t>
        </ns0:is>
      </ns0:c>
      <ns0:c r="C383" s="12" t="inlineStr">
        <ns0:is>
          <ns0:t>오키섬</ns0:t>
        </ns0:is>
      </ns0:c>
      <ns0:c r="D383" s="12" t="n">
        <ns0:v>0</ns0:v>
      </ns0:c>
      <ns0:c r="E383" s="12" t="inlineStr">
        <ns0:is>
          <ns0:t>오키섬은 안용복의 일본 관련 기록에 등장하지만 이 사건의 어업 장소는 울릉도예요.</ns0:t>
        </ns0:is>
      </ns0:c>
      <ns0:c r="F383" s="12" t="inlineStr">
        <ns0:is>
          <ns0:t>Oki Islands</ns0:t>
        </ns0:is>
      </ns0:c>
      <ns0:c r="G383" s="12" t="inlineStr">
        <ns0:is>
          <ns0:t>Oki appears in records of his journeys, but this fishing location was Ulleungdo.</ns0:t>
        </ns0:is>
      </ns0:c>
    </ns0:row>
    <ns0:row r="384" ht="33" customHeight="1">
      <ns0:c r="A384" s="10" t="n">
        <ns0:v>920131</ns0:v>
      </ns0:c>
      <ns0:c r="B384" s="10" t="inlineStr">
        <ns0:is>
          <ns0:t>b</ns0:t>
        </ns0:is>
      </ns0:c>
      <ns0:c r="C384" s="10" t="inlineStr">
        <ns0:is>
          <ns0:t>제주도</ns0:t>
        </ns0:is>
      </ns0:c>
      <ns0:c r="D384" s="10" t="n">
        <ns0:v>0</ns0:v>
      </ns0:c>
      <ns0:c r="E384" s="10" t="inlineStr">
        <ns0:is>
          <ns0:t>자료의 교섭 대상은 제주도가 아니에요.</ns0:t>
        </ns0:is>
      </ns0:c>
      <ns0:c r="F384" s="10" t="inlineStr">
        <ns0:is>
          <ns0:t>Jeju Island</ns0:t>
        </ns0:is>
      </ns0:c>
      <ns0:c r="G384" s="10" t="inlineStr">
        <ns0:is>
          <ns0:t>Jeju is not the island concerned in the supplied account.</ns0:t>
        </ns0:is>
      </ns0:c>
    </ns0:row>
    <ns0:row r="385" ht="33" customHeight="1">
      <ns0:c r="A385" s="12" t="n">
        <ns0:v>920131</ns0:v>
      </ns0:c>
      <ns0:c r="B385" s="12" t="inlineStr">
        <ns0:is>
          <ns0:t>c</ns0:t>
        </ns0:is>
      </ns0:c>
      <ns0:c r="C385" s="12" t="inlineStr">
        <ns0:is>
          <ns0:t>대마도 자체</ns0:t>
        </ns0:is>
      </ns0:c>
      <ns0:c r="D385" s="12" t="n">
        <ns0:v>0</ns0:v>
      </ns0:c>
      <ns0:c r="E385" s="12" t="inlineStr">
        <ns0:is>
          <ns0:t>대마도는 교섭 경로에 등장할 수 있지만 이 발췌가 말하는 섬은 울릉도예요.</ns0:t>
        </ns0:is>
      </ns0:c>
      <ns0:c r="F385" s="12" t="inlineStr">
        <ns0:is>
          <ns0:t>Tsushima itself</ns0:t>
        </ns0:is>
      </ns0:c>
      <ns0:c r="G385" s="12" t="inlineStr">
        <ns0:is>
          <ns0:t>Tsushima may feature in diplomacy, but the island at issue here is Ulleungdo.</ns0:t>
        </ns0:is>
      </ns0:c>
    </ns0:row>
    <ns0:row r="386" ht="33" customHeight="1">
      <ns0:c r="A386" s="10" t="n">
        <ns0:v>920131</ns0:v>
      </ns0:c>
      <ns0:c r="B386" s="10" t="inlineStr">
        <ns0:is>
          <ns0:t>a</ns0:t>
        </ns0:is>
      </ns0:c>
      <ns0:c r="C386" s="10" t="inlineStr">
        <ns0:is>
          <ns0:t>울릉도</ns0:t>
        </ns0:is>
      </ns0:c>
      <ns0:c r="D386" s="10" t="n">
        <ns0:v>1</ns0:v>
      </ns0:c>
      <ns0:c r="E386" s="10" t="inlineStr">
        <ns0:is>
          <ns0:t>사건이 일어난 울릉도의 소속과 도해 문제를 두고 교섭이 이어졌어요.</ns0:t>
        </ns0:is>
      </ns0:c>
      <ns0:c r="F386" s="10" t="inlineStr">
        <ns0:is>
          <ns0:t>Ulleungdo</ns0:t>
        </ns0:is>
      </ns0:c>
      <ns0:c r="G386" s="10" t="inlineStr">
        <ns0:is>
          <ns0:t>Negotiations followed over Ulleungdo’s status and voyages to it.</ns0:t>
        </ns0:is>
      </ns0:c>
    </ns0:row>
    <ns0:row r="387" ht="38" customHeight="1">
      <ns0:c r="A387" s="12" t="n">
        <ns0:v>920132</ns0:v>
      </ns0:c>
      <ns0:c r="B387" s="12" t="inlineStr">
        <ns0:is>
          <ns0:t>a</ns0:t>
        </ns0:is>
      </ns0:c>
      <ns0:c r="C387" s="12" t="inlineStr">
        <ns0:is>
          <ns0:t>1693년: 일본으로 끌려감 / 1696년: 다시 일본에 감</ns0:t>
        </ns0:is>
      </ns0:c>
      <ns0:c r="D387" s="12" t="n">
        <ns0:v>1</ns0:v>
      </ns0:c>
      <ns0:c r="E387" s="12" t="inlineStr">
        <ns0:is>
          <ns0:t>자료에 제시된 두 해의 경위를 그대로 구분했어요.</ns0:t>
        </ns0:is>
      </ns0:c>
      <ns0:c r="F387" s="12" t="inlineStr">
        <ns0:is>
          <ns0:t>1693: taken to Japan / 1696: travelled there again</ns0:t>
        </ns0:is>
      </ns0:c>
      <ns0:c r="G387" s="12" t="inlineStr">
        <ns0:is>
          <ns0:t>This distinguishes the circumstances given for the two years.</ns0:t>
        </ns0:is>
      </ns0:c>
    </ns0:row>
    <ns0:row r="388" ht="33" customHeight="1">
      <ns0:c r="A388" s="10" t="n">
        <ns0:v>920132</ns0:v>
      </ns0:c>
      <ns0:c r="B388" s="10" t="inlineStr">
        <ns0:is>
          <ns0:t>b</ns0:t>
        </ns0:is>
      </ns0:c>
      <ns0:c r="C388" s="10" t="inlineStr">
        <ns0:is>
          <ns0:t>1693년: 다시 일본에 감 / 1696년: 처음 끌려감</ns0:t>
        </ns0:is>
      </ns0:c>
      <ns0:c r="D388" s="10" t="n">
        <ns0:v>0</ns0:v>
      </ns0:c>
      <ns0:c r="E388" s="10" t="inlineStr">
        <ns0:is>
          <ns0:t>두 해의 사건 경위를 반대로 연결했어요.</ns0:t>
        </ns0:is>
      </ns0:c>
      <ns0:c r="F388" s="10" t="inlineStr">
        <ns0:is>
          <ns0:t>1693: travelled again / 1696: first taken there</ns0:t>
        </ns0:is>
      </ns0:c>
      <ns0:c r="G388" s="10" t="inlineStr">
        <ns0:is>
          <ns0:t>This reverses the events associated with the two years.</ns0:t>
        </ns0:is>
      </ns0:c>
    </ns0:row>
    <ns0:row r="389" ht="38" customHeight="1">
      <ns0:c r="A389" s="12" t="n">
        <ns0:v>920132</ns0:v>
      </ns0:c>
      <ns0:c r="B389" s="12" t="inlineStr">
        <ns0:is>
          <ns0:t>c</ns0:t>
        </ns0:is>
      </ns0:c>
      <ns0:c r="C389" s="12" t="inlineStr">
        <ns0:is>
          <ns0:t>두 기록 모두 1693년 첫 사건만 가리킴</ns0:t>
        </ns0:is>
      </ns0:c>
      <ns0:c r="D389" s="12" t="n">
        <ns0:v>0</ns0:v>
      </ns0:c>
      <ns0:c r="E389" s="12" t="inlineStr">
        <ns0:is>
          <ns0:t>1696년에는 별도의 활동이 기록되어 있어 두 사건을 하나로 합칠 수 없어요.</ns0:t>
        </ns0:is>
      </ns0:c>
      <ns0:c r="F389" s="12" t="inlineStr">
        <ns0:is>
          <ns0:t>Both records refer only to the first incident in 1693</ns0:t>
        </ns0:is>
      </ns0:c>
      <ns0:c r="G389" s="12" t="inlineStr">
        <ns0:is>
          <ns0:t>Separate activity is recorded in 1696, so the events cannot be merged.</ns0:t>
        </ns0:is>
      </ns0:c>
    </ns0:row>
    <ns0:row r="390" ht="33" customHeight="1">
      <ns0:c r="A390" s="10" t="n">
        <ns0:v>920133</ns0:v>
      </ns0:c>
      <ns0:c r="B390" s="10" t="inlineStr">
        <ns0:is>
          <ns0:t>b</ns0:t>
        </ns0:is>
      </ns0:c>
      <ns0:c r="C390" s="10" t="inlineStr">
        <ns0:is>
          <ns0:t>『세종실록』</ns0:t>
        </ns0:is>
      </ns0:c>
      <ns0:c r="D390" s="10" t="n">
        <ns0:v>0</ns0:v>
      </ns0:c>
      <ns0:c r="E390" s="10" t="inlineStr">
        <ns0:is>
          <ns0:t>세종 때의 지리 기록과 숙종 때 안용복의 활동은 시대가 달라요.</ns0:t>
        </ns0:is>
      </ns0:c>
      <ns0:c r="F390" s="10" t="inlineStr">
        <ns0:is>
          <ns0:t>The Annals of Sejong</ns0:t>
        </ns0:is>
      </ns0:c>
      <ns0:c r="G390" s="10" t="inlineStr">
        <ns0:is>
          <ns0:t>Sejong’s geographical record and An’s Sukjong-era activity belong to different periods.</ns0:t>
        </ns0:is>
      </ns0:c>
    </ns0:row>
    <ns0:row r="391" ht="33" customHeight="1">
      <ns0:c r="A391" s="12" t="n">
        <ns0:v>920133</ns0:v>
      </ns0:c>
      <ns0:c r="B391" s="12" t="inlineStr">
        <ns0:is>
          <ns0:t>a</ns0:t>
        </ns0:is>
      </ns0:c>
      <ns0:c r="C391" s="12" t="inlineStr">
        <ns0:is>
          <ns0:t>『숙종실록』</ns0:t>
        </ns0:is>
      </ns0:c>
      <ns0:c r="D391" s="12" t="n">
        <ns0:v>1</ns0:v>
      </ns0:c>
      <ns0:c r="E391" s="12" t="inlineStr">
        <ns0:is>
          <ns0:t>안용복은 숙종 때 활동했으며 관련 진술이 『숙종실록』에 기록돼요.</ns0:t>
        </ns0:is>
      </ns0:c>
      <ns0:c r="F391" s="12" t="inlineStr">
        <ns0:is>
          <ns0:t>The Annals of Sukjong</ns0:t>
        </ns0:is>
      </ns0:c>
      <ns0:c r="G391" s="12" t="inlineStr">
        <ns0:is>
          <ns0:t>An Yong-bok’s activity and statements appear in the Annals of Sukjong.</ns0:t>
        </ns0:is>
      </ns0:c>
    </ns0:row>
    <ns0:row r="392" ht="33" customHeight="1">
      <ns0:c r="A392" s="10" t="n">
        <ns0:v>920133</ns0:v>
      </ns0:c>
      <ns0:c r="B392" s="10" t="inlineStr">
        <ns0:is>
          <ns0:t>c</ns0:t>
        </ns0:is>
      </ns0:c>
      <ns0:c r="C392" s="10" t="inlineStr">
        <ns0:is>
          <ns0:t>1900년 관보</ns0:t>
        </ns0:is>
      </ns0:c>
      <ns0:c r="D392" s="10" t="n">
        <ns0:v>0</ns0:v>
      </ns0:c>
      <ns0:c r="E392" s="10" t="inlineStr">
        <ns0:is>
          <ns0:t>관보는 대한제국의 공표 기록이며 조선 왕의 실록이 아니에요.</ns0:t>
        </ns0:is>
      </ns0:c>
      <ns0:c r="F392" s="10" t="inlineStr">
        <ns0:is>
          <ns0:t>The government gazette of 1900</ns0:t>
        </ns0:is>
      </ns0:c>
      <ns0:c r="G392" s="10" t="inlineStr">
        <ns0:is>
          <ns0:t>The gazette records Korean Empire notices and is not a Joseon reign’s annals.</ns0:t>
        </ns0:is>
      </ns0:c>
    </ns0:row>
    <ns0:row r="393" ht="33" customHeight="1">
      <ns0:c r="A393" s="12" t="n">
        <ns0:v>920134</ns0:v>
      </ns0:c>
      <ns0:c r="B393" s="12" t="inlineStr">
        <ns0:is>
          <ns0:t>b</ns0:t>
        </ns0:is>
      </ns0:c>
      <ns0:c r="C393" s="12" t="inlineStr">
        <ns0:is>
          <ns0:t>제주도</ns0:t>
        </ns0:is>
      </ns0:c>
      <ns0:c r="D393" s="12" t="n">
        <ns0:v>0</ns0:v>
      </ns0:c>
      <ns0:c r="E393" s="12" t="inlineStr">
        <ns0:is>
          <ns0:t>제주도는 이 일본 측 조사 기록의 장소가 아니에요.</ns0:t>
        </ns0:is>
      </ns0:c>
      <ns0:c r="F393" s="12" t="inlineStr">
        <ns0:is>
          <ns0:t>Jeju Island</ns0:t>
        </ns0:is>
      </ns0:c>
      <ns0:c r="G393" s="12" t="inlineStr">
        <ns0:is>
          <ns0:t>Jeju is not the location of this Japanese inquiry.</ns0:t>
        </ns0:is>
      </ns0:c>
    </ns0:row>
    <ns0:row r="394" ht="33" customHeight="1">
      <ns0:c r="A394" s="10" t="n">
        <ns0:v>920134</ns0:v>
      </ns0:c>
      <ns0:c r="B394" s="10" t="inlineStr">
        <ns0:is>
          <ns0:t>c</ns0:t>
        </ns0:is>
      </ns0:c>
      <ns0:c r="C394" s="10" t="inlineStr">
        <ns0:is>
          <ns0:t>울릉도</ns0:t>
        </ns0:is>
      </ns0:c>
      <ns0:c r="D394" s="10" t="n">
        <ns0:v>0</ns0:v>
      </ns0:c>
      <ns0:c r="E394" s="10" t="inlineStr">
        <ns0:is>
          <ns0:t>울릉도는 사건의 핵심 섬이지만 일본 측 조사 기록의 장소는 오키섬이에요.</ns0:t>
        </ns0:is>
      </ns0:c>
      <ns0:c r="F394" s="10" t="inlineStr">
        <ns0:is>
          <ns0:t>Ulleungdo</ns0:t>
        </ns0:is>
      </ns0:c>
      <ns0:c r="G394" s="10" t="inlineStr">
        <ns0:is>
          <ns0:t>Ulleungdo is central to the events, but the inquiry record is associated with Oki.</ns0:t>
        </ns0:is>
      </ns0:c>
    </ns0:row>
    <ns0:row r="395" ht="33" customHeight="1">
      <ns0:c r="A395" s="12" t="n">
        <ns0:v>920134</ns0:v>
      </ns0:c>
      <ns0:c r="B395" s="12" t="inlineStr">
        <ns0:is>
          <ns0:t>a</ns0:t>
        </ns0:is>
      </ns0:c>
      <ns0:c r="C395" s="12" t="inlineStr">
        <ns0:is>
          <ns0:t>오키섬</ns0:t>
        </ns0:is>
      </ns0:c>
      <ns0:c r="D395" s="12" t="n">
        <ns0:v>1</ns0:v>
      </ns0:c>
      <ns0:c r="E395" s="12" t="inlineStr">
        <ns0:is>
          <ns0:t>대한민국 외교부는 오키섬에서 조사한 기록을 관련 일본 자료로 소개해요.</ns0:t>
        </ns0:is>
      </ns0:c>
      <ns0:c r="F395" s="12" t="inlineStr">
        <ns0:is>
          <ns0:t>The Oki Islands</ns0:t>
        </ns0:is>
      </ns0:c>
      <ns0:c r="G395" s="12" t="inlineStr">
        <ns0:is>
          <ns0:t>ROK MOFA presents an Oki inquiry record as related Japanese evidence.</ns0:t>
        </ns0:is>
      </ns0:c>
    </ns0:row>
    <ns0:row r="396" ht="38" customHeight="1">
      <ns0:c r="A396" s="10" t="n">
        <ns0:v>920135</ns0:v>
      </ns0:c>
      <ns0:c r="B396" s="10" t="inlineStr">
        <ns0:is>
          <ns0:t>a</ns0:t>
        </ns0:is>
      </ns0:c>
      <ns0:c r="C396" s="10" t="inlineStr">
        <ns0:is>
          <ns0:t>『숙종실록』과 1696년 오키섬 조사 기록</ns0:t>
        </ns0:is>
      </ns0:c>
      <ns0:c r="D396" s="10" t="n">
        <ns0:v>1</ns0:v>
      </ns0:c>
      <ns0:c r="E396" s="10" t="inlineStr">
        <ns0:is>
          <ns0:t>두 자료는 각각 조선과 일본에서 안용복의 해당 활동을 기록해요.</ns0:t>
        </ns0:is>
      </ns0:c>
      <ns0:c r="F396" s="10" t="inlineStr">
        <ns0:is>
          <ns0:t>The Annals of Sukjong and the 1696 Oki inquiry record</ns0:t>
        </ns0:is>
      </ns0:c>
      <ns0:c r="G396" s="10" t="inlineStr">
        <ns0:is>
          <ns0:t>The pair supplies Joseon and Japanese records of the relevant activity.</ns0:t>
        </ns0:is>
      </ns0:c>
    </ns0:row>
    <ns0:row r="397" ht="33" customHeight="1">
      <ns0:c r="A397" s="12" t="n">
        <ns0:v>920135</ns0:v>
      </ns0:c>
      <ns0:c r="B397" s="12" t="inlineStr">
        <ns0:is>
          <ns0:t>b</ns0:t>
        </ns0:is>
      </ns0:c>
      <ns0:c r="C397" s="12" t="inlineStr">
        <ns0:is>
          <ns0:t>1900년 칙령 제41호와 1906년 지령 제3호</ns0:t>
        </ns0:is>
      </ns0:c>
      <ns0:c r="D397" s="12" t="n">
        <ns0:v>0</ns0:v>
      </ns0:c>
      <ns0:c r="E397" s="12" t="inlineStr">
        <ns0:is>
          <ns0:t>독도 역사 자료이지만 안용복의 1696년 활동을 직접 기록한 두 자료가 아니에요.</ns0:t>
        </ns0:is>
      </ns0:c>
      <ns0:c r="F397" s="12" t="inlineStr">
        <ns0:is>
          <ns0:t>The 1900 decree and 1906 Directive No. 3</ns0:t>
        </ns0:is>
      </ns0:c>
      <ns0:c r="G397" s="12" t="inlineStr">
        <ns0:is>
          <ns0:t>These concern Dokdo history but do not directly record An’s 1696 activity.</ns0:t>
        </ns0:is>
      </ns0:c>
    </ns0:row>
    <ns0:row r="398" ht="38" customHeight="1">
      <ns0:c r="A398" s="10" t="n">
        <ns0:v>920135</ns0:v>
      </ns0:c>
      <ns0:c r="B398" s="10" t="inlineStr">
        <ns0:is>
          <ns0:t>c</ns0:t>
        </ns0:is>
      </ns0:c>
      <ns0:c r="C398" s="10" t="inlineStr">
        <ns0:is>
          <ns0:t>『세종실록』 지리지와 1877년 태정관지령</ns0:t>
        </ns0:is>
      </ns0:c>
      <ns0:c r="D398" s="10" t="n">
        <ns0:v>0</ns0:v>
      </ns0:c>
      <ns0:c r="E398" s="10" t="inlineStr">
        <ns0:is>
          <ns0:t>두 문서는 다른 시기의 기록으로 이번 인물·사건 비교의 짝이 아니에요.</ns0:t>
        </ns0:is>
      </ns0:c>
      <ns0:c r="F398" s="10" t="inlineStr">
        <ns0:is>
          <ns0:t>The Sejong geographical record and the 1877 Dajokan directive</ns0:t>
        </ns0:is>
      </ns0:c>
      <ns0:c r="G398" s="10" t="inlineStr">
        <ns0:is>
          <ns0:t>These concern other periods rather than this person and event.</ns0:t>
        </ns0:is>
      </ns0:c>
    </ns0:row>
    <ns0:row r="399" ht="33" customHeight="1">
      <ns0:c r="A399" s="12" t="n">
        <ns0:v>920136</ns0:v>
      </ns0:c>
      <ns0:c r="B399" s="12" t="inlineStr">
        <ns0:is>
          <ns0:t>b</ns0:t>
        </ns0:is>
      </ns0:c>
      <ns0:c r="C399" s="12" t="inlineStr">
        <ns0:is>
          <ns0:t>인물 이름만 맞추고 방문 연도는 제외</ns0:t>
        </ns0:is>
      </ns0:c>
      <ns0:c r="D399" s="12" t="n">
        <ns0:v>0</ns0:v>
      </ns0:c>
      <ns0:c r="E399" s="12" t="inlineStr">
        <ns0:is>
          <ns0:t>안용복은 1693년과 1696년에 다른 경위로 일본에 갔으므로 연도를 빼면 혼동해요.</ns0:t>
        </ns0:is>
      </ns0:c>
      <ns0:c r="F399" s="12" t="inlineStr">
        <ns0:is>
          <ns0:t>Match only the person and ignore the year</ns0:t>
        </ns0:is>
      </ns0:c>
      <ns0:c r="G399" s="12" t="inlineStr">
        <ns0:is>
          <ns0:t>Ignoring dates confuses his different journeys in 1693 and 1696.</ns0:t>
        </ns0:is>
      </ns0:c>
    </ns0:row>
    <ns0:row r="400" ht="33" customHeight="1">
      <ns0:c r="A400" s="10" t="n">
        <ns0:v>920136</ns0:v>
      </ns0:c>
      <ns0:c r="B400" s="10" t="inlineStr">
        <ns0:is>
          <ns0:t>a</ns0:t>
        </ns0:is>
      </ns0:c>
      <ns0:c r="C400" s="10" t="inlineStr">
        <ns0:is>
          <ns0:t>인물·시기·방문 장소</ns0:t>
        </ns0:is>
      </ns0:c>
      <ns0:c r="D400" s="10" t="n">
        <ns0:v>1</ns0:v>
      </ns0:c>
      <ns0:c r="E400" s="10" t="inlineStr">
        <ns0:is>
          <ns0:t>두 기록이 같은 활동을 다루는지 먼저 확인해야 내용을 대조할 수 있어요.</ns0:t>
        </ns0:is>
      </ns0:c>
      <ns0:c r="F400" s="10" t="inlineStr">
        <ns0:is>
          <ns0:t>People, time and places visited</ns0:t>
        </ns0:is>
      </ns0:c>
      <ns0:c r="G400" s="10" t="inlineStr">
        <ns0:is>
          <ns0:t>First establish whether the sources concern the same activity.</ns0:t>
        </ns0:is>
      </ns0:c>
    </ns0:row>
    <ns0:row r="401" ht="38" customHeight="1">
      <ns0:c r="A401" s="12" t="n">
        <ns0:v>920136</ns0:v>
      </ns0:c>
      <ns0:c r="B401" s="12" t="inlineStr">
        <ns0:is>
          <ns0:t>c</ns0:t>
        </ns0:is>
      </ns0:c>
      <ns0:c r="C401" s="12" t="inlineStr">
        <ns0:is>
          <ns0:t>방문 장소만 맞추고 인물과 시기는 제외</ns0:t>
        </ns0:is>
      </ns0:c>
      <ns0:c r="D401" s="12" t="n">
        <ns0:v>0</ns0:v>
      </ns0:c>
      <ns0:c r="E401" s="12" t="inlineStr">
        <ns0:is>
          <ns0:t>같은 장소를 다른 사람이 다른 해에 방문한 기록일 수 있어요.</ns0:t>
        </ns0:is>
      </ns0:c>
      <ns0:c r="F401" s="12" t="inlineStr">
        <ns0:is>
          <ns0:t>Match only the destination and ignore person and date</ns0:t>
        </ns0:is>
      </ns0:c>
      <ns0:c r="G401" s="12" t="inlineStr">
        <ns0:is>
          <ns0:t>Different people may visit the same place in different years.</ns0:t>
        </ns0:is>
      </ns0:c>
    </ns0:row>
    <ns0:row r="402" ht="33" customHeight="1">
      <ns0:c r="A402" s="10" t="n">
        <ns0:v>920137</ns0:v>
      </ns0:c>
      <ns0:c r="B402" s="10" t="inlineStr">
        <ns0:is>
          <ns0:t>b</ns0:t>
        </ns0:is>
      </ns0:c>
      <ns0:c r="C402" s="10" t="inlineStr">
        <ns0:is>
          <ns0:t>5월</ns0:t>
        </ns0:is>
      </ns0:c>
      <ns0:c r="D402" s="10" t="n">
        <ns0:v>0</ns0:v>
      </ns0:c>
      <ns0:c r="E402" s="10" t="inlineStr">
        <ns0:is>
          <ns0:t>5월은 같은 연표에서 안용복의 도해와 연결되는 달이에요.</ns0:t>
        </ns0:is>
      </ns0:c>
      <ns0:c r="F402" s="10" t="inlineStr">
        <ns0:is>
          <ns0:t>May</ns0:t>
        </ns0:is>
      </ns0:c>
      <ns0:c r="G402" s="10" t="inlineStr">
        <ns0:is>
          <ns0:t>May is associated with An Yong-bok’s journey in that timeline.</ns0:t>
        </ns0:is>
      </ns0:c>
    </ns0:row>
    <ns0:row r="403" ht="33" customHeight="1">
      <ns0:c r="A403" s="12" t="n">
        <ns0:v>920137</ns0:v>
      </ns0:c>
      <ns0:c r="B403" s="12" t="inlineStr">
        <ns0:is>
          <ns0:t>c</ns0:t>
        </ns0:is>
      </ns0:c>
      <ns0:c r="C403" s="12" t="inlineStr">
        <ns0:is>
          <ns0:t>10월</ns0:t>
        </ns0:is>
      </ns0:c>
      <ns0:c r="D403" s="12" t="n">
        <ns0:v>0</ns0:v>
      </ns0:c>
      <ns0:c r="E403" s="12" t="inlineStr">
        <ns0:is>
          <ns0:t>10월은 제시된 1696년 금지령의 달이 아니에요.</ns0:t>
        </ns0:is>
      </ns0:c>
      <ns0:c r="F403" s="12" t="inlineStr">
        <ns0:is>
          <ns0:t>October</ns0:t>
        </ns0:is>
      </ns0:c>
      <ns0:c r="G403" s="12" t="inlineStr">
        <ns0:is>
          <ns0:t>October is not the prohibition month in the supplied timeline.</ns0:t>
        </ns0:is>
      </ns0:c>
    </ns0:row>
    <ns0:row r="404" ht="33" customHeight="1">
      <ns0:c r="A404" s="10" t="n">
        <ns0:v>920137</ns0:v>
      </ns0:c>
      <ns0:c r="B404" s="10" t="inlineStr">
        <ns0:is>
          <ns0:t>a</ns0:t>
        </ns0:is>
      </ns0:c>
      <ns0:c r="C404" s="10" t="inlineStr">
        <ns0:is>
          <ns0:t>1월</ns0:t>
        </ns0:is>
      </ns0:c>
      <ns0:c r="D404" s="10" t="n">
        <ns0:v>1</ns0:v>
      </ns0:c>
      <ns0:c r="E404" s="10" t="inlineStr">
        <ns0:is>
          <ns0:t>연표에는 울릉도 도해금지령이 1696년 1월에 나와요.</ns0:t>
        </ns0:is>
      </ns0:c>
      <ns0:c r="F404" s="10" t="inlineStr">
        <ns0:is>
          <ns0:t>January</ns0:t>
        </ns0:is>
      </ns0:c>
      <ns0:c r="G404" s="10" t="inlineStr">
        <ns0:is>
          <ns0:t>The timeline places the prohibition in January 1696.</ns0:t>
        </ns0:is>
      </ns0:c>
    </ns0:row>
    <ns0:row r="405" ht="33" customHeight="1">
      <ns0:c r="A405" s="12" t="n">
        <ns0:v>920138</ns0:v>
      </ns0:c>
      <ns0:c r="B405" s="12" t="inlineStr">
        <ns0:is>
          <ns0:t>a</ns0:t>
        </ns0:is>
      </ns0:c>
      <ns0:c r="C405" s="12" t="inlineStr">
        <ns0:is>
          <ns0:t>울릉도 도해금지령</ns0:t>
        </ns0:is>
      </ns0:c>
      <ns0:c r="D405" s="12" t="n">
        <ns0:v>1</ns0:v>
      </ns0:c>
      <ns0:c r="E405" s="12" t="inlineStr">
        <ns0:is>
          <ns0:t>1월의 금지령이 5월의 도해보다 먼저예요.</ns0:t>
        </ns0:is>
      </ns0:c>
      <ns0:c r="F405" s="12" t="inlineStr">
        <ns0:is>
          <ns0:t>The Ulleungdo voyage prohibition</ns0:t>
        </ns0:is>
      </ns0:c>
      <ns0:c r="G405" s="12" t="inlineStr">
        <ns0:is>
          <ns0:t>The January prohibition preceded the May journey.</ns0:t>
        </ns0:is>
      </ns0:c>
    </ns0:row>
    <ns0:row r="406" ht="33" customHeight="1">
      <ns0:c r="A406" s="10" t="n">
        <ns0:v>920138</ns0:v>
      </ns0:c>
      <ns0:c r="B406" s="10" t="inlineStr">
        <ns0:is>
          <ns0:t>b</ns0:t>
        </ns0:is>
      </ns0:c>
      <ns0:c r="C406" s="10" t="inlineStr">
        <ns0:is>
          <ns0:t>안용복의 5월 일본 도해</ns0:t>
        </ns0:is>
      </ns0:c>
      <ns0:c r="D406" s="10" t="n">
        <ns0:v>0</ns0:v>
      </ns0:c>
      <ns0:c r="E406" s="10" t="inlineStr">
        <ns0:is>
          <ns0:t>5월은 1월보다 뒤이므로 이 사건이 나중이에요.</ns0:t>
        </ns0:is>
      </ns0:c>
      <ns0:c r="F406" s="10" t="inlineStr">
        <ns0:is>
          <ns0:t>An Yong-bok’s May journey</ns0:t>
        </ns0:is>
      </ns0:c>
      <ns0:c r="G406" s="10" t="inlineStr">
        <ns0:is>
          <ns0:t>May comes after January.</ns0:t>
        </ns0:is>
      </ns0:c>
    </ns0:row>
    <ns0:row r="407" ht="33" customHeight="1">
      <ns0:c r="A407" s="12" t="n">
        <ns0:v>920139</ns0:v>
      </ns0:c>
      <ns0:c r="B407" s="12" t="inlineStr">
        <ns0:is>
          <ns0:t>a</ns0:t>
        </ns0:is>
      </ns0:c>
      <ns0:c r="C407" s="12" t="inlineStr">
        <ns0:is>
          <ns0:t>1월 일본 에도 막부의 금지령</ns0:t>
        </ns0:is>
      </ns0:c>
      <ns0:c r="D407" s="12" t="n">
        <ns0:v>1</ns0:v>
      </ns0:c>
      <ns0:c r="E407" s="12" t="inlineStr">
        <ns0:is>
          <ns0:t>같은 해이지만 1월이 5월보다 앞서므로 금지령이 먼저예요.</ns0:t>
        </ns0:is>
      </ns0:c>
      <ns0:c r="F407" s="12" t="inlineStr">
        <ns0:is>
          <ns0:t>The Edo shogunate’s January prohibition</ns0:t>
        </ns0:is>
      </ns0:c>
      <ns0:c r="G407" s="12" t="inlineStr">
        <ns0:is>
          <ns0:t>Within the same year, January precedes May.</ns0:t>
        </ns0:is>
      </ns0:c>
    </ns0:row>
    <ns0:row r="408" ht="33" customHeight="1">
      <ns0:c r="A408" s="10" t="n">
        <ns0:v>920139</ns0:v>
      </ns0:c>
      <ns0:c r="B408" s="10" t="inlineStr">
        <ns0:is>
          <ns0:t>b</ns0:t>
        </ns0:is>
      </ns0:c>
      <ns0:c r="C408" s="10" t="inlineStr">
        <ns0:is>
          <ns0:t>1900년 대한제국 칙령 제41호</ns0:t>
        </ns0:is>
      </ns0:c>
      <ns0:c r="D408" s="10" t="n">
        <ns0:v>0</ns0:v>
      </ns0:c>
      <ns0:c r="E408" s="10" t="inlineStr">
        <ns0:is>
          <ns0:t>1900년은 1696년보다 뒤예요.</ns0:t>
        </ns0:is>
      </ns0:c>
      <ns0:c r="F408" s="10" t="inlineStr">
        <ns0:is>
          <ns0:t>Korean Empire Decree No. 41 in 1900</ns0:t>
        </ns0:is>
      </ns0:c>
      <ns0:c r="G408" s="10" t="inlineStr">
        <ns0:is>
          <ns0:t>1900 is later than 1696.</ns0:t>
        </ns0:is>
      </ns0:c>
    </ns0:row>
    <ns0:row r="409" ht="33" customHeight="1">
      <ns0:c r="A409" s="12" t="n">
        <ns0:v>920139</ns0:v>
      </ns0:c>
      <ns0:c r="B409" s="12" t="inlineStr">
        <ns0:is>
          <ns0:t>c</ns0:t>
        </ns0:is>
      </ns0:c>
      <ns0:c r="C409" s="12" t="inlineStr">
        <ns0:is>
          <ns0:t>1906년 심흥택 보고</ns0:t>
        </ns0:is>
      </ns0:c>
      <ns0:c r="D409" s="12" t="n">
        <ns0:v>0</ns0:v>
      </ns0:c>
      <ns0:c r="E409" s="12" t="inlineStr">
        <ns0:is>
          <ns0:t>1906년은 1696년보다 뒤예요.</ns0:t>
        </ns0:is>
      </ns0:c>
      <ns0:c r="F409" s="12" t="inlineStr">
        <ns0:is>
          <ns0:t>Shim Heung-taek’s report in 1906</ns0:t>
        </ns0:is>
      </ns0:c>
      <ns0:c r="G409" s="12" t="inlineStr">
        <ns0:is>
          <ns0:t>1906 is later than 1696.</ns0:t>
        </ns0:is>
      </ns0:c>
    </ns0:row>
    <ns0:row r="410" ht="33" customHeight="1">
      <ns0:c r="A410" s="10" t="n">
        <ns0:v>920140</ns0:v>
      </ns0:c>
      <ns0:c r="B410" s="10" t="inlineStr">
        <ns0:is>
          <ns0:t>b</ns0:t>
        </ns0:is>
      </ns0:c>
      <ns0:c r="C410" s="10" t="inlineStr">
        <ns0:is>
          <ns0:t>두 사건이 같은 달 같은 날이어서</ns0:t>
        </ns0:is>
      </ns0:c>
      <ns0:c r="D410" s="10" t="n">
        <ns0:v>0</ns0:v>
      </ns0:c>
      <ns0:c r="E410" s="10" t="inlineStr">
        <ns0:is>
          <ns0:t>연표는 1월과 5월로 구분하므로 같은 날이라는 설명은 맞지 않아요.</ns0:t>
        </ns0:is>
      </ns0:c>
      <ns0:c r="F410" s="10" t="inlineStr">
        <ns0:is>
          <ns0:t>Both events occurred on the same day</ns0:t>
        </ns0:is>
      </ns0:c>
      <ns0:c r="G410" s="10" t="inlineStr">
        <ns0:is>
          <ns0:t>The timeline separates the events into January and May.</ns0:t>
        </ns0:is>
      </ns0:c>
    </ns0:row>
    <ns0:row r="411" ht="38" customHeight="1">
      <ns0:c r="A411" s="12" t="n">
        <ns0:v>920140</ns0:v>
      </ns0:c>
      <ns0:c r="B411" s="12" t="inlineStr">
        <ns0:is>
          <ns0:t>a</ns0:t>
        </ns0:is>
      </ns0:c>
      <ns0:c r="C411" s="12" t="inlineStr">
        <ns0:is>
          <ns0:t>원인이라고 한 사건이 금지령보다 뒤에 일어나서</ns0:t>
        </ns0:is>
      </ns0:c>
      <ns0:c r="D411" s="12" t="n">
        <ns0:v>1</ns0:v>
      </ns0:c>
      <ns0:c r="E411" s="12" t="inlineStr">
        <ns0:is>
          <ns0:t>이 연표의 순서로는 나중의 5월 사건이 앞선 1월 명령을 일으켰다고 할 수 없어요.</ns0:t>
        </ns0:is>
      </ns0:c>
      <ns0:c r="F411" s="12" t="inlineStr">
        <ns0:is>
          <ns0:t>The proposed cause occurred after the prohibition</ns0:t>
        </ns0:is>
      </ns0:c>
      <ns0:c r="G411" s="12" t="inlineStr">
        <ns0:is>
          <ns0:t>In this timeline a later May event cannot have caused the earlier January order.</ns0:t>
        </ns0:is>
      </ns0:c>
    </ns0:row>
    <ns0:row r="412" ht="33" customHeight="1">
      <ns0:c r="A412" s="10" t="n">
        <ns0:v>920140</ns0:v>
      </ns0:c>
      <ns0:c r="B412" s="10" t="inlineStr">
        <ns0:is>
          <ns0:t>c</ns0:t>
        </ns0:is>
      </ns0:c>
      <ns0:c r="C412" s="10" t="inlineStr">
        <ns0:is>
          <ns0:t>금지령이 1900년에 내려졌기 때문에</ns0:t>
        </ns0:is>
      </ns0:c>
      <ns0:c r="D412" s="10" t="n">
        <ns0:v>0</ns0:v>
      </ns0:c>
      <ns0:c r="E412" s="10" t="inlineStr">
        <ns0:is>
          <ns0:t>1696년 금지령과 1900년 칙령 제41호를 혼동했어요.</ns0:t>
        </ns0:is>
      </ns0:c>
      <ns0:c r="F412" s="10" t="inlineStr">
        <ns0:is>
          <ns0:t>The prohibition was issued in 1900</ns0:t>
        </ns0:is>
      </ns0:c>
      <ns0:c r="G412" s="10" t="inlineStr">
        <ns0:is>
          <ns0:t>This confuses the 1696 prohibition with the 1900 decree.</ns0:t>
        </ns0:is>
      </ns0:c>
    </ns0:row>
    <ns0:row r="413" ht="33" customHeight="1">
      <ns0:c r="A413" s="12" t="n">
        <ns0:v>920141</ns0:v>
      </ns0:c>
      <ns0:c r="B413" s="12" t="inlineStr">
        <ns0:is>
          <ns0:t>a</ns0:t>
        </ns0:is>
      </ns0:c>
      <ns0:c r="C413" s="12" t="inlineStr">
        <ns0:is>
          <ns0:t>대한제국 칙령 제41호</ns0:t>
        </ns0:is>
      </ns0:c>
      <ns0:c r="D413" s="12" t="n">
        <ns0:v>1</ns0:v>
      </ns0:c>
      <ns0:c r="E413" s="12" t="inlineStr">
        <ns0:is>
          <ns0:t>칙령 제41호 제1조에 이름과 행정 책임자 변경이 나와요.</ns0:t>
        </ns0:is>
      </ns0:c>
      <ns0:c r="F413" s="12" t="inlineStr">
        <ns0:is>
          <ns0:t>Korean Empire Decree No. 41</ns0:t>
        </ns0:is>
      </ns0:c>
      <ns0:c r="G413" s="12" t="inlineStr">
        <ns0:is>
          <ns0:t>Article 1 of Decree No. 41 records the changes of name and administrative office.</ns0:t>
        </ns0:is>
      </ns0:c>
    </ns0:row>
    <ns0:row r="414" ht="33" customHeight="1">
      <ns0:c r="A414" s="10" t="n">
        <ns0:v>920141</ns0:v>
      </ns0:c>
      <ns0:c r="B414" s="10" t="inlineStr">
        <ns0:is>
          <ns0:t>b</ns0:t>
        </ns0:is>
      </ns0:c>
      <ns0:c r="C414" s="10" t="inlineStr">
        <ns0:is>
          <ns0:t>울릉도 도해금지령</ns0:t>
        </ns0:is>
      </ns0:c>
      <ns0:c r="D414" s="10" t="n">
        <ns0:v>0</ns0:v>
      </ns0:c>
      <ns0:c r="E414" s="10" t="inlineStr">
        <ns0:is>
          <ns0:t>도해금지령은 1696년 일본 어민의 울릉도 도항을 금지한 명령이에요.</ns0:t>
        </ns0:is>
      </ns0:c>
      <ns0:c r="F414" s="10" t="inlineStr">
        <ns0:is>
          <ns0:t>The Ulleungdo voyage prohibition</ns0:t>
        </ns0:is>
      </ns0:c>
      <ns0:c r="G414" s="10" t="inlineStr">
        <ns0:is>
          <ns0:t>The 1696 prohibition concerned Japanese fishermen’s voyages to Ulleungdo.</ns0:t>
        </ns0:is>
      </ns0:c>
    </ns0:row>
    <ns0:row r="415" ht="33" customHeight="1">
      <ns0:c r="A415" s="12" t="n">
        <ns0:v>920141</ns0:v>
      </ns0:c>
      <ns0:c r="B415" s="12" t="inlineStr">
        <ns0:is>
          <ns0:t>c</ns0:t>
        </ns0:is>
      </ns0:c>
      <ns0:c r="C415" s="12" t="inlineStr">
        <ns0:is>
          <ns0:t>태정관지령</ns0:t>
        </ns0:is>
      </ns0:c>
      <ns0:c r="D415" s="12" t="n">
        <ns0:v>0</ns0:v>
      </ns0:c>
      <ns0:c r="E415" s="12" t="inlineStr">
        <ns0:is>
          <ns0:t>태정관지령은 1877년 일본의 행정 문서이며 1900년 대한제국의 칙령과 달라요.</ns0:t>
        </ns0:is>
      </ns0:c>
      <ns0:c r="F415" s="12" t="inlineStr">
        <ns0:is>
          <ns0:t>The Dajokan directive</ns0:t>
        </ns0:is>
      </ns0:c>
      <ns0:c r="G415" s="12" t="inlineStr">
        <ns0:is>
          <ns0:t>The Dajokan directive is a Japanese document from 1877, not this Korean Empire decree.</ns0:t>
        </ns0:is>
      </ns0:c>
    </ns0:row>
    <ns0:row r="416" ht="33" customHeight="1">
      <ns0:c r="A416" s="10" t="n">
        <ns0:v>920141</ns0:v>
      </ns0:c>
      <ns0:c r="B416" s="10" t="inlineStr">
        <ns0:is>
          <ns0:t>d</ns0:t>
        </ns0:is>
      </ns0:c>
      <ns0:c r="C416" s="10" t="inlineStr">
        <ns0:is>
          <ns0:t>지령 제3호</ns0:t>
        </ns0:is>
      </ns0:c>
      <ns0:c r="D416" s="10" t="n">
        <ns0:v>0</ns0:v>
      </ns0:c>
      <ns0:c r="E416" s="10" t="inlineStr">
        <ns0:is>
          <ns0:t>지령 제3호는 1906년 독도 관련 보고에 대한 대한제국의 대응이에요.</ns0:t>
        </ns0:is>
      </ns0:c>
      <ns0:c r="F416" s="10" t="inlineStr">
        <ns0:is>
          <ns0:t>Directive No. 3</ns0:t>
        </ns0:is>
      </ns0:c>
      <ns0:c r="G416" s="10" t="inlineStr">
        <ns0:is>
          <ns0:t>Directive No. 3 was a Korean Empire response to a Dokdo report in 1906.</ns0:t>
        </ns0:is>
      </ns0:c>
    </ns0:row>
    <ns0:row r="417" ht="33" customHeight="1">
      <ns0:c r="A417" s="12" t="n">
        <ns0:v>920142</ns0:v>
      </ns0:c>
      <ns0:c r="B417" s="12" t="inlineStr">
        <ns0:is>
          <ns0:t>b</ns0:t>
        </ns0:is>
      </ns0:c>
      <ns0:c r="C417" s="12" t="inlineStr">
        <ns0:is>
          <ns0:t>우산국</ns0:t>
        </ns0:is>
      </ns0:c>
      <ns0:c r="D417" s="12" t="n">
        <ns0:v>0</ns0:v>
      </ns0:c>
      <ns0:c r="E417" s="12" t="inlineStr">
        <ns0:is>
          <ns0:t>우산국은 더 이른 역사에 등장하는 이름이며 칙령의 새 행정 이름은 울도예요.</ns0:t>
        </ns0:is>
      </ns0:c>
      <ns0:c r="F417" s="12" t="inlineStr">
        <ns0:is>
          <ns0:t>Usan-guk</ns0:t>
        </ns0:is>
      </ns0:c>
      <ns0:c r="G417" s="12" t="inlineStr">
        <ns0:is>
          <ns0:t>Usan-guk belongs to earlier history; the decree’s new administrative name is Uldo.</ns0:t>
        </ns0:is>
      </ns0:c>
    </ns0:row>
    <ns0:row r="418" ht="33" customHeight="1">
      <ns0:c r="A418" s="10" t="n">
        <ns0:v>920142</ns0:v>
      </ns0:c>
      <ns0:c r="B418" s="10" t="inlineStr">
        <ns0:is>
          <ns0:t>c</ns0:t>
        </ns0:is>
      </ns0:c>
      <ns0:c r="C418" s="10" t="inlineStr">
        <ns0:is>
          <ns0:t>오키군</ns0:t>
        </ns0:is>
      </ns0:c>
      <ns0:c r="D418" s="10" t="n">
        <ns0:v>0</ns0:v>
      </ns0:c>
      <ns0:c r="E418" s="10" t="inlineStr">
        <ns0:is>
          <ns0:t>칙령에서 정한 이름은 일본 지명이 아니라 울도예요.</ns0:t>
        </ns0:is>
      </ns0:c>
      <ns0:c r="F418" s="10" t="inlineStr">
        <ns0:is>
          <ns0:t>Oki County</ns0:t>
        </ns0:is>
      </ns0:c>
      <ns0:c r="G418" s="10" t="inlineStr">
        <ns0:is>
          <ns0:t>The decree specifies Uldo, not Oki County.</ns0:t>
        </ns0:is>
      </ns0:c>
    </ns0:row>
    <ns0:row r="419" ht="33" customHeight="1">
      <ns0:c r="A419" s="12" t="n">
        <ns0:v>920142</ns0:v>
      </ns0:c>
      <ns0:c r="B419" s="12" t="inlineStr">
        <ns0:is>
          <ns0:t>a</ns0:t>
        </ns0:is>
      </ns0:c>
      <ns0:c r="C419" s="12" t="inlineStr">
        <ns0:is>
          <ns0:t>울도</ns0:t>
        </ns0:is>
      </ns0:c>
      <ns0:c r="D419" s="12" t="n">
        <ns0:v>1</ns0:v>
      </ns0:c>
      <ns0:c r="E419" s="12" t="inlineStr">
        <ns0:is>
          <ns0:t>제1조는 울릉도를 울도로 개칭한다고 규정해요.</ns0:t>
        </ns0:is>
      </ns0:c>
      <ns0:c r="F419" s="12" t="inlineStr">
        <ns0:is>
          <ns0:t>Uldo</ns0:t>
        </ns0:is>
      </ns0:c>
      <ns0:c r="G419" s="12" t="inlineStr">
        <ns0:is>
          <ns0:t>Article 1 specifies the name change from Ulleungdo to Uldo.</ns0:t>
        </ns0:is>
      </ns0:c>
    </ns0:row>
    <ns0:row r="420" ht="33" customHeight="1">
      <ns0:c r="A420" s="10" t="n">
        <ns0:v>920143</ns0:v>
      </ns0:c>
      <ns0:c r="B420" s="10" t="inlineStr">
        <ns0:is>
          <ns0:t>a</ns0:t>
        </ns0:is>
      </ns0:c>
      <ns0:c r="C420" s="10" t="inlineStr">
        <ns0:is>
          <ns0:t>울릉도 → 울도</ns0:t>
        </ns0:is>
      </ns0:c>
      <ns0:c r="D420" s="10" t="n">
        <ns0:v>1</ns0:v>
      </ns0:c>
      <ns0:c r="E420" s="10" t="inlineStr">
        <ns0:is>
          <ns0:t>원문의 앞 이름과 바꾼 뒤 이름을 이 순서로 연결해요.</ns0:t>
        </ns0:is>
      </ns0:c>
      <ns0:c r="F420" s="10" t="inlineStr">
        <ns0:is>
          <ns0:t>Ulleungdo → Uldo</ns0:t>
        </ns0:is>
      </ns0:c>
      <ns0:c r="G420" s="10" t="inlineStr">
        <ns0:is>
          <ns0:t>This follows the original and replacement names in the article.</ns0:t>
        </ns0:is>
      </ns0:c>
    </ns0:row>
    <ns0:row r="421" ht="33" customHeight="1">
      <ns0:c r="A421" s="12" t="n">
        <ns0:v>920143</ns0:v>
      </ns0:c>
      <ns0:c r="B421" s="12" t="inlineStr">
        <ns0:is>
          <ns0:t>b</ns0:t>
        </ns0:is>
      </ns0:c>
      <ns0:c r="C421" s="12" t="inlineStr">
        <ns0:is>
          <ns0:t>울도 → 울릉도</ns0:t>
        </ns0:is>
      </ns0:c>
      <ns0:c r="D421" s="12" t="n">
        <ns0:v>0</ns0:v>
      </ns0:c>
      <ns0:c r="E421" s="12" t="inlineStr">
        <ns0:is>
          <ns0:t>이름 변경 방향을 뒤바꿨어요.</ns0:t>
        </ns0:is>
      </ns0:c>
      <ns0:c r="F421" s="12" t="inlineStr">
        <ns0:is>
          <ns0:t>Uldo → Ulleungdo</ns0:t>
        </ns0:is>
      </ns0:c>
      <ns0:c r="G421" s="12" t="inlineStr">
        <ns0:is>
          <ns0:t>The direction of the change has been reversed.</ns0:t>
        </ns0:is>
      </ns0:c>
    </ns0:row>
    <ns0:row r="422" ht="33" customHeight="1">
      <ns0:c r="A422" s="10" t="n">
        <ns0:v>920143</ns0:v>
      </ns0:c>
      <ns0:c r="B422" s="10" t="inlineStr">
        <ns0:is>
          <ns0:t>c</ns0:t>
        </ns0:is>
      </ns0:c>
      <ns0:c r="C422" s="10" t="inlineStr">
        <ns0:is>
          <ns0:t>독도 → 죽도</ns0:t>
        </ns0:is>
      </ns0:c>
      <ns0:c r="D422" s="10" t="n">
        <ns0:v>0</ns0:v>
      </ns0:c>
      <ns0:c r="E422" s="10" t="inlineStr">
        <ns0:is>
          <ns0:t>제1조의 해당 구절은 독도와 죽도의 이름 변경이 아니에요.</ns0:t>
        </ns0:is>
      </ns0:c>
      <ns0:c r="F422" s="10" t="inlineStr">
        <ns0:is>
          <ns0:t>Dokdo → Jukdo</ns0:t>
        </ns0:is>
      </ns0:c>
      <ns0:c r="G422" s="10" t="inlineStr">
        <ns0:is>
          <ns0:t>This passage does not rename Dokdo as Jukdo.</ns0:t>
        </ns0:is>
      </ns0:c>
    </ns0:row>
    <ns0:row r="423" ht="33" customHeight="1">
      <ns0:c r="A423" s="12" t="n">
        <ns0:v>920144</ns0:v>
      </ns0:c>
      <ns0:c r="B423" s="12" t="inlineStr">
        <ns0:is>
          <ns0:t>b</ns0:t>
        </ns0:is>
      </ns0:c>
      <ns0:c r="C423" s="12" t="inlineStr">
        <ns0:is>
          <ns0:t>관할 섬 목록과 군청 위치</ns0:t>
        </ns0:is>
      </ns0:c>
      <ns0:c r="D423" s="12" t="n">
        <ns0:v>0</ns0:v>
      </ns0:c>
      <ns0:c r="E423" s="12" t="inlineStr">
        <ns0:is>
          <ns0:t>이 항목들은 제2조에서 다루며 제시한 제1조의 두 변경과 달라요.</ns0:t>
        </ns0:is>
      </ns0:c>
      <ns0:c r="F423" s="12" t="inlineStr">
        <ns0:is>
          <ns0:t>Jurisdiction list and county-office location</ns0:t>
        </ns0:is>
      </ns0:c>
      <ns0:c r="G423" s="12" t="inlineStr">
        <ns0:is>
          <ns0:t>These are addressed in Article 2, not the two changes supplied from Article 1.</ns0:t>
        </ns0:is>
      </ns0:c>
    </ns0:row>
    <ns0:row r="424" ht="33" customHeight="1">
      <ns0:c r="A424" s="10" t="n">
        <ns0:v>920144</ns0:v>
      </ns0:c>
      <ns0:c r="B424" s="10" t="inlineStr">
        <ns0:is>
          <ns0:t>a</ns0:t>
        </ns0:is>
      </ns0:c>
      <ns0:c r="C424" s="10" t="inlineStr">
        <ns0:is>
          <ns0:t>행정 이름과 책임 관리의 직책</ns0:t>
        </ns0:is>
      </ns0:c>
      <ns0:c r="D424" s="10" t="n">
        <ns0:v>1</ns0:v>
      </ns0:c>
      <ns0:c r="E424" s="10" t="inlineStr">
        <ns0:is>
          <ns0:t>제1조는 울릉도에서 울도로, 도감에서 군수로 바꾸는 내용을 담아요.</ns0:t>
        </ns0:is>
      </ns0:c>
      <ns0:c r="F424" s="10" t="inlineStr">
        <ns0:is>
          <ns0:t>Administrative name and official’s office</ns0:t>
        </ns0:is>
      </ns0:c>
      <ns0:c r="G424" s="10" t="inlineStr">
        <ns0:is>
          <ns0:t>Article 1 changes the administrative name and the responsible office.</ns0:t>
        </ns0:is>
      </ns0:c>
    </ns0:row>
    <ns0:row r="425" ht="33" customHeight="1">
      <ns0:c r="A425" s="12" t="n">
        <ns0:v>920144</ns0:v>
      </ns0:c>
      <ns0:c r="B425" s="12" t="inlineStr">
        <ns0:is>
          <ns0:t>c</ns0:t>
        </ns0:is>
      </ns0:c>
      <ns0:c r="C425" s="12" t="inlineStr">
        <ns0:is>
          <ns0:t>군수의 봉급과 세금 부담</ns0:t>
        </ns0:is>
      </ns0:c>
      <ns0:c r="D425" s="12" t="n">
        <ns0:v>0</ns0:v>
      </ns0:c>
      <ns0:c r="E425" s="12" t="inlineStr">
        <ns0:is>
          <ns0:t>이 항목들은 제시한 이름·직책 변경 구절의 내용이 아니에요.</ns0:t>
        </ns0:is>
      </ns0:c>
      <ns0:c r="F425" s="12" t="inlineStr">
        <ns0:is>
          <ns0:t>Magistrate’s pay and tax obligations</ns0:t>
        </ns0:is>
      </ns0:c>
      <ns0:c r="G425" s="12" t="inlineStr">
        <ns0:is>
          <ns0:t>These are not the name-and-office changes in the supplied passage.</ns0:t>
        </ns0:is>
      </ns0:c>
    </ns0:row>
    <ns0:row r="426" ht="33" customHeight="1">
      <ns0:c r="A426" s="10" t="n">
        <ns0:v>920145</ns0:v>
      </ns0:c>
      <ns0:c r="B426" s="10" t="inlineStr">
        <ns0:is>
          <ns0:t>b</ns0:t>
        </ns0:is>
      </ns0:c>
      <ns0:c r="C426" s="10" t="inlineStr">
        <ns0:is>
          <ns0:t>관찰사</ns0:t>
        </ns0:is>
      </ns0:c>
      <ns0:c r="D426" s="10" t="n">
        <ns0:v>0</ns0:v>
      </ns0:c>
      <ns0:c r="E426" s="10" t="inlineStr">
        <ns0:is>
          <ns0:t>관찰사는 도 단위의 관리이며 해당 조항의 교체 직책은 군수예요.</ns0:t>
        </ns0:is>
      </ns0:c>
      <ns0:c r="F426" s="10" t="inlineStr">
        <ns0:is>
          <ns0:t>Provincial governor</ns0:t>
        </ns0:is>
      </ns0:c>
      <ns0:c r="G426" s="10" t="inlineStr">
        <ns0:is>
          <ns0:t>A governor administers a province; the specified replacement here is magistrate.</ns0:t>
        </ns0:is>
      </ns0:c>
    </ns0:row>
    <ns0:row r="427" ht="33" customHeight="1">
      <ns0:c r="A427" s="12" t="n">
        <ns0:v>920145</ns0:v>
      </ns0:c>
      <ns0:c r="B427" s="12" t="inlineStr">
        <ns0:is>
          <ns0:t>c</ns0:t>
        </ns0:is>
      </ns0:c>
      <ns0:c r="C427" s="12" t="inlineStr">
        <ns0:is>
          <ns0:t>내부대신</ns0:t>
        </ns0:is>
      </ns0:c>
      <ns0:c r="D427" s="12" t="n">
        <ns0:v>0</ns0:v>
      </ns0:c>
      <ns0:c r="E427" s="12" t="inlineStr">
        <ns0:is>
          <ns0:t>중앙의 대신이 아니라 군의 행정을 맡는 군수로 바꾸었어요.</ns0:t>
        </ns0:is>
      </ns0:c>
      <ns0:c r="F427" s="12" t="inlineStr">
        <ns0:is>
          <ns0:t>Home-affairs minister</ns0:t>
        </ns0:is>
      </ns0:c>
      <ns0:c r="G427" s="12" t="inlineStr">
        <ns0:is>
          <ns0:t>The replacement is a county magistrate, not a central minister.</ns0:t>
        </ns0:is>
      </ns0:c>
    </ns0:row>
    <ns0:row r="428" ht="33" customHeight="1">
      <ns0:c r="A428" s="10" t="n">
        <ns0:v>920145</ns0:v>
      </ns0:c>
      <ns0:c r="B428" s="10" t="inlineStr">
        <ns0:is>
          <ns0:t>a</ns0:t>
        </ns0:is>
      </ns0:c>
      <ns0:c r="C428" s="10" t="inlineStr">
        <ns0:is>
          <ns0:t>군수</ns0:t>
        </ns0:is>
      </ns0:c>
      <ns0:c r="D428" s="10" t="n">
        <ns0:v>1</ns0:v>
      </ns0:c>
      <ns0:c r="E428" s="10" t="inlineStr">
        <ns0:is>
          <ns0:t>제1조가 도감을 대신하도록 정한 행정 직책이에요.</ns0:t>
        </ns0:is>
      </ns0:c>
      <ns0:c r="F428" s="10" t="inlineStr">
        <ns0:is>
          <ns0:t>County magistrate</ns0:t>
        </ns0:is>
      </ns0:c>
      <ns0:c r="G428" s="10" t="inlineStr">
        <ns0:is>
          <ns0:t>This is the administrative office specified to replace the supervisor.</ns0:t>
        </ns0:is>
      </ns0:c>
    </ns0:row>
    <ns0:row r="429" ht="33" customHeight="1">
      <ns0:c r="A429" s="12" t="n">
        <ns0:v>920146</ns0:v>
      </ns0:c>
      <ns0:c r="B429" s="12" t="inlineStr">
        <ns0:is>
          <ns0:t>a</ns0:t>
        </ns0:is>
      </ns0:c>
      <ns0:c r="C429" s="12" t="inlineStr">
        <ns0:is>
          <ns0:t>군의 행정</ns0:t>
        </ns0:is>
      </ns0:c>
      <ns0:c r="D429" s="12" t="n">
        <ns0:v>1</ns0:v>
      </ns0:c>
      <ns0:c r="E429" s="12" t="inlineStr">
        <ns0:is>
          <ns0:t>군수는 군이라는 행정 구역의 일을 맡는 관리예요.</ns0:t>
        </ns0:is>
      </ns0:c>
      <ns0:c r="F429" s="12" t="inlineStr">
        <ns0:is>
          <ns0:t>County administration</ns0:t>
        </ns0:is>
      </ns0:c>
      <ns0:c r="G429" s="12" t="inlineStr">
        <ns0:is>
          <ns0:t>A county magistrate is responsible for the affairs of a county.</ns0:t>
        </ns0:is>
      </ns0:c>
    </ns0:row>
    <ns0:row r="430" ht="33" customHeight="1">
      <ns0:c r="A430" s="10" t="n">
        <ns0:v>920146</ns0:v>
      </ns0:c>
      <ns0:c r="B430" s="10" t="inlineStr">
        <ns0:is>
          <ns0:t>b</ns0:t>
        </ns0:is>
      </ns0:c>
      <ns0:c r="C430" s="10" t="inlineStr">
        <ns0:is>
          <ns0:t>배 한 척의 운항</ns0:t>
        </ns0:is>
      </ns0:c>
      <ns0:c r="D430" s="10" t="n">
        <ns0:v>0</ns0:v>
      </ns0:c>
      <ns0:c r="E430" s="10" t="inlineStr">
        <ns0:is>
          <ns0:t>배 운항의 책임자는 선장이며 군수와 역할이 달라요.</ns0:t>
        </ns0:is>
      </ns0:c>
      <ns0:c r="F430" s="10" t="inlineStr">
        <ns0:is>
          <ns0:t>Operating one ship</ns0:t>
        </ns0:is>
      </ns0:c>
      <ns0:c r="G430" s="10" t="inlineStr">
        <ns0:is>
          <ns0:t>A ship’s operation belongs to its captain, not the county magistrate.</ns0:t>
        </ns0:is>
      </ns0:c>
    </ns0:row>
    <ns0:row r="431" ht="33" customHeight="1">
      <ns0:c r="A431" s="12" t="n">
        <ns0:v>920146</ns0:v>
      </ns0:c>
      <ns0:c r="B431" s="12" t="inlineStr">
        <ns0:is>
          <ns0:t>c</ns0:t>
        </ns0:is>
      </ns0:c>
      <ns0:c r="C431" s="12" t="inlineStr">
        <ns0:is>
          <ns0:t>등대 한 곳의 불빛 관리</ns0:t>
        </ns0:is>
      </ns0:c>
      <ns0:c r="D431" s="12" t="n">
        <ns0:v>0</ns0:v>
      </ns0:c>
      <ns0:c r="E431" s="12" t="inlineStr">
        <ns0:is>
          <ns0:t>등대 관리 업무와 군 전체의 행정 책임은 구분해요.</ns0:t>
        </ns0:is>
      </ns0:c>
      <ns0:c r="F431" s="12" t="inlineStr">
        <ns0:is>
          <ns0:t>Managing one lighthouse light</ns0:t>
        </ns0:is>
      </ns0:c>
      <ns0:c r="G431" s="12" t="inlineStr">
        <ns0:is>
          <ns0:t>Managing a lighthouse differs from administering a county.</ns0:t>
        </ns0:is>
      </ns0:c>
    </ns0:row>
    <ns0:row r="432" ht="33" customHeight="1">
      <ns0:c r="A432" s="10" t="n">
        <ns0:v>920147</ns0:v>
      </ns0:c>
      <ns0:c r="B432" s="10" t="inlineStr">
        <ns0:is>
          <ns0:t>b</ns0:t>
        </ns0:is>
      </ns0:c>
      <ns0:c r="C432" s="10" t="inlineStr">
        <ns0:is>
          <ns0:t>군수 → 도감</ns0:t>
        </ns0:is>
      </ns0:c>
      <ns0:c r="D432" s="10" t="n">
        <ns0:v>0</ns0:v>
      </ns0:c>
      <ns0:c r="E432" s="10" t="inlineStr">
        <ns0:is>
          <ns0:t>변경 방향을 뒤집었어요.</ns0:t>
        </ns0:is>
      </ns0:c>
      <ns0:c r="F432" s="10" t="inlineStr">
        <ns0:is>
          <ns0:t>County magistrate → supervisor</ns0:t>
        </ns0:is>
      </ns0:c>
      <ns0:c r="G432" s="10" t="inlineStr">
        <ns0:is>
          <ns0:t>The direction is reversed.</ns0:t>
        </ns0:is>
      </ns0:c>
    </ns0:row>
    <ns0:row r="433" ht="33" customHeight="1">
      <ns0:c r="A433" s="12" t="n">
        <ns0:v>920147</ns0:v>
      </ns0:c>
      <ns0:c r="B433" s="12" t="inlineStr">
        <ns0:is>
          <ns0:t>a</ns0:t>
        </ns0:is>
      </ns0:c>
      <ns0:c r="C433" s="12" t="inlineStr">
        <ns0:is>
          <ns0:t>도감 → 군수</ns0:t>
        </ns0:is>
      </ns0:c>
      <ns0:c r="D433" s="12" t="n">
        <ns0:v>1</ns0:v>
      </ns0:c>
      <ns0:c r="E433" s="12" t="inlineStr">
        <ns0:is>
          <ns0:t>도감을 군수로 바꾼다는 구절과 같아요.</ns0:t>
        </ns0:is>
      </ns0:c>
      <ns0:c r="F433" s="12" t="inlineStr">
        <ns0:is>
          <ns0:t>Supervisor → county magistrate</ns0:t>
        </ns0:is>
      </ns0:c>
      <ns0:c r="G433" s="12" t="inlineStr">
        <ns0:is>
          <ns0:t>This matches the stated replacement.</ns0:t>
        </ns0:is>
      </ns0:c>
    </ns0:row>
    <ns0:row r="434" ht="33" customHeight="1">
      <ns0:c r="A434" s="10" t="n">
        <ns0:v>920147</ns0:v>
      </ns0:c>
      <ns0:c r="B434" s="10" t="inlineStr">
        <ns0:is>
          <ns0:t>c</ns0:t>
        </ns0:is>
      </ns0:c>
      <ns0:c r="C434" s="10" t="inlineStr">
        <ns0:is>
          <ns0:t>도감 → 관찰사</ns0:t>
        </ns0:is>
      </ns0:c>
      <ns0:c r="D434" s="10" t="n">
        <ns0:v>0</ns0:v>
      </ns0:c>
      <ns0:c r="E434" s="10" t="inlineStr">
        <ns0:is>
          <ns0:t>바꾸는 직책은 관찰사가 아니라 군수예요.</ns0:t>
        </ns0:is>
      </ns0:c>
      <ns0:c r="F434" s="10" t="inlineStr">
        <ns0:is>
          <ns0:t>Supervisor → provincial governor</ns0:t>
        </ns0:is>
      </ns0:c>
      <ns0:c r="G434" s="10" t="inlineStr">
        <ns0:is>
          <ns0:t>The replacement is a magistrate, not a provincial governor.</ns0:t>
        </ns0:is>
      </ns0:c>
    </ns0:row>
    <ns0:row r="435" ht="33" customHeight="1">
      <ns0:c r="A435" s="12" t="n">
        <ns0:v>920148</ns0:v>
      </ns0:c>
      <ns0:c r="B435" s="12" t="inlineStr">
        <ns0:is>
          <ns0:t>b</ns0:t>
        </ns0:is>
      </ns0:c>
      <ns0:c r="C435" s="12" t="inlineStr">
        <ns0:is>
          <ns0:t>강원도 전체의 행정을 맡는 역할</ns0:t>
        </ns0:is>
      </ns0:c>
      <ns0:c r="D435" s="12" t="n">
        <ns0:v>0</ns0:v>
      </ns0:c>
      <ns0:c r="E435" s="12" t="inlineStr">
        <ns0:is>
          <ns0:t>울도군수는 군의 관리이며 도 전체의 관찰사와 범위가 달라요.</ns0:t>
        </ns0:is>
      </ns0:c>
      <ns0:c r="F435" s="12" t="inlineStr">
        <ns0:is>
          <ns0:t>Administering the entire province of Gangwon</ns0:t>
        </ns0:is>
      </ns0:c>
      <ns0:c r="G435" s="12" t="inlineStr">
        <ns0:is>
          <ns0:t>The county magistrate’s jurisdiction differs from a provincial governor’s.</ns0:t>
        </ns0:is>
      </ns0:c>
    </ns0:row>
    <ns0:row r="436" ht="33" customHeight="1">
      <ns0:c r="A436" s="10" t="n">
        <ns0:v>920148</ns0:v>
      </ns0:c>
      <ns0:c r="B436" s="10" t="inlineStr">
        <ns0:is>
          <ns0:t>c</ns0:t>
        </ns0:is>
      </ns0:c>
      <ns0:c r="C436" s="10" t="inlineStr">
        <ns0:is>
          <ns0:t>나라 전체의 칙령을 내리는 역할</ns0:t>
        </ns0:is>
      </ns0:c>
      <ns0:c r="D436" s="10" t="n">
        <ns0:v>0</ns0:v>
      </ns0:c>
      <ns0:c r="E436" s="10" t="inlineStr">
        <ns0:is>
          <ns0:t>칙령을 내리는 황제와 군수의 역할은 다릅니다.</ns0:t>
        </ns0:is>
      </ns0:c>
      <ns0:c r="F436" s="10" t="inlineStr">
        <ns0:is>
          <ns0:t>Issuing imperial decrees for the whole state</ns0:t>
        </ns0:is>
      </ns0:c>
      <ns0:c r="G436" s="10" t="inlineStr">
        <ns0:is>
          <ns0:t>Issuing imperial decrees is not the county magistrate’s role.</ns0:t>
        </ns0:is>
      </ns0:c>
    </ns0:row>
    <ns0:row r="437" ht="38" customHeight="1">
      <ns0:c r="A437" s="12" t="n">
        <ns0:v>920148</ns0:v>
      </ns0:c>
      <ns0:c r="B437" s="12" t="inlineStr">
        <ns0:is>
          <ns0:t>a</ns0:t>
        </ns0:is>
      </ns0:c>
      <ns0:c r="C437" s="12" t="inlineStr">
        <ns0:is>
          <ns0:t>관할 구역의 상황을 관리하고 보고하는 역할</ns0:t>
        </ns0:is>
      </ns0:c>
      <ns0:c r="D437" s="12" t="n">
        <ns0:v>1</ns0:v>
      </ns0:c>
      <ns0:c r="E437" s="12" t="inlineStr">
        <ns0:is>
          <ns0:t>군의 행정 책임과 지역 상황 보고가 연결돼요.</ns0:t>
        </ns0:is>
      </ns0:c>
      <ns0:c r="F437" s="12" t="inlineStr">
        <ns0:is>
          <ns0:t>Managing and reporting conditions in the jurisdiction</ns0:t>
        </ns0:is>
      </ns0:c>
      <ns0:c r="G437" s="12" t="inlineStr">
        <ns0:is>
          <ns0:t>Local reporting follows the magistrate’s administrative responsibility.</ns0:t>
        </ns0:is>
      </ns0:c>
    </ns0:row>
    <ns0:row r="438" ht="33" customHeight="1">
      <ns0:c r="A438" s="10" t="n">
        <ns0:v>920149</ns0:v>
      </ns0:c>
      <ns0:c r="B438" s="10" t="inlineStr">
        <ns0:is>
          <ns0:t>a</ns0:t>
        </ns0:is>
      </ns0:c>
      <ns0:c r="C438" s="10" t="inlineStr">
        <ns0:is>
          <ns0:t>석도</ns0:t>
        </ns0:is>
      </ns0:c>
      <ns0:c r="D438" s="10" t="n">
        <ns0:v>1</ns0:v>
      </ns0:c>
      <ns0:c r="E438" s="10" t="inlineStr">
        <ns0:is>
          <ns0:t>제2조는 울릉전도·죽도·석도를 관할한다고 적고 있어요.</ns0:t>
        </ns0:is>
      </ns0:c>
      <ns0:c r="F438" s="10" t="inlineStr">
        <ns0:is>
          <ns0:t>Seokdo</ns0:t>
        </ns0:is>
      </ns0:c>
      <ns0:c r="G438" s="10" t="inlineStr">
        <ns0:is>
          <ns0:t>Article 2 lists Ulleungjeondo, Jukdo and Seokdo.</ns0:t>
        </ns0:is>
      </ns0:c>
    </ns0:row>
    <ns0:row r="439" ht="33" customHeight="1">
      <ns0:c r="A439" s="12" t="n">
        <ns0:v>920149</ns0:v>
      </ns0:c>
      <ns0:c r="B439" s="12" t="inlineStr">
        <ns0:is>
          <ns0:t>b</ns0:t>
        </ns0:is>
      </ns0:c>
      <ns0:c r="C439" s="12" t="inlineStr">
        <ns0:is>
          <ns0:t>오키섬</ns0:t>
        </ns0:is>
      </ns0:c>
      <ns0:c r="D439" s="12" t="n">
        <ns0:v>0</ns0:v>
      </ns0:c>
      <ns0:c r="E439" s="12" t="inlineStr">
        <ns0:is>
          <ns0:t>오키섬은 제2조의 관할 목록에 없어요.</ns0:t>
        </ns0:is>
      </ns0:c>
      <ns0:c r="F439" s="12" t="inlineStr">
        <ns0:is>
          <ns0:t>Oki Islands</ns0:t>
        </ns0:is>
      </ns0:c>
      <ns0:c r="G439" s="12" t="inlineStr">
        <ns0:is>
          <ns0:t>Oki is not in the article’s jurisdiction list.</ns0:t>
        </ns0:is>
      </ns0:c>
    </ns0:row>
    <ns0:row r="440" ht="33" customHeight="1">
      <ns0:c r="A440" s="10" t="n">
        <ns0:v>920149</ns0:v>
      </ns0:c>
      <ns0:c r="B440" s="10" t="inlineStr">
        <ns0:is>
          <ns0:t>c</ns0:t>
        </ns0:is>
      </ns0:c>
      <ns0:c r="C440" s="10" t="inlineStr">
        <ns0:is>
          <ns0:t>제주도</ns0:t>
        </ns0:is>
      </ns0:c>
      <ns0:c r="D440" s="10" t="n">
        <ns0:v>0</ns0:v>
      </ns0:c>
      <ns0:c r="E440" s="10" t="inlineStr">
        <ns0:is>
          <ns0:t>제주도는 이 조항의 관할 목록에 포함되지 않아요.</ns0:t>
        </ns0:is>
      </ns0:c>
      <ns0:c r="F440" s="10" t="inlineStr">
        <ns0:is>
          <ns0:t>Jeju Island</ns0:t>
        </ns0:is>
      </ns0:c>
      <ns0:c r="G440" s="10" t="inlineStr">
        <ns0:is>
          <ns0:t>Jeju is not listed in this clause.</ns0:t>
        </ns0:is>
      </ns0:c>
    </ns0:row>
    <ns0:row r="441" ht="33" customHeight="1">
      <ns0:c r="A441" s="12" t="n">
        <ns0:v>920150</ns0:v>
      </ns0:c>
      <ns0:c r="B441" s="12" t="inlineStr">
        <ns0:is>
          <ns0:t>b</ns0:t>
        </ns0:is>
      </ns0:c>
      <ns0:c r="C441" s="12" t="inlineStr">
        <ns0:is>
          <ns0:t>울릉도</ns0:t>
        </ns0:is>
      </ns0:c>
      <ns0:c r="D441" s="12" t="n">
        <ns0:v>0</ns0:v>
      </ns0:c>
      <ns0:c r="E441" s="12" t="inlineStr">
        <ns0:is>
          <ns0:t>울릉도 전체는 원문에서 울릉전도로 따로 적혀 있어요.</ns0:t>
        </ns0:is>
      </ns0:c>
      <ns0:c r="F441" s="12" t="inlineStr">
        <ns0:is>
          <ns0:t>Ulleungdo</ns0:t>
        </ns0:is>
      </ns0:c>
      <ns0:c r="G441" s="12" t="inlineStr">
        <ns0:is>
          <ns0:t>The whole of Ulleungdo is separately listed as Ulleungjeondo.</ns0:t>
        </ns0:is>
      </ns0:c>
    </ns0:row>
    <ns0:row r="442" ht="38" customHeight="1">
      <ns0:c r="A442" s="10" t="n">
        <ns0:v>920150</ns0:v>
      </ns0:c>
      <ns0:c r="B442" s="10" t="inlineStr">
        <ns0:is>
          <ns0:t>a</ns0:t>
        </ns0:is>
      </ns0:c>
      <ns0:c r="C442" s="10" t="inlineStr">
        <ns0:is>
          <ns0:t>독도</ns0:t>
        </ns0:is>
      </ns0:c>
      <ns0:c r="D442" s="10" t="n">
        <ns0:v>1</ns0:v>
      </ns0:c>
      <ns0:c r="E442" s="10" t="inlineStr">
        <ns0:is>
          <ns0:t>대한민국 외교부는 제2조의 석도를 독도로 풀이하며 울도군 관할에 독도를 명시한 자료로 설명해요.</ns0:t>
        </ns0:is>
      </ns0:c>
      <ns0:c r="F442" s="10" t="inlineStr">
        <ns0:is>
          <ns0:t>Dokdo</ns0:t>
        </ns0:is>
      </ns0:c>
      <ns0:c r="G442" s="10" t="inlineStr">
        <ns0:is>
          <ns0:t>ROK MOFA identifies Seokdo as Dokdo and explains the decree as recording Dokdo within Uldo’s jurisdiction.</ns0:t>
        </ns0:is>
      </ns0:c>
    </ns0:row>
    <ns0:row r="443" ht="33" customHeight="1">
      <ns0:c r="A443" s="12" t="n">
        <ns0:v>920150</ns0:v>
      </ns0:c>
      <ns0:c r="B443" s="12" t="inlineStr">
        <ns0:is>
          <ns0:t>c</ns0:t>
        </ns0:is>
      </ns0:c>
      <ns0:c r="C443" s="12" t="inlineStr">
        <ns0:is>
          <ns0:t>오키섬</ns0:t>
        </ns0:is>
      </ns0:c>
      <ns0:c r="D443" s="12" t="n">
        <ns0:v>0</ns0:v>
      </ns0:c>
      <ns0:c r="E443" s="12" t="inlineStr">
        <ns0:is>
          <ns0:t>해당 해설은 석도를 오키섬이 아니라 독도로 풀이해요.</ns0:t>
        </ns0:is>
      </ns0:c>
      <ns0:c r="F443" s="12" t="inlineStr">
        <ns0:is>
          <ns0:t>Oki Islands</ns0:t>
        </ns0:is>
      </ns0:c>
      <ns0:c r="G443" s="12" t="inlineStr">
        <ns0:is>
          <ns0:t>The cited commentary identifies Seokdo as Dokdo, not Oki.</ns0:t>
        </ns0:is>
      </ns0:c>
    </ns0:row>
    <ns0:row r="444" ht="33" customHeight="1">
      <ns0:c r="A444" s="10" t="n">
        <ns0:v>920151</ns0:v>
      </ns0:c>
      <ns0:c r="B444" s="10" t="inlineStr">
        <ns0:is>
          <ns0:t>b</ns0:t>
        </ns0:is>
      </ns0:c>
      <ns0:c r="C444" s="10" t="inlineStr">
        <ns0:is>
          <ns0:t>울릉전도·죽도</ns0:t>
        </ns0:is>
      </ns0:c>
      <ns0:c r="D444" s="10" t="n">
        <ns0:v>0</ns0:v>
      </ns0:c>
      <ns0:c r="E444" s="10" t="inlineStr">
        <ns0:is>
          <ns0:t>제2조에 적힌 석도가 빠졌어요.</ns0:t>
        </ns0:is>
      </ns0:c>
      <ns0:c r="F444" s="10" t="inlineStr">
        <ns0:is>
          <ns0:t>Ulleungjeondo and Jukdo</ns0:t>
        </ns0:is>
      </ns0:c>
      <ns0:c r="G444" s="10" t="inlineStr">
        <ns0:is>
          <ns0:t>Seokdo has been omitted.</ns0:t>
        </ns0:is>
      </ns0:c>
    </ns0:row>
    <ns0:row r="445" ht="33" customHeight="1">
      <ns0:c r="A445" s="12" t="n">
        <ns0:v>920151</ns0:v>
      </ns0:c>
      <ns0:c r="B445" s="12" t="inlineStr">
        <ns0:is>
          <ns0:t>c</ns0:t>
        </ns0:is>
      </ns0:c>
      <ns0:c r="C445" s="12" t="inlineStr">
        <ns0:is>
          <ns0:t>울릉전도·석도·오키섬</ns0:t>
        </ns0:is>
      </ns0:c>
      <ns0:c r="D445" s="12" t="n">
        <ns0:v>0</ns0:v>
      </ns0:c>
      <ns0:c r="E445" s="12" t="inlineStr">
        <ns0:is>
          <ns0:t>죽도가 빠지고 원문 목록에 없는 오키섬이 추가됐어요.</ns0:t>
        </ns0:is>
      </ns0:c>
      <ns0:c r="F445" s="12" t="inlineStr">
        <ns0:is>
          <ns0:t>Ulleungjeondo, Seokdo and Oki</ns0:t>
        </ns0:is>
      </ns0:c>
      <ns0:c r="G445" s="12" t="inlineStr">
        <ns0:is>
          <ns0:t>Jukdo is missing and Oki has been added without textual support.</ns0:t>
        </ns0:is>
      </ns0:c>
    </ns0:row>
    <ns0:row r="446" ht="33" customHeight="1">
      <ns0:c r="A446" s="10" t="n">
        <ns0:v>920151</ns0:v>
      </ns0:c>
      <ns0:c r="B446" s="10" t="inlineStr">
        <ns0:is>
          <ns0:t>a</ns0:t>
        </ns0:is>
      </ns0:c>
      <ns0:c r="C446" s="10" t="inlineStr">
        <ns0:is>
          <ns0:t>울릉전도·죽도·석도</ns0:t>
        </ns0:is>
      </ns0:c>
      <ns0:c r="D446" s="10" t="n">
        <ns0:v>1</ns0:v>
      </ns0:c>
      <ns0:c r="E446" s="10" t="inlineStr">
        <ns0:is>
          <ns0:t>제2조의 세 지명을 모두 포함해요.</ns0:t>
        </ns0:is>
      </ns0:c>
      <ns0:c r="F446" s="10" t="inlineStr">
        <ns0:is>
          <ns0:t>Ulleungjeondo, Jukdo and Seokdo</ns0:t>
        </ns0:is>
      </ns0:c>
      <ns0:c r="G446" s="10" t="inlineStr">
        <ns0:is>
          <ns0:t>This includes all three names in Article 2.</ns0:t>
        </ns0:is>
      </ns0:c>
    </ns0:row>
    <ns0:row r="447" ht="33" customHeight="1">
      <ns0:c r="A447" s="12" t="n">
        <ns0:v>920152</ns0:v>
      </ns0:c>
      <ns0:c r="B447" s="12" t="inlineStr">
        <ns0:is>
          <ns0:t>a</ns0:t>
        </ns0:is>
      </ns0:c>
      <ns0:c r="C447" s="12" t="inlineStr">
        <ns0:is>
          <ns0:t>죽도와 석도도 관할 목록에 있다는 점</ns0:t>
        </ns0:is>
      </ns0:c>
      <ns0:c r="D447" s="12" t="n">
        <ns0:v>1</ns0:v>
      </ns0:c>
      <ns0:c r="E447" s="12" t="inlineStr">
        <ns0:is>
          <ns0:t>울릉전도 다음에 적힌 두 지명도 빼지 않고 읽어야 해요.</ns0:t>
        </ns0:is>
      </ns0:c>
      <ns0:c r="F447" s="12" t="inlineStr">
        <ns0:is>
          <ns0:t>Jukdo and Seokdo are also listed</ns0:t>
        </ns0:is>
      </ns0:c>
      <ns0:c r="G447" s="12" t="inlineStr">
        <ns0:is>
          <ns0:t>The two names following Ulleungjeondo must also be included.</ns0:t>
        </ns0:is>
      </ns0:c>
    </ns0:row>
    <ns0:row r="448" ht="33" customHeight="1">
      <ns0:c r="A448" s="10" t="n">
        <ns0:v>920152</ns0:v>
      </ns0:c>
      <ns0:c r="B448" s="10" t="inlineStr">
        <ns0:is>
          <ns0:t>b</ns0:t>
        </ns0:is>
      </ns0:c>
      <ns0:c r="C448" s="10" t="inlineStr">
        <ns0:is>
          <ns0:t>오키섬이 관할 목록에 있다는 점</ns0:t>
        </ns0:is>
      </ns0:c>
      <ns0:c r="D448" s="10" t="n">
        <ns0:v>0</ns0:v>
      </ns0:c>
      <ns0:c r="E448" s="10" t="inlineStr">
        <ns0:is>
          <ns0:t>원문 목록에는 오키섬이 없어요.</ns0:t>
        </ns0:is>
      </ns0:c>
      <ns0:c r="F448" s="10" t="inlineStr">
        <ns0:is>
          <ns0:t>Oki is listed</ns0:t>
        </ns0:is>
      </ns0:c>
      <ns0:c r="G448" s="10" t="inlineStr">
        <ns0:is>
          <ns0:t>Oki is not in the original list.</ns0:t>
        </ns0:is>
      </ns0:c>
    </ns0:row>
    <ns0:row r="449" ht="33" customHeight="1">
      <ns0:c r="A449" s="12" t="n">
        <ns0:v>920152</ns0:v>
      </ns0:c>
      <ns0:c r="B449" s="12" t="inlineStr">
        <ns0:is>
          <ns0:t>c</ns0:t>
        </ns0:is>
      </ns0:c>
      <ns0:c r="C449" s="12" t="inlineStr">
        <ns0:is>
          <ns0:t>제주도가 관할 목록에 있다는 점</ns0:t>
        </ns0:is>
      </ns0:c>
      <ns0:c r="D449" s="12" t="n">
        <ns0:v>0</ns0:v>
      </ns0:c>
      <ns0:c r="E449" s="12" t="inlineStr">
        <ns0:is>
          <ns0:t>원문 목록에는 제주도가 없어요.</ns0:t>
        </ns0:is>
      </ns0:c>
      <ns0:c r="F449" s="12" t="inlineStr">
        <ns0:is>
          <ns0:t>Jeju is listed</ns0:t>
        </ns0:is>
      </ns0:c>
      <ns0:c r="G449" s="12" t="inlineStr">
        <ns0:is>
          <ns0:t>Jeju is not in the original list.</ns0:t>
        </ns0:is>
      </ns0:c>
    </ns0:row>
    <ns0:row r="450" ht="33" customHeight="1">
      <ns0:c r="A450" s="10" t="n">
        <ns0:v>920153</ns0:v>
      </ns0:c>
      <ns0:c r="B450" s="10" t="inlineStr">
        <ns0:is>
          <ns0:t>b</ns0:t>
        </ns0:is>
      </ns0:c>
      <ns0:c r="C450" s="10" t="inlineStr">
        <ns0:is>
          <ns0:t>1900년 10월 27일</ns0:t>
        </ns0:is>
      </ns0:c>
      <ns0:c r="D450" s="10" t="n">
        <ns0:v>0</ns0:v>
      </ns0:c>
      <ns0:c r="E450" s="10" t="inlineStr">
        <ns0:is>
          <ns0:t>10월 27일은 관보에 실린 날짜이며 문서 자체의 날짜와 달라요.</ns0:t>
        </ns0:is>
      </ns0:c>
      <ns0:c r="F450" s="10" t="inlineStr">
        <ns0:is>
          <ns0:t>27 October 1900</ns0:t>
        </ns0:is>
      </ns0:c>
      <ns0:c r="G450" s="10" t="inlineStr">
        <ns0:is>
          <ns0:t>27 October is the gazette publication date.</ns0:t>
        </ns0:is>
      </ns0:c>
    </ns0:row>
    <ns0:row r="451" ht="33" customHeight="1">
      <ns0:c r="A451" s="12" t="n">
        <ns0:v>920153</ns0:v>
      </ns0:c>
      <ns0:c r="B451" s="12" t="inlineStr">
        <ns0:is>
          <ns0:t>a</ns0:t>
        </ns0:is>
      </ns0:c>
      <ns0:c r="C451" s="12" t="inlineStr">
        <ns0:is>
          <ns0:t>1900년 10월 25일</ns0:t>
        </ns0:is>
      </ns0:c>
      <ns0:c r="D451" s="12" t="n">
        <ns0:v>1</ns0:v>
      </ns0:c>
      <ns0:c r="E451" s="12" t="inlineStr">
        <ns0:is>
          <ns0:t>칙령 문서의 날짜는 10월 25일이에요.</ns0:t>
        </ns0:is>
      </ns0:c>
      <ns0:c r="F451" s="12" t="inlineStr">
        <ns0:is>
          <ns0:t>25 October 1900</ns0:t>
        </ns0:is>
      </ns0:c>
      <ns0:c r="G451" s="12" t="inlineStr">
        <ns0:is>
          <ns0:t>The decree itself is dated 25 October.</ns0:t>
        </ns0:is>
      </ns0:c>
    </ns0:row>
    <ns0:row r="452" ht="33" customHeight="1">
      <ns0:c r="A452" s="10" t="n">
        <ns0:v>920153</ns0:v>
      </ns0:c>
      <ns0:c r="B452" s="10" t="inlineStr">
        <ns0:is>
          <ns0:t>c</ns0:t>
        </ns0:is>
      </ns0:c>
      <ns0:c r="C452" s="10" t="inlineStr">
        <ns0:is>
          <ns0:t>1906년 5월 10일</ns0:t>
        </ns0:is>
      </ns0:c>
      <ns0:c r="D452" s="10" t="n">
        <ns0:v>0</ns0:v>
      </ns0:c>
      <ns0:c r="E452" s="10" t="inlineStr">
        <ns0:is>
          <ns0:t>이 날짜는 1906년 지령 제3호와 관련되며 칙령 제41호 날짜가 아니에요.</ns0:t>
        </ns0:is>
      </ns0:c>
      <ns0:c r="F452" s="10" t="inlineStr">
        <ns0:is>
          <ns0:t>10 May 1906</ns0:t>
        </ns0:is>
      </ns0:c>
      <ns0:c r="G452" s="10" t="inlineStr">
        <ns0:is>
          <ns0:t>This date concerns Directive No. 3 in 1906, not Decree No. 41.</ns0:t>
        </ns0:is>
      </ns0:c>
    </ns0:row>
    <ns0:row r="453" ht="33" customHeight="1">
      <ns0:c r="A453" s="12" t="n">
        <ns0:v>920154</ns0:v>
      </ns0:c>
      <ns0:c r="B453" s="12" t="inlineStr">
        <ns0:is>
          <ns0:t>b</ns0:t>
        </ns0:is>
      </ns0:c>
      <ns0:c r="C453" s="12" t="inlineStr">
        <ns0:is>
          <ns0:t>새 행정 개편안을 상부에 제안</ns0:t>
        </ns0:is>
      </ns0:c>
      <ns0:c r="D453" s="12" t="n">
        <ns0:v>0</ns0:v>
      </ns0:c>
      <ns0:c r="E453" s="12" t="inlineStr">
        <ns0:is>
          <ns0:t>제안을 올리는 청의서와 공표하는 관보는 역할이 달라요.</ns0:t>
        </ns0:is>
      </ns0:c>
      <ns0:c r="F453" s="12" t="inlineStr">
        <ns0:is>
          <ns0:t>Submitting a new reform proposal</ns0:t>
        </ns0:is>
      </ns0:c>
      <ns0:c r="G453" s="12" t="inlineStr">
        <ns0:is>
          <ns0:t>A proposal petition differs from the gazette that publishes official notices.</ns0:t>
        </ns0:is>
      </ns0:c>
    </ns0:row>
    <ns0:row r="454" ht="33" customHeight="1">
      <ns0:c r="A454" s="10" t="n">
        <ns0:v>920154</ns0:v>
      </ns0:c>
      <ns0:c r="B454" s="10" t="inlineStr">
        <ns0:is>
          <ns0:t>c</ns0:t>
        </ns0:is>
      </ns0:c>
      <ns0:c r="C454" s="10" t="inlineStr">
        <ns0:is>
          <ns0:t>현지 상황을 상부에만 보고</ns0:t>
        </ns0:is>
      </ns0:c>
      <ns0:c r="D454" s="10" t="n">
        <ns0:v>0</ns0:v>
      </ns0:c>
      <ns0:c r="E454" s="10" t="inlineStr">
        <ns0:is>
          <ns0:t>상황을 보고하는 문서와 공식 공표 매체를 구분해야 해요.</ns0:t>
        </ns0:is>
      </ns0:c>
      <ns0:c r="F454" s="10" t="inlineStr">
        <ns0:is>
          <ns0:t>Reporting local events only to a superior</ns0:t>
        </ns0:is>
      </ns0:c>
      <ns0:c r="G454" s="10" t="inlineStr">
        <ns0:is>
          <ns0:t>An internal report differs from an official publication medium.</ns0:t>
        </ns0:is>
      </ns0:c>
    </ns0:row>
    <ns0:row r="455" ht="33" customHeight="1">
      <ns0:c r="A455" s="12" t="n">
        <ns0:v>920154</ns0:v>
      </ns0:c>
      <ns0:c r="B455" s="12" t="inlineStr">
        <ns0:is>
          <ns0:t>a</ns0:t>
        </ns0:is>
      </ns0:c>
      <ns0:c r="C455" s="12" t="inlineStr">
        <ns0:is>
          <ns0:t>결정된 명령을 공식적으로 알림</ns0:t>
        </ns0:is>
      </ns0:c>
      <ns0:c r="D455" s="12" t="n">
        <ns0:v>1</ns0:v>
      </ns0:c>
      <ns0:c r="E455" s="12" t="inlineStr">
        <ns0:is>
          <ns0:t>관보는 칙령 등 국가의 공식 내용을 공표하는 기록이에요.</ns0:t>
        </ns0:is>
      </ns0:c>
      <ns0:c r="F455" s="12" t="inlineStr">
        <ns0:is>
          <ns0:t>Officially announcing an issued order</ns0:t>
        </ns0:is>
      </ns0:c>
      <ns0:c r="G455" s="12" t="inlineStr">
        <ns0:is>
          <ns0:t>The gazette publishes official material such as decrees.</ns0:t>
        </ns0:is>
      </ns0:c>
    </ns0:row>
    <ns0:row r="456" ht="33" customHeight="1">
      <ns0:c r="A456" s="10" t="n">
        <ns0:v>920155</ns0:v>
      </ns0:c>
      <ns0:c r="B456" s="10" t="inlineStr">
        <ns0:is>
          <ns0:t>a</ns0:t>
        </ns0:is>
      </ns0:c>
      <ns0:c r="C456" s="10" t="inlineStr">
        <ns0:is>
          <ns0:t>1900년 10월 27일</ns0:t>
        </ns0:is>
      </ns0:c>
      <ns0:c r="D456" s="10" t="n">
        <ns0:v>1</ns0:v>
      </ns0:c>
      <ns0:c r="E456" s="10" t="inlineStr">
        <ns0:is>
          <ns0:t>제시된 기록에서 관보 게재 날짜는 10월 27일이에요.</ns0:t>
        </ns0:is>
      </ns0:c>
      <ns0:c r="F456" s="10" t="inlineStr">
        <ns0:is>
          <ns0:t>27 October 1900</ns0:t>
        </ns0:is>
      </ns0:c>
      <ns0:c r="G456" s="10" t="inlineStr">
        <ns0:is>
          <ns0:t>The supplied publication record dates the gazette entry to 27 October.</ns0:t>
        </ns0:is>
      </ns0:c>
    </ns0:row>
    <ns0:row r="457" ht="33" customHeight="1">
      <ns0:c r="A457" s="12" t="n">
        <ns0:v>920155</ns0:v>
      </ns0:c>
      <ns0:c r="B457" s="12" t="inlineStr">
        <ns0:is>
          <ns0:t>b</ns0:t>
        </ns0:is>
      </ns0:c>
      <ns0:c r="C457" s="12" t="inlineStr">
        <ns0:is>
          <ns0:t>1900년 10월 25일</ns0:t>
        </ns0:is>
      </ns0:c>
      <ns0:c r="D457" s="12" t="n">
        <ns0:v>0</ns0:v>
      </ns0:c>
      <ns0:c r="E457" s="12" t="inlineStr">
        <ns0:is>
          <ns0:t>이는 칙령 자체에 적힌 날짜예요.</ns0:t>
        </ns0:is>
      </ns0:c>
      <ns0:c r="F457" s="12" t="inlineStr">
        <ns0:is>
          <ns0:t>25 October 1900</ns0:t>
        </ns0:is>
      </ns0:c>
      <ns0:c r="G457" s="12" t="inlineStr">
        <ns0:is>
          <ns0:t>This is the date written on the decree itself.</ns0:t>
        </ns0:is>
      </ns0:c>
    </ns0:row>
    <ns0:row r="458" ht="33" customHeight="1">
      <ns0:c r="A458" s="10" t="n">
        <ns0:v>920155</ns0:v>
      </ns0:c>
      <ns0:c r="B458" s="10" t="inlineStr">
        <ns0:is>
          <ns0:t>c</ns0:t>
        </ns0:is>
      </ns0:c>
      <ns0:c r="C458" s="10" t="inlineStr">
        <ns0:is>
          <ns0:t>1900년 10월 22일</ns0:t>
        </ns0:is>
      </ns0:c>
      <ns0:c r="D458" s="10" t="n">
        <ns0:v>0</ns0:v>
      </ns0:c>
      <ns0:c r="E458" s="10" t="inlineStr">
        <ns0:is>
          <ns0:t>이는 행정 개편 청의서의 날짜이며 관보 게재 날짜가 아니에요.</ns0:t>
        </ns0:is>
      </ns0:c>
      <ns0:c r="F458" s="10" t="inlineStr">
        <ns0:is>
          <ns0:t>22 October 1900</ns0:t>
        </ns0:is>
      </ns0:c>
      <ns0:c r="G458" s="10" t="inlineStr">
        <ns0:is>
          <ns0:t>This is the date of the proposal, not gazette publication.</ns0:t>
        </ns0:is>
      </ns0:c>
    </ns0:row>
    <ns0:row r="459" ht="33" customHeight="1">
      <ns0:c r="A459" s="12" t="n">
        <ns0:v>920156</ns0:v>
      </ns0:c>
      <ns0:c r="B459" s="12" t="inlineStr">
        <ns0:is>
          <ns0:t>b</ns0:t>
        </ns0:is>
      </ns0:c>
      <ns0:c r="C459" s="12" t="inlineStr">
        <ns0:is>
          <ns0:t>서로 다른 두 칙령이기 때문</ns0:t>
        </ns0:is>
      </ns0:c>
      <ns0:c r="D459" s="12" t="n">
        <ns0:v>0</ns0:v>
      </ns0:c>
      <ns0:c r="E459" s="12" t="inlineStr">
        <ns0:is>
          <ns0:t>두 자료 모두 칙령 제41호이며 날짜가 다르다고 다른 명령이 되는 것은 아니에요.</ns0:t>
        </ns0:is>
      </ns0:c>
      <ns0:c r="F459" s="12" t="inlineStr">
        <ns0:is>
          <ns0:t>They must be two different decrees</ns0:t>
        </ns0:is>
      </ns0:c>
      <ns0:c r="G459" s="12" t="inlineStr">
        <ns0:is>
          <ns0:t>Both refer to Decree No. 41; different dates do not by themselves mean different orders.</ns0:t>
        </ns0:is>
      </ns0:c>
    </ns0:row>
    <ns0:row r="460" ht="38" customHeight="1">
      <ns0:c r="A460" s="10" t="n">
        <ns0:v>920156</ns0:v>
      </ns0:c>
      <ns0:c r="B460" s="10" t="inlineStr">
        <ns0:is>
          <ns0:t>a</ns0:t>
        </ns0:is>
      </ns0:c>
      <ns0:c r="C460" s="10" t="inlineStr">
        <ns0:is>
          <ns0:t>문서 날짜와 공식 게재 날짜가 다르기 때문</ns0:t>
        </ns0:is>
      </ns0:c>
      <ns0:c r="D460" s="10" t="n">
        <ns0:v>1</ns0:v>
      </ns0:c>
      <ns0:c r="E460" s="10" t="inlineStr">
        <ns0:is>
          <ns0:t>같은 칙령이라도 문서에 적힌 날짜와 관보에 실린 날짜는 구분해요.</ns0:t>
        </ns0:is>
      </ns0:c>
      <ns0:c r="F460" s="10" t="inlineStr">
        <ns0:is>
          <ns0:t>The document date differs from its official publication date</ns0:t>
        </ns0:is>
      </ns0:c>
      <ns0:c r="G460" s="10" t="inlineStr">
        <ns0:is>
          <ns0:t>A decree’s date and its appearance in the gazette are distinct.</ns0:t>
        </ns0:is>
      </ns0:c>
    </ns0:row>
    <ns0:row r="461" ht="33" customHeight="1">
      <ns0:c r="A461" s="12" t="n">
        <ns0:v>920156</ns0:v>
      </ns0:c>
      <ns0:c r="B461" s="12" t="inlineStr">
        <ns0:is>
          <ns0:t>c</ns0:t>
        </ns0:is>
      </ns0:c>
      <ns0:c r="C461" s="12" t="inlineStr">
        <ns0:is>
          <ns0:t>둘 중 하나가 반드시 오기이기 때문</ns0:t>
        </ns0:is>
      </ns0:c>
      <ns0:c r="D461" s="12" t="n">
        <ns0:v>0</ns0:v>
      </ns0:c>
      <ns0:c r="E461" s="12" t="inlineStr">
        <ns0:is>
          <ns0:t>각 날짜가 가리키는 절차가 다르므로 곧바로 오기라고 할 수 없어요.</ns0:t>
        </ns0:is>
      </ns0:c>
      <ns0:c r="F461" s="12" t="inlineStr">
        <ns0:is>
          <ns0:t>One date must be a printing error</ns0:t>
        </ns0:is>
      </ns0:c>
      <ns0:c r="G461" s="12" t="inlineStr">
        <ns0:is>
          <ns0:t>The dates refer to different steps, so no error follows automatically.</ns0:t>
        </ns0:is>
      </ns0:c>
    </ns0:row>
    <ns0:row r="462" ht="33" customHeight="1">
      <ns0:c r="A462" s="10" t="n">
        <ns0:v>920157</ns0:v>
      </ns0:c>
      <ns0:c r="B462" s="10" t="inlineStr">
        <ns0:is>
          <ns0:t>b</ns0:t>
        </ns0:is>
      </ns0:c>
      <ns0:c r="C462" s="10" t="inlineStr">
        <ns0:is>
          <ns0:t>도해금지령</ns0:t>
        </ns0:is>
      </ns0:c>
      <ns0:c r="D462" s="10" t="n">
        <ns0:v>0</ns0:v>
      </ns0:c>
      <ns0:c r="E462" s="10" t="inlineStr">
        <ns0:is>
          <ns0:t>도해금지령은 바다를 건너가는 일을 금지하는 명령이며 행정 개편 제안서와 달라요.</ns0:t>
        </ns0:is>
      </ns0:c>
      <ns0:c r="F462" s="10" t="inlineStr">
        <ns0:is>
          <ns0:t>A voyage prohibition</ns0:t>
        </ns0:is>
      </ns0:c>
      <ns0:c r="G462" s="10" t="inlineStr">
        <ns0:is>
          <ns0:t>A voyage prohibition restricts travel, unlike this reform proposal.</ns0:t>
        </ns0:is>
      </ns0:c>
    </ns0:row>
    <ns0:row r="463" ht="33" customHeight="1">
      <ns0:c r="A463" s="12" t="n">
        <ns0:v>920157</ns0:v>
      </ns0:c>
      <ns0:c r="B463" s="12" t="inlineStr">
        <ns0:is>
          <ns0:t>c</ns0:t>
        </ns0:is>
      </ns0:c>
      <ns0:c r="C463" s="12" t="inlineStr">
        <ns0:is>
          <ns0:t>태정관지령</ns0:t>
        </ns0:is>
      </ns0:c>
      <ns0:c r="D463" s="12" t="n">
        <ns0:v>0</ns0:v>
      </ns0:c>
      <ns0:c r="E463" s="12" t="inlineStr">
        <ns0:is>
          <ns0:t>태정관지령은 일본의 1877년 문서이며 대한제국의 이 제안서가 아니에요.</ns0:t>
        </ns0:is>
      </ns0:c>
      <ns0:c r="F463" s="12" t="inlineStr">
        <ns0:is>
          <ns0:t>The Dajokan directive</ns0:t>
        </ns0:is>
      </ns0:c>
      <ns0:c r="G463" s="12" t="inlineStr">
        <ns0:is>
          <ns0:t>The Dajokan directive is a Japanese document from 1877, not this proposal.</ns0:t>
        </ns0:is>
      </ns0:c>
    </ns0:row>
    <ns0:row r="464" ht="33" customHeight="1">
      <ns0:c r="A464" s="10" t="n">
        <ns0:v>920157</ns0:v>
      </ns0:c>
      <ns0:c r="B464" s="10" t="inlineStr">
        <ns0:is>
          <ns0:t>a</ns0:t>
        </ns0:is>
      </ns0:c>
      <ns0:c r="C464" s="10" t="inlineStr">
        <ns0:is>
          <ns0:t>청의서</ns0:t>
        </ns0:is>
      </ns0:c>
      <ns0:c r="D464" s="10" t="n">
        <ns0:v>1</ns0:v>
      </ns0:c>
      <ns0:c r="E464" s="10" t="inlineStr">
        <ns0:is>
          <ns0:t>청의서는 안건을 올려 검토를 요청하는 문서예요.</ns0:t>
        </ns0:is>
      </ns0:c>
      <ns0:c r="F464" s="10" t="inlineStr">
        <ns0:is>
          <ns0:t>A petition submitting a proposal</ns0:t>
        </ns0:is>
      </ns0:c>
      <ns0:c r="G464" s="10" t="inlineStr">
        <ns0:is>
          <ns0:t>A petition submits a matter for consideration.</ns0:t>
        </ns0:is>
      </ns0:c>
    </ns0:row>
    <ns0:row r="465" ht="33" customHeight="1">
      <ns0:c r="A465" s="12" t="n">
        <ns0:v>920158</ns0:v>
      </ns0:c>
      <ns0:c r="B465" s="12" t="inlineStr">
        <ns0:is>
          <ns0:t>a</ns0:t>
        </ns0:is>
      </ns0:c>
      <ns0:c r="C465" s="12" t="inlineStr">
        <ns0:is>
          <ns0:t>청의서: 제안 / 칙령: 황제의 명령</ns0:t>
        </ns0:is>
      </ns0:c>
      <ns0:c r="D465" s="12" t="n">
        <ns0:v>1</ns0:v>
      </ns0:c>
      <ns0:c r="E465" s="12" t="inlineStr">
        <ns0:is>
          <ns0:t>제안과 명령이라는 문서의 역할이 다릅니다.</ns0:t>
        </ns0:is>
      </ns0:c>
      <ns0:c r="F465" s="12" t="inlineStr">
        <ns0:is>
          <ns0:t>Petition: proposal / decree: imperial order</ns0:t>
        </ns0:is>
      </ns0:c>
      <ns0:c r="G465" s="12" t="inlineStr">
        <ns0:is>
          <ns0:t>The documents have different roles: proposal and order.</ns0:t>
        </ns0:is>
      </ns0:c>
    </ns0:row>
    <ns0:row r="466" ht="33" customHeight="1">
      <ns0:c r="A466" s="10" t="n">
        <ns0:v>920158</ns0:v>
      </ns0:c>
      <ns0:c r="B466" s="10" t="inlineStr">
        <ns0:is>
          <ns0:t>b</ns0:t>
        </ns0:is>
      </ns0:c>
      <ns0:c r="C466" s="10" t="inlineStr">
        <ns0:is>
          <ns0:t>청의서: 황제의 명령 / 칙령: 제안</ns0:t>
        </ns0:is>
      </ns0:c>
      <ns0:c r="D466" s="10" t="n">
        <ns0:v>0</ns0:v>
      </ns0:c>
      <ns0:c r="E466" s="10" t="inlineStr">
        <ns0:is>
          <ns0:t>두 기능을 뒤바꿨어요.</ns0:t>
        </ns0:is>
      </ns0:c>
      <ns0:c r="F466" s="10" t="inlineStr">
        <ns0:is>
          <ns0:t>Petition: imperial order / decree: proposal</ns0:t>
        </ns0:is>
      </ns0:c>
      <ns0:c r="G466" s="10" t="inlineStr">
        <ns0:is>
          <ns0:t>These reverse the functions.</ns0:t>
        </ns0:is>
      </ns0:c>
    </ns0:row>
    <ns0:row r="467" ht="38" customHeight="1">
      <ns0:c r="A467" s="12" t="n">
        <ns0:v>920158</ns0:v>
      </ns0:c>
      <ns0:c r="B467" s="12" t="inlineStr">
        <ns0:is>
          <ns0:t>c</ns0:t>
        </ns0:is>
      </ns0:c>
      <ns0:c r="C467" s="12" t="inlineStr">
        <ns0:is>
          <ns0:t>청의서: 관보 게재 / 칙령: 현지 보고</ns0:t>
        </ns0:is>
      </ns0:c>
      <ns0:c r="D467" s="12" t="n">
        <ns0:v>0</ns0:v>
      </ns0:c>
      <ns0:c r="E467" s="12" t="inlineStr">
        <ns0:is>
          <ns0:t>공표 매체와 현지 보고는 이 두 문서가 맡은 역할이 아니에요.</ns0:t>
        </ns0:is>
      </ns0:c>
      <ns0:c r="F467" s="12" t="inlineStr">
        <ns0:is>
          <ns0:t>Petition: gazette publication / decree: local report</ns0:t>
        </ns0:is>
      </ns0:c>
      <ns0:c r="G467" s="12" t="inlineStr">
        <ns0:is>
          <ns0:t>Publication and local reporting are not the roles of this pair.</ns0:t>
        </ns0:is>
      </ns0:c>
    </ns0:row>
    <ns0:row r="468" ht="33" customHeight="1">
      <ns0:c r="A468" s="10" t="n">
        <ns0:v>920159</ns0:v>
      </ns0:c>
      <ns0:c r="B468" s="10" t="inlineStr">
        <ns0:is>
          <ns0:t>b</ns0:t>
        </ns0:is>
      </ns0:c>
      <ns0:c r="C468" s="10" t="inlineStr">
        <ns0:is>
          <ns0:t>관보 게재 → 청의서 → 칙령</ns0:t>
        </ns0:is>
      </ns0:c>
      <ns0:c r="D468" s="10" t="n">
        <ns0:v>0</ns0:v>
      </ns0:c>
      <ns0:c r="E468" s="10" t="inlineStr">
        <ns0:is>
          <ns0:t>27일의 게재를 22일의 제안보다 먼저 놓았어요.</ns0:t>
        </ns0:is>
      </ns0:c>
      <ns0:c r="F468" s="10" t="inlineStr">
        <ns0:is>
          <ns0:t>Gazette → petition → decree</ns0:t>
        </ns0:is>
      </ns0:c>
      <ns0:c r="G468" s="10" t="inlineStr">
        <ns0:is>
          <ns0:t>This incorrectly places the 27th before the proposal on the 22nd.</ns0:t>
        </ns0:is>
      </ns0:c>
    </ns0:row>
    <ns0:row r="469" ht="33" customHeight="1">
      <ns0:c r="A469" s="12" t="n">
        <ns0:v>920159</ns0:v>
      </ns0:c>
      <ns0:c r="B469" s="12" t="inlineStr">
        <ns0:is>
          <ns0:t>a</ns0:t>
        </ns0:is>
      </ns0:c>
      <ns0:c r="C469" s="12" t="inlineStr">
        <ns0:is>
          <ns0:t>청의서 → 칙령 → 관보 게재</ns0:t>
        </ns0:is>
      </ns0:c>
      <ns0:c r="D469" s="12" t="n">
        <ns0:v>1</ns0:v>
      </ns0:c>
      <ns0:c r="E469" s="12" t="inlineStr">
        <ns0:is>
          <ns0:t>22일, 25일, 27일 순서로 이어져요.</ns0:t>
        </ns0:is>
      </ns0:c>
      <ns0:c r="F469" s="12" t="inlineStr">
        <ns0:is>
          <ns0:t>Petition → decree → gazette publication</ns0:t>
        </ns0:is>
      </ns0:c>
      <ns0:c r="G469" s="12" t="inlineStr">
        <ns0:is>
          <ns0:t>The dates run from the 22nd to the 25th to the 27th.</ns0:t>
        </ns0:is>
      </ns0:c>
    </ns0:row>
    <ns0:row r="470" ht="33" customHeight="1">
      <ns0:c r="A470" s="10" t="n">
        <ns0:v>920159</ns0:v>
      </ns0:c>
      <ns0:c r="B470" s="10" t="inlineStr">
        <ns0:is>
          <ns0:t>c</ns0:t>
        </ns0:is>
      </ns0:c>
      <ns0:c r="C470" s="10" t="inlineStr">
        <ns0:is>
          <ns0:t>칙령 → 관보 게재 → 청의서</ns0:t>
        </ns0:is>
      </ns0:c>
      <ns0:c r="D470" s="10" t="n">
        <ns0:v>0</ns0:v>
      </ns0:c>
      <ns0:c r="E470" s="10" t="inlineStr">
        <ns0:is>
          <ns0:t>22일 청의서가 가장 앞인데 마지막으로 놓았어요.</ns0:t>
        </ns0:is>
      </ns0:c>
      <ns0:c r="F470" s="10" t="inlineStr">
        <ns0:is>
          <ns0:t>Decree → gazette → petition</ns0:t>
        </ns0:is>
      </ns0:c>
      <ns0:c r="G470" s="10" t="inlineStr">
        <ns0:is>
          <ns0:t>The petition on the 22nd is earliest, not last.</ns0:t>
        </ns0:is>
      </ns0:c>
    </ns0:row>
    <ns0:row r="471" ht="33" customHeight="1">
      <ns0:c r="A471" s="12" t="n">
        <ns0:v>920160</ns0:v>
      </ns0:c>
      <ns0:c r="B471" s="12" t="inlineStr">
        <ns0:is>
          <ns0:t>b</ns0:t>
        </ns0:is>
      </ns0:c>
      <ns0:c r="C471" s="12" t="inlineStr">
        <ns0:is>
          <ns0:t>청의서에는 날짜를 적을 수 없기 때문</ns0:t>
        </ns0:is>
      </ns0:c>
      <ns0:c r="D471" s="12" t="n">
        <ns0:v>0</ns0:v>
      </ns0:c>
      <ns0:c r="E471" s="12" t="inlineStr">
        <ns0:is>
          <ns0:t>청의서에도 날짜가 있으며 여기서는 10월 22일로 제시돼요.</ns0:t>
        </ns0:is>
      </ns0:c>
      <ns0:c r="F471" s="12" t="inlineStr">
        <ns0:is>
          <ns0:t>A petition cannot have a date</ns0:t>
        </ns0:is>
      </ns0:c>
      <ns0:c r="G471" s="12" t="inlineStr">
        <ns0:is>
          <ns0:t>The supplied petition does carry a date: 22 October.</ns0:t>
        </ns0:is>
      </ns0:c>
    </ns0:row>
    <ns0:row r="472" ht="33" customHeight="1">
      <ns0:c r="A472" s="10" t="n">
        <ns0:v>920160</ns0:v>
      </ns0:c>
      <ns0:c r="B472" s="10" t="inlineStr">
        <ns0:is>
          <ns0:t>c</ns0:t>
        </ns0:is>
      </ns0:c>
      <ns0:c r="C472" s="10" t="inlineStr">
        <ns0:is>
          <ns0:t>관보는 개인의 의견만 싣기 때문</ns0:t>
        </ns0:is>
      </ns0:c>
      <ns0:c r="D472" s="10" t="n">
        <ns0:v>0</ns0:v>
      </ns0:c>
      <ns0:c r="E472" s="10" t="inlineStr">
        <ns0:is>
          <ns0:t>관보는 정부의 공식 공표 기록이며 개인 의견집이 아니에요.</ns0:t>
        </ns0:is>
      </ns0:c>
      <ns0:c r="F472" s="10" t="inlineStr">
        <ns0:is>
          <ns0:t>A gazette contains only private opinions</ns0:t>
        </ns0:is>
      </ns0:c>
      <ns0:c r="G472" s="10" t="inlineStr">
        <ns0:is>
          <ns0:t>A government gazette is an official publication, not a collection of private views.</ns0:t>
        </ns0:is>
      </ns0:c>
    </ns0:row>
    <ns0:row r="473" ht="38" customHeight="1">
      <ns0:c r="A473" s="12" t="n">
        <ns0:v>920160</ns0:v>
      </ns0:c>
      <ns0:c r="B473" s="12" t="inlineStr">
        <ns0:is>
          <ns0:t>a</ns0:t>
        </ns0:is>
      </ns0:c>
      <ns0:c r="C473" s="12" t="inlineStr">
        <ns0:is>
          <ns0:t>제안 단계와 명령을 알린 단계가 다르기 때문</ns0:t>
        </ns0:is>
      </ns0:c>
      <ns0:c r="D473" s="12" t="n">
        <ns0:v>1</ns0:v>
      </ns0:c>
      <ns0:c r="E473" s="12" t="inlineStr">
        <ns0:is>
          <ns0:t>청의서만으로 공표까지 마쳤다고 할 수 없어요. 칙령과 관보를 함께 확인해요.</ns0:t>
        </ns0:is>
      </ns0:c>
      <ns0:c r="F473" s="12" t="inlineStr">
        <ns0:is>
          <ns0:t>Proposing a measure and publishing an order are different steps</ns0:t>
        </ns0:is>
      </ns0:c>
      <ns0:c r="G473" s="12" t="inlineStr">
        <ns0:is>
          <ns0:t>A proposal alone does not establish publication; the decree and gazette provide the later steps.</ns0:t>
        </ns0:is>
      </ns0:c>
    </ns0:row>
    <ns0:row r="474" ht="33" customHeight="1">
      <ns0:c r="A474" s="10" t="n">
        <ns0:v>920161</ns0:v>
      </ns0:c>
      <ns0:c r="B474" s="10" t="inlineStr">
        <ns0:is>
          <ns0:t>b</ns0:t>
        </ns0:is>
      </ns0:c>
      <ns0:c r="C474" s="10" t="inlineStr">
        <ns0:is>
          <ns0:t>안용복</ns0:t>
        </ns0:is>
      </ns0:c>
      <ns0:c r="D474" s="10" t="n">
        <ns0:v>0</ns0:v>
      </ns0:c>
      <ns0:c r="E474" s="10" t="inlineStr">
        <ns0:is>
          <ns0:t>안용복은 17세기 울릉도·독도 관련 활동의 인물로 1906년 울도군수와 달라요.</ns0:t>
        </ns0:is>
      </ns0:c>
      <ns0:c r="F474" s="10" t="inlineStr">
        <ns0:is>
          <ns0:t>An Yong-bok</ns0:t>
        </ns0:is>
      </ns0:c>
      <ns0:c r="G474" s="10" t="inlineStr">
        <ns0:is>
          <ns0:t>An Yong-bok’s related activity was in the seventeenth century, not as magistrate in 1906.</ns0:t>
        </ns0:is>
      </ns0:c>
    </ns0:row>
    <ns0:row r="475" ht="33" customHeight="1">
      <ns0:c r="A475" s="12" t="n">
        <ns0:v>920161</ns0:v>
      </ns0:c>
      <ns0:c r="B475" s="12" t="inlineStr">
        <ns0:is>
          <ns0:t>a</ns0:t>
        </ns0:is>
      </ns0:c>
      <ns0:c r="C475" s="12" t="inlineStr">
        <ns0:is>
          <ns0:t>심흥택</ns0:t>
        </ns0:is>
      </ns0:c>
      <ns0:c r="D475" s="12" t="n">
        <ns0:v>1</ns0:v>
      </ns0:c>
      <ns0:c r="E475" s="12" t="inlineStr">
        <ns0:is>
          <ns0:t>1906년 보고의 작성자는 울도군수 심흥택이에요.</ns0:t>
        </ns0:is>
      </ns0:c>
      <ns0:c r="F475" s="12" t="inlineStr">
        <ns0:is>
          <ns0:t>Shim Heung-taek</ns0:t>
        </ns0:is>
      </ns0:c>
      <ns0:c r="G475" s="12" t="inlineStr">
        <ns0:is>
          <ns0:t>The report was made by Uldo magistrate Shim Heung-taek.</ns0:t>
        </ns0:is>
      </ns0:c>
    </ns0:row>
    <ns0:row r="476" ht="33" customHeight="1">
      <ns0:c r="A476" s="10" t="n">
        <ns0:v>920161</ns0:v>
      </ns0:c>
      <ns0:c r="B476" s="10" t="inlineStr">
        <ns0:is>
          <ns0:t>c</ns0:t>
        </ns0:is>
      </ns0:c>
      <ns0:c r="C476" s="10" t="inlineStr">
        <ns0:is>
          <ns0:t>박어둔</ns0:t>
        </ns0:is>
      </ns0:c>
      <ns0:c r="D476" s="10" t="n">
        <ns0:v>0</ns0:v>
      </ns0:c>
      <ns0:c r="E476" s="10" t="inlineStr">
        <ns0:is>
          <ns0:t>박어둔은 1693년 안용복과 함께 일본으로 끌려간 인물이에요.</ns0:t>
        </ns0:is>
      </ns0:c>
      <ns0:c r="F476" s="10" t="inlineStr">
        <ns0:is>
          <ns0:t>Park Eo-dun</ns0:t>
        </ns0:is>
      </ns0:c>
      <ns0:c r="G476" s="10" t="inlineStr">
        <ns0:is>
          <ns0:t>Park Eo-dun was taken to Japan with An in 1693.</ns0:t>
        </ns0:is>
      </ns0:c>
    </ns0:row>
    <ns0:row r="477" ht="33" customHeight="1">
      <ns0:c r="A477" s="12" t="n">
        <ns0:v>920161</ns0:v>
      </ns0:c>
      <ns0:c r="B477" s="12" t="inlineStr">
        <ns0:is>
          <ns0:t>d</ns0:t>
        </ns0:is>
      </ns0:c>
      <ns0:c r="C477" s="12" t="inlineStr">
        <ns0:is>
          <ns0:t>이사부</ns0:t>
        </ns0:is>
      </ns0:c>
      <ns0:c r="D477" s="12" t="n">
        <ns0:v>0</ns0:v>
      </ns0:c>
      <ns0:c r="E477" s="12" t="inlineStr">
        <ns0:is>
          <ns0:t>이사부는 훨씬 이른 시기의 우산국 관련 인물이며 이 보고의 작성자가 아니에요.</ns0:t>
        </ns0:is>
      </ns0:c>
      <ns0:c r="F477" s="12" t="inlineStr">
        <ns0:is>
          <ns0:t>Isabu</ns0:t>
        </ns0:is>
      </ns0:c>
      <ns0:c r="G477" s="12" t="inlineStr">
        <ns0:is>
          <ns0:t>Isabu belongs to much earlier history and did not write this report.</ns0:t>
        </ns0:is>
      </ns0:c>
    </ns0:row>
    <ns0:row r="478" ht="33" customHeight="1">
      <ns0:c r="A478" s="10" t="n">
        <ns0:v>920162</ns0:v>
      </ns0:c>
      <ns0:c r="B478" s="10" t="inlineStr">
        <ns0:is>
          <ns0:t>a</ns0:t>
        </ns0:is>
      </ns0:c>
      <ns0:c r="C478" s="10" t="inlineStr">
        <ns0:is>
          <ns0:t>울도군수</ns0:t>
        </ns0:is>
      </ns0:c>
      <ns0:c r="D478" s="10" t="n">
        <ns0:v>1</ns0:v>
      </ns0:c>
      <ns0:c r="E478" s="10" t="inlineStr">
        <ns0:is>
          <ns0:t>심흥택은 울도군의 행정을 맡는 군수였어요.</ns0:t>
        </ns0:is>
      </ns0:c>
      <ns0:c r="F478" s="10" t="inlineStr">
        <ns0:is>
          <ns0:t>Uldo county magistrate</ns0:t>
        </ns0:is>
      </ns0:c>
      <ns0:c r="G478" s="10" t="inlineStr">
        <ns0:is>
          <ns0:t>Shim was responsible for Uldo county administration.</ns0:t>
        </ns0:is>
      </ns0:c>
    </ns0:row>
    <ns0:row r="479" ht="33" customHeight="1">
      <ns0:c r="A479" s="12" t="n">
        <ns0:v>920162</ns0:v>
      </ns0:c>
      <ns0:c r="B479" s="12" t="inlineStr">
        <ns0:is>
          <ns0:t>b</ns0:t>
        </ns0:is>
      </ns0:c>
      <ns0:c r="C479" s="12" t="inlineStr">
        <ns0:is>
          <ns0:t>일본 내무대신</ns0:t>
        </ns0:is>
      </ns0:c>
      <ns0:c r="D479" s="12" t="n">
        <ns0:v>0</ns0:v>
      </ns0:c>
      <ns0:c r="E479" s="12" t="inlineStr">
        <ns0:is>
          <ns0:t>심흥택은 일본 정부 관리가 아니라 대한제국 울도군수예요.</ns0:t>
        </ns0:is>
      </ns0:c>
      <ns0:c r="F479" s="12" t="inlineStr">
        <ns0:is>
          <ns0:t>Japanese home minister</ns0:t>
        </ns0:is>
      </ns0:c>
      <ns0:c r="G479" s="12" t="inlineStr">
        <ns0:is>
          <ns0:t>Shim was a Korean Empire magistrate, not a Japanese minister.</ns0:t>
        </ns0:is>
      </ns0:c>
    </ns0:row>
    <ns0:row r="480" ht="33" customHeight="1">
      <ns0:c r="A480" s="10" t="n">
        <ns0:v>920162</ns0:v>
      </ns0:c>
      <ns0:c r="B480" s="10" t="inlineStr">
        <ns0:is>
          <ns0:t>c</ns0:t>
        </ns0:is>
      </ns0:c>
      <ns0:c r="C480" s="10" t="inlineStr">
        <ns0:is>
          <ns0:t>독도등대지기</ns0:t>
        </ns0:is>
      </ns0:c>
      <ns0:c r="D480" s="10" t="n">
        <ns0:v>0</ns0:v>
      </ns0:c>
      <ns0:c r="E480" s="10" t="inlineStr">
        <ns0:is>
          <ns0:t>그는 등대 관리자가 아니라 군의 행정 책임자였어요.</ns0:t>
        </ns0:is>
      </ns0:c>
      <ns0:c r="F480" s="10" t="inlineStr">
        <ns0:is>
          <ns0:t>Dokdo lighthouse keeper</ns0:t>
        </ns0:is>
      </ns0:c>
      <ns0:c r="G480" s="10" t="inlineStr">
        <ns0:is>
          <ns0:t>He administered the county rather than serving as lighthouse keeper.</ns0:t>
        </ns0:is>
      </ns0:c>
    </ns0:row>
    <ns0:row r="481" ht="38" customHeight="1">
      <ns0:c r="A481" s="12" t="n">
        <ns0:v>920163</ns0:v>
      </ns0:c>
      <ns0:c r="B481" s="12" t="inlineStr">
        <ns0:is>
          <ns0:t>b</ns0:t>
        </ns0:is>
      </ns0:c>
      <ns0:c r="C481" s="12" t="inlineStr">
        <ns0:is>
          <ns0:t>중앙정부 → 일본 어민 → 울도군수</ns0:t>
        </ns0:is>
      </ns0:c>
      <ns0:c r="D481" s="12" t="n">
        <ns0:v>0</ns0:v>
      </ns0:c>
      <ns0:c r="E481" s="12" t="inlineStr">
        <ns0:is>
          <ns0:t>제시된 전달 경로에 일본 어민이 보고 중계자로 들어 있지 않아요.</ns0:t>
        </ns0:is>
      </ns0:c>
      <ns0:c r="F481" s="12" t="inlineStr">
        <ns0:is>
          <ns0:t>Central government → Japanese fishermen → Uldo magistrate</ns0:t>
        </ns0:is>
      </ns0:c>
      <ns0:c r="G481" s="12" t="inlineStr">
        <ns0:is>
          <ns0:t>Japanese fishermen are not intermediaries in the supplied reporting chain.</ns0:t>
        </ns0:is>
      </ns0:c>
    </ns0:row>
    <ns0:row r="482" ht="38" customHeight="1">
      <ns0:c r="A482" s="10" t="n">
        <ns0:v>920163</ns0:v>
      </ns0:c>
      <ns0:c r="B482" s="10" t="inlineStr">
        <ns0:is>
          <ns0:t>a</ns0:t>
        </ns0:is>
      </ns0:c>
      <ns0:c r="C482" s="10" t="inlineStr">
        <ns0:is>
          <ns0:t>울도군수 → 강원도 행정기관 → 중앙정부</ns0:t>
        </ns0:is>
      </ns0:c>
      <ns0:c r="D482" s="10" t="n">
        <ns0:v>1</ns0:v>
      </ns0:c>
      <ns0:c r="E482" s="10" t="inlineStr">
        <ns0:is>
          <ns0:t>현지 보고가 지방 상부를 거쳐 중앙에 전달되는 흐름이에요.</ns0:t>
        </ns0:is>
      </ns0:c>
      <ns0:c r="F482" s="10" t="inlineStr">
        <ns0:is>
          <ns0:t>Uldo magistrate → Gangwon administration → central government</ns0:t>
        </ns0:is>
      </ns0:c>
      <ns0:c r="G482" s="10" t="inlineStr">
        <ns0:is>
          <ns0:t>The local report is relayed through provincial administration to the centre.</ns0:t>
        </ns0:is>
      </ns0:c>
    </ns0:row>
    <ns0:row r="483" ht="38" customHeight="1">
      <ns0:c r="A483" s="12" t="n">
        <ns0:v>920163</ns0:v>
      </ns0:c>
      <ns0:c r="B483" s="12" t="inlineStr">
        <ns0:is>
          <ns0:t>c</ns0:t>
        </ns0:is>
      </ns0:c>
      <ns0:c r="C483" s="12" t="inlineStr">
        <ns0:is>
          <ns0:t>일본 태정관 → 일본 내무성 → 울도군수</ns0:t>
        </ns0:is>
      </ns0:c>
      <ns0:c r="D483" s="12" t="n">
        <ns0:v>0</ns0:v>
      </ns0:c>
      <ns0:c r="E483" s="12" t="inlineStr">
        <ns0:is>
          <ns0:t>이는 1877년 일본 기관의 관계를 1906년 보고와 섞은 것이에요.</ns0:t>
        </ns0:is>
      </ns0:c>
      <ns0:c r="F483" s="12" t="inlineStr">
        <ns0:is>
          <ns0:t>Dajokan → Japanese Home Ministry → Uldo magistrate</ns0:t>
        </ns0:is>
      </ns0:c>
      <ns0:c r="G483" s="12" t="inlineStr">
        <ns0:is>
          <ns0:t>This mixes Japanese institutional roles from 1877 with the 1906 report.</ns0:t>
        </ns0:is>
      </ns0:c>
    </ns0:row>
    <ns0:row r="484" ht="33" customHeight="1">
      <ns0:c r="A484" s="10" t="n">
        <ns0:v>920164</ns0:v>
      </ns0:c>
      <ns0:c r="B484" s="10" t="inlineStr">
        <ns0:is>
          <ns0:t>b</ns0:t>
        </ns0:is>
      </ns0:c>
      <ns0:c r="C484" s="10" t="inlineStr">
        <ns0:is>
          <ns0:t>일본 어민의 개인 여행기이기 때문</ns0:t>
        </ns0:is>
      </ns0:c>
      <ns0:c r="D484" s="10" t="n">
        <ns0:v>0</ns0:v>
      </ns0:c>
      <ns0:c r="E484" s="10" t="inlineStr">
        <ns0:is>
          <ns0:t>작성자는 대한제국의 울도군수이며 개인 여행기가 아니에요.</ns0:t>
        </ns0:is>
      </ns0:c>
      <ns0:c r="F484" s="10" t="inlineStr">
        <ns0:is>
          <ns0:t>It is a Japanese fisherman’s private diary</ns0:t>
        </ns0:is>
      </ns0:c>
      <ns0:c r="G484" s="10" t="inlineStr">
        <ns0:is>
          <ns0:t>The author was a Korean Empire magistrate, not a private Japanese traveller.</ns0:t>
        </ns0:is>
      </ns0:c>
    </ns0:row>
    <ns0:row r="485" ht="38" customHeight="1">
      <ns0:c r="A485" s="12" t="n">
        <ns0:v>920164</ns0:v>
      </ns0:c>
      <ns0:c r="B485" s="12" t="inlineStr">
        <ns0:is>
          <ns0:t>c</ns0:t>
        </ns0:is>
      </ns0:c>
      <ns0:c r="C485" s="12" t="inlineStr">
        <ns0:is>
          <ns0:t>국제재판소가 내린 판결이기 때문</ns0:t>
        </ns0:is>
      </ns0:c>
      <ns0:c r="D485" s="12" t="n">
        <ns0:v>0</ns0:v>
      </ns0:c>
      <ns0:c r="E485" s="12" t="inlineStr">
        <ns0:is>
          <ns0:t>이 보고는 행정 문서이지 국제재판 판결문이 아니에요.</ns0:t>
        </ns0:is>
      </ns0:c>
      <ns0:c r="F485" s="12" t="inlineStr">
        <ns0:is>
          <ns0:t>It is a judgment issued by an international court</ns0:t>
        </ns0:is>
      </ns0:c>
      <ns0:c r="G485" s="12" t="inlineStr">
        <ns0:is>
          <ns0:t>The report is administrative, not an international judgment.</ns0:t>
        </ns0:is>
      </ns0:c>
    </ns0:row>
    <ns0:row r="486" ht="38" customHeight="1">
      <ns0:c r="A486" s="10" t="n">
        <ns0:v>920164</ns0:v>
      </ns0:c>
      <ns0:c r="B486" s="10" t="inlineStr">
        <ns0:is>
          <ns0:t>a</ns0:t>
        </ns0:is>
      </ns0:c>
      <ns0:c r="C486" s="10" t="inlineStr">
        <ns0:is>
          <ns0:t>울도군수가 관할 섬의 상황을 상부에 알렸기 때문</ns0:t>
        </ns0:is>
      </ns0:c>
      <ns0:c r="D486" s="10" t="n">
        <ns0:v>1</ns0:v>
      </ns0:c>
      <ns0:c r="E486" s="10" t="inlineStr">
        <ns0:is>
          <ns0:t>작성자의 직책과 보고 대상이 관할 지역의 행정 책임을 보여줘요.</ns0:t>
        </ns0:is>
      </ns0:c>
      <ns0:c r="F486" s="10" t="inlineStr">
        <ns0:is>
          <ns0:t>The magistrate informed higher authorities about an island in his county</ns0:t>
        </ns0:is>
      </ns0:c>
      <ns0:c r="G486" s="10" t="inlineStr">
        <ns0:is>
          <ns0:t>The author’s office and subject matter show his administrative responsibility.</ns0:t>
        </ns0:is>
      </ns0:c>
    </ns0:row>
    <ns0:row r="487" ht="33" customHeight="1">
      <ns0:c r="A487" s="12" t="n">
        <ns0:v>920165</ns0:v>
      </ns0:c>
      <ns0:c r="B487" s="12" t="inlineStr">
        <ns0:is>
          <ns0:t>a</ns0:t>
        </ns0:is>
      </ns0:c>
      <ns0:c r="C487" s="12" t="inlineStr">
        <ns0:is>
          <ns0:t>울도군</ns0:t>
        </ns0:is>
      </ns0:c>
      <ns0:c r="D487" s="12" t="n">
        <ns0:v>1</ns0:v>
      </ns0:c>
      <ns0:c r="E487" s="12" t="inlineStr">
        <ns0:is>
          <ns0:t>보고 작성자가 울도군수이므로 본군은 자신이 맡은 울도군이에요.</ns0:t>
        </ns0:is>
      </ns0:c>
      <ns0:c r="F487" s="12" t="inlineStr">
        <ns0:is>
          <ns0:t>Uldo county</ns0:t>
        </ns0:is>
      </ns0:c>
      <ns0:c r="G487" s="12" t="inlineStr">
        <ns0:is>
          <ns0:t>The author was Uldo magistrate, so “this county” means Uldo.</ns0:t>
        </ns0:is>
      </ns0:c>
    </ns0:row>
    <ns0:row r="488" ht="33" customHeight="1">
      <ns0:c r="A488" s="10" t="n">
        <ns0:v>920165</ns0:v>
      </ns0:c>
      <ns0:c r="B488" s="10" t="inlineStr">
        <ns0:is>
          <ns0:t>b</ns0:t>
        </ns0:is>
      </ns0:c>
      <ns0:c r="C488" s="10" t="inlineStr">
        <ns0:is>
          <ns0:t>일본 오키군</ns0:t>
        </ns0:is>
      </ns0:c>
      <ns0:c r="D488" s="10" t="n">
        <ns0:v>0</ns0:v>
      </ns0:c>
      <ns0:c r="E488" s="10" t="inlineStr">
        <ns0:is>
          <ns0:t>이 표현은 대한제국 울도군수 자신의 관할 군을 가리켜요.</ns0:t>
        </ns0:is>
      </ns0:c>
      <ns0:c r="F488" s="10" t="inlineStr">
        <ns0:is>
          <ns0:t>Japan’s Oki district</ns0:t>
        </ns0:is>
      </ns0:c>
      <ns0:c r="G488" s="10" t="inlineStr">
        <ns0:is>
          <ns0:t>The phrase refers to the Korean Empire magistrate’s own jurisdiction.</ns0:t>
        </ns0:is>
      </ns0:c>
    </ns0:row>
    <ns0:row r="489" ht="33" customHeight="1">
      <ns0:c r="A489" s="12" t="n">
        <ns0:v>920165</ns0:v>
      </ns0:c>
      <ns0:c r="B489" s="12" t="inlineStr">
        <ns0:is>
          <ns0:t>c</ns0:t>
        </ns0:is>
      </ns0:c>
      <ns0:c r="C489" s="12" t="inlineStr">
        <ns0:is>
          <ns0:t>제주군</ns0:t>
        </ns0:is>
      </ns0:c>
      <ns0:c r="D489" s="12" t="n">
        <ns0:v>0</ns0:v>
      </ns0:c>
      <ns0:c r="E489" s="12" t="inlineStr">
        <ns0:is>
          <ns0:t>작성자의 직책은 제주군수가 아니라 울도군수예요.</ns0:t>
        </ns0:is>
      </ns0:c>
      <ns0:c r="F489" s="12" t="inlineStr">
        <ns0:is>
          <ns0:t>Jeju county</ns0:t>
        </ns0:is>
      </ns0:c>
      <ns0:c r="G489" s="12" t="inlineStr">
        <ns0:is>
          <ns0:t>The author was magistrate of Uldo, not Jeju.</ns0:t>
        </ns0:is>
      </ns0:c>
    </ns0:row>
    <ns0:row r="490" ht="33" customHeight="1">
      <ns0:c r="A490" s="10" t="n">
        <ns0:v>920166</ns0:v>
      </ns0:c>
      <ns0:c r="B490" s="10" t="inlineStr">
        <ns0:is>
          <ns0:t>b</ns0:t>
        </ns0:is>
      </ns0:c>
      <ns0:c r="C490" s="10" t="inlineStr">
        <ns0:is>
          <ns0:t>독도는 일본 오키군에 속한다</ns0:t>
        </ns0:is>
      </ns0:c>
      <ns0:c r="D490" s="10" t="n">
        <ns0:v>0</ns0:v>
      </ns0:c>
      <ns0:c r="E490" s="10" t="inlineStr">
        <ns0:is>
          <ns0:t>그것은 보고 작성자의 ‘본군 소속’ 표현과 맞지 않아요.</ns0:t>
        </ns0:is>
      </ns0:c>
      <ns0:c r="F490" s="10" t="inlineStr">
        <ns0:is>
          <ns0:t>Dokdo belongs to Japan’s Oki district</ns0:t>
        </ns0:is>
      </ns0:c>
      <ns0:c r="G490" s="10" t="inlineStr">
        <ns0:is>
          <ns0:t>That contradicts the author’s description of affiliation with his own county.</ns0:t>
        </ns0:is>
      </ns0:c>
    </ns0:row>
    <ns0:row r="491" ht="33" customHeight="1">
      <ns0:c r="A491" s="12" t="n">
        <ns0:v>920166</ns0:v>
      </ns0:c>
      <ns0:c r="B491" s="12" t="inlineStr">
        <ns0:is>
          <ns0:t>a</ns0:t>
        </ns0:is>
      </ns0:c>
      <ns0:c r="C491" s="12" t="inlineStr">
        <ns0:is>
          <ns0:t>독도는 울도군에 속한다</ns0:t>
        </ns0:is>
      </ns0:c>
      <ns0:c r="D491" s="12" t="n">
        <ns0:v>1</ns0:v>
      </ns0:c>
      <ns0:c r="E491" s="12" t="inlineStr">
        <ns0:is>
          <ns0:t>자신이 맡은 군의 섬으로 표현했으므로 울도군 소속이라는 인식이 드러나요.</ns0:t>
        </ns0:is>
      </ns0:c>
      <ns0:c r="F491" s="12" t="inlineStr">
        <ns0:is>
          <ns0:t>Dokdo belongs to Uldo County</ns0:t>
        </ns0:is>
      </ns0:c>
      <ns0:c r="G491" s="12" t="inlineStr">
        <ns0:is>
          <ns0:t>He describes Dokdo as an island of his own county.</ns0:t>
        </ns0:is>
      </ns0:c>
    </ns0:row>
    <ns0:row r="492" ht="38" customHeight="1">
      <ns0:c r="A492" s="10" t="n">
        <ns0:v>920166</ns0:v>
      </ns0:c>
      <ns0:c r="B492" s="10" t="inlineStr">
        <ns0:is>
          <ns0:t>c</ns0:t>
        </ns0:is>
      </ns0:c>
      <ns0:c r="C492" s="10" t="inlineStr">
        <ns0:is>
          <ns0:t>독도의 소속을 모른다</ns0:t>
        </ns0:is>
      </ns0:c>
      <ns0:c r="D492" s="10" t="n">
        <ns0:v>0</ns0:v>
      </ns0:c>
      <ns0:c r="E492" s="10" t="inlineStr">
        <ns0:is>
          <ns0:t>‘본군 소속’은 독도가 자신이 맡은 울도군에 속한다고 밝힌 표현이에요. 소속을 모른다는 뜻이 아니에요.</ns0:t>
        </ns0:is>
      </ns0:c>
      <ns0:c r="F492" s="10" t="inlineStr">
        <ns0:is>
          <ns0:t>Dokdo’s affiliation is unknown</ns0:t>
        </ns0:is>
      </ns0:c>
      <ns0:c r="G492" s="10" t="inlineStr">
        <ns0:is>
          <ns0:t>‘Belonging to this county’ specifies Uldo County. It does not express uncertainty about affiliation.</ns0:t>
        </ns0:is>
      </ns0:c>
    </ns0:row>
    <ns0:row r="493" ht="33" customHeight="1">
      <ns0:c r="A493" s="12" t="n">
        <ns0:v>920167</ns0:v>
      </ns0:c>
      <ns0:c r="B493" s="12" t="inlineStr">
        <ns0:is>
          <ns0:t>b</ns0:t>
        </ns0:is>
      </ns0:c>
      <ns0:c r="C493" s="12" t="inlineStr">
        <ns0:is>
          <ns0:t>일본 관리가 찾아왔다</ns0:t>
        </ns0:is>
      </ns0:c>
      <ns0:c r="D493" s="12" t="n">
        <ns0:v>0</ns0:v>
      </ns0:c>
      <ns0:c r="E493" s="12" t="inlineStr">
        <ns0:is>
          <ns0:t>방문 사실은 말하지만 그 구절만으로는 심흥택의 소속 인식이 드러나지 않아요.</ns0:t>
        </ns0:is>
      </ns0:c>
      <ns0:c r="F493" s="12" t="inlineStr">
        <ns0:is>
          <ns0:t>Japanese officials visited</ns0:t>
        </ns0:is>
      </ns0:c>
      <ns0:c r="G493" s="12" t="inlineStr">
        <ns0:is>
          <ns0:t>This reports a visit but does not itself state Shim’s view of affiliation.</ns0:t>
        </ns0:is>
      </ns0:c>
    </ns0:row>
    <ns0:row r="494" ht="33" customHeight="1">
      <ns0:c r="A494" s="10" t="n">
        <ns0:v>920167</ns0:v>
      </ns0:c>
      <ns0:c r="B494" s="10" t="inlineStr">
        <ns0:is>
          <ns0:t>c</ns0:t>
        </ns0:is>
      </ns0:c>
      <ns0:c r="C494" s="10" t="inlineStr">
        <ns0:is>
          <ns0:t>이렇게 보고한다</ns0:t>
        </ns0:is>
      </ns0:c>
      <ns0:c r="D494" s="10" t="n">
        <ns0:v>0</ns0:v>
      </ns0:c>
      <ns0:c r="E494" s="10" t="inlineStr">
        <ns0:is>
          <ns0:t>보고 행위를 나타낼 뿐 어느 군에 속하는지는 말하지 않아요.</ns0:t>
        </ns0:is>
      </ns0:c>
      <ns0:c r="F494" s="10" t="inlineStr">
        <ns0:is>
          <ns0:t>I report as follows</ns0:t>
        </ns0:is>
      </ns0:c>
      <ns0:c r="G494" s="10" t="inlineStr">
        <ns0:is>
          <ns0:t>This identifies reporting, not the island’s affiliation.</ns0:t>
        </ns0:is>
      </ns0:c>
    </ns0:row>
    <ns0:row r="495" ht="33" customHeight="1">
      <ns0:c r="A495" s="12" t="n">
        <ns0:v>920167</ns0:v>
      </ns0:c>
      <ns0:c r="B495" s="12" t="inlineStr">
        <ns0:is>
          <ns0:t>a</ns0:t>
        </ns0:is>
      </ns0:c>
      <ns0:c r="C495" s="12" t="inlineStr">
        <ns0:is>
          <ns0:t>본군 소속 독도</ns0:t>
        </ns0:is>
      </ns0:c>
      <ns0:c r="D495" s="12" t="n">
        <ns0:v>1</ns0:v>
      </ns0:c>
      <ns0:c r="E495" s="12" t="inlineStr">
        <ns0:is>
          <ns0:t>‘본군 소속’이 섬의 행정 소속을 밝히는 표현이에요.</ns0:t>
        </ns0:is>
      </ns0:c>
      <ns0:c r="F495" s="12" t="inlineStr">
        <ns0:is>
          <ns0:t>Dokdo belonging to this county</ns0:t>
        </ns0:is>
      </ns0:c>
      <ns0:c r="G495" s="12" t="inlineStr">
        <ns0:is>
          <ns0:t>“Belonging to this county” states the administrative affiliation.</ns0:t>
        </ns0:is>
      </ns0:c>
    </ns0:row>
    <ns0:row r="496" ht="38" customHeight="1">
      <ns0:c r="A496" s="10" t="n">
        <ns0:v>920168</ns0:v>
      </ns0:c>
      <ns0:c r="B496" s="10" t="inlineStr">
        <ns0:is>
          <ns0:t>a</ns0:t>
        </ns0:is>
      </ns0:c>
      <ns0:c r="C496" s="10" t="inlineStr">
        <ns0:is>
          <ns0:t>1906년 울도군수가 독도를 자기 군의 섬으로 적었다</ns0:t>
        </ns0:is>
      </ns0:c>
      <ns0:c r="D496" s="10" t="n">
        <ns0:v>1</ns0:v>
      </ns0:c>
      <ns0:c r="E496" s="10" t="inlineStr">
        <ns0:is>
          <ns0:t>문서의 작성자·시기·소속 표현을 모두 반영한 설명이에요.</ns0:t>
        </ns0:is>
      </ns0:c>
      <ns0:c r="F496" s="10" t="inlineStr">
        <ns0:is>
          <ns0:t>The Uldo magistrate recorded Dokdo as his county’s island in 1906</ns0:t>
        </ns0:is>
      </ns0:c>
      <ns0:c r="G496" s="10" t="inlineStr">
        <ns0:is>
          <ns0:t>This preserves the author, date and affiliation stated in the document.</ns0:t>
        </ns0:is>
      </ns0:c>
    </ns0:row>
    <ns0:row r="497" ht="38" customHeight="1">
      <ns0:c r="A497" s="12" t="n">
        <ns0:v>920168</ns0:v>
      </ns0:c>
      <ns0:c r="B497" s="12" t="inlineStr">
        <ns0:is>
          <ns0:t>b</ns0:t>
        </ns0:is>
      </ns0:c>
      <ns0:c r="C497" s="12" t="inlineStr">
        <ns0:is>
          <ns0:t>1906년 일본 관리가 독도를 울도군 소속이라고 승인했다</ns0:t>
        </ns0:is>
      </ns0:c>
      <ns0:c r="D497" s="12" t="n">
        <ns0:v>0</ns0:v>
      </ns0:c>
      <ns0:c r="E497" s="12" t="inlineStr">
        <ns0:is>
          <ns0:t>‘본군 소속’은 일본 관리의 승인이 아니라 심흥택의 표현이에요.</ns0:t>
        </ns0:is>
      </ns0:c>
      <ns0:c r="F497" s="12" t="inlineStr">
        <ns0:is>
          <ns0:t>Japanese officials approved Uldo affiliation in 1906</ns0:t>
        </ns0:is>
      </ns0:c>
      <ns0:c r="G497" s="12" t="inlineStr">
        <ns0:is>
          <ns0:t>The phrase is Shim’s wording, not approval by Japanese officials.</ns0:t>
        </ns0:is>
      </ns0:c>
    </ns0:row>
    <ns0:row r="498" ht="38" customHeight="1">
      <ns0:c r="A498" s="10" t="n">
        <ns0:v>920168</ns0:v>
      </ns0:c>
      <ns0:c r="B498" s="10" t="inlineStr">
        <ns0:is>
          <ns0:t>c</ns0:t>
        </ns0:is>
      </ns0:c>
      <ns0:c r="C498" s="10" t="inlineStr">
        <ns0:is>
          <ns0:t>1906년 독도가 새로 울도군에 편입되었다고 적었다</ns0:t>
        </ns0:is>
      </ns0:c>
      <ns0:c r="D498" s="10" t="n">
        <ns0:v>0</ns0:v>
      </ns0:c>
      <ns0:c r="E498" s="10" t="inlineStr">
        <ns0:is>
          <ns0:t>소속을 표현한 구절만으로 그때 새 편입이 이루어졌다고 읽을 수는 없어요.</ns0:t>
        </ns0:is>
      </ns0:c>
      <ns0:c r="F498" s="10" t="inlineStr">
        <ns0:is>
          <ns0:t>The report says Dokdo was newly incorporated into Uldo in 1906</ns0:t>
        </ns0:is>
      </ns0:c>
      <ns0:c r="G498" s="10" t="inlineStr">
        <ns0:is>
          <ns0:t>The affiliation phrase does not itself describe a new incorporation that year.</ns0:t>
        </ns0:is>
      </ns0:c>
    </ns0:row>
    <ns0:row r="499" ht="33" customHeight="1">
      <ns0:c r="A499" s="12" t="n">
        <ns0:v>920169</ns0:v>
      </ns0:c>
      <ns0:c r="B499" s="12" t="inlineStr">
        <ns0:is>
          <ns0:t>b</ns0:t>
        </ns0:is>
      </ns0:c>
      <ns0:c r="C499" s="12" t="inlineStr">
        <ns0:is>
          <ns0:t>대한제국 황제</ns0:t>
        </ns0:is>
      </ns0:c>
      <ns0:c r="D499" s="12" t="n">
        <ns0:v>0</ns0:v>
      </ns0:c>
      <ns0:c r="E499" s="12" t="inlineStr">
        <ns0:is>
          <ns0:t>이 주장은 황제의 명령이 아니라 방문한 일본 관리들의 발언으로 전해져요.</ns0:t>
        </ns0:is>
      </ns0:c>
      <ns0:c r="F499" s="12" t="inlineStr">
        <ns0:is>
          <ns0:t>The Korean Empire’s emperor</ns0:t>
        </ns0:is>
      </ns0:c>
      <ns0:c r="G499" s="12" t="inlineStr">
        <ns0:is>
          <ns0:t>The claim is reported as the visitors’ statement, not an imperial order.</ns0:t>
        </ns0:is>
      </ns0:c>
    </ns0:row>
    <ns0:row r="500" ht="33" customHeight="1">
      <ns0:c r="A500" s="10" t="n">
        <ns0:v>920169</ns0:v>
      </ns0:c>
      <ns0:c r="B500" s="10" t="inlineStr">
        <ns0:is>
          <ns0:t>a</ns0:t>
        </ns0:is>
      </ns0:c>
      <ns0:c r="C500" s="10" t="inlineStr">
        <ns0:is>
          <ns0:t>방문한 일본 관리들</ns0:t>
        </ns0:is>
      </ns0:c>
      <ns0:c r="D500" s="10" t="n">
        <ns0:v>1</ns0:v>
      </ns0:c>
      <ns0:c r="E500" s="10" t="inlineStr">
        <ns0:is>
          <ns0:t>보고에는 일본 관리에게 들은 주장으로 적혀 있어요.</ns0:t>
        </ns0:is>
      </ns0:c>
      <ns0:c r="F500" s="10" t="inlineStr">
        <ns0:is>
          <ns0:t>The visiting Japanese officials</ns0:t>
        </ns0:is>
      </ns0:c>
      <ns0:c r="G500" s="10" t="inlineStr">
        <ns0:is>
          <ns0:t>The report presents this as a claim heard from Japanese officials.</ns0:t>
        </ns0:is>
      </ns0:c>
    </ns0:row>
    <ns0:row r="501" ht="33" customHeight="1">
      <ns0:c r="A501" s="12" t="n">
        <ns0:v>920169</ns0:v>
      </ns0:c>
      <ns0:c r="B501" s="12" t="inlineStr">
        <ns0:is>
          <ns0:t>c</ns0:t>
        </ns0:is>
      </ns0:c>
      <ns0:c r="C501" s="12" t="inlineStr">
        <ns0:is>
          <ns0:t>울도군수 자신</ns0:t>
        </ns0:is>
      </ns0:c>
      <ns0:c r="D501" s="12" t="n">
        <ns0:v>0</ns0:v>
      </ns0:c>
      <ns0:c r="E501" s="12" t="inlineStr">
        <ns0:is>
          <ns0:t>심흥택은 남의 주장을 보고한 것이며 자신의 결론으로 승인한 것은 아니에요.</ns0:t>
        </ns0:is>
      </ns0:c>
      <ns0:c r="F501" s="12" t="inlineStr">
        <ns0:is>
          <ns0:t>The Uldo magistrate himself</ns0:t>
        </ns0:is>
      </ns0:c>
      <ns0:c r="G501" s="12" t="inlineStr">
        <ns0:is>
          <ns0:t>Shim reports another party’s claim rather than adopting it as his own conclusion.</ns0:t>
        </ns0:is>
      </ns0:c>
    </ns0:row>
    <ns0:row r="502" ht="33" customHeight="1">
      <ns0:c r="A502" s="10" t="n">
        <ns0:v>920170</ns0:v>
      </ns0:c>
      <ns0:c r="B502" s="10" t="inlineStr">
        <ns0:is>
          <ns0:t>b</ns0:t>
        </ns0:is>
      </ns0:c>
      <ns0:c r="C502" s="10" t="inlineStr">
        <ns0:is>
          <ns0:t>자기 군이 일본에 속한다고 승인했다</ns0:t>
        </ns0:is>
      </ns0:c>
      <ns0:c r="D502" s="10" t="n">
        <ns0:v>0</ns0:v>
      </ns0:c>
      <ns0:c r="E502" s="10" t="inlineStr">
        <ns0:is>
          <ns0:t>남의 발언 전달을 자기 관할권의 포기로 바꿀 수는 없어요.</ns0:t>
        </ns0:is>
      </ns0:c>
      <ns0:c r="F502" s="10" t="inlineStr">
        <ns0:is>
          <ns0:t>He approved his county becoming Japanese</ns0:t>
        </ns0:is>
      </ns0:c>
      <ns0:c r="G502" s="10" t="inlineStr">
        <ns0:is>
          <ns0:t>Reporting another party’s statement is not approval of surrendering jurisdiction.</ns0:t>
        </ns0:is>
      </ns0:c>
    </ns0:row>
    <ns0:row r="503" ht="38" customHeight="1">
      <ns0:c r="A503" s="12" t="n">
        <ns0:v>920170</ns0:v>
      </ns0:c>
      <ns0:c r="B503" s="12" t="inlineStr">
        <ns0:is>
          <ns0:t>c</ns0:t>
        </ns0:is>
      </ns0:c>
      <ns0:c r="C503" s="12" t="inlineStr">
        <ns0:is>
          <ns0:t>일본 관리에게 같은 명령을 내렸다</ns0:t>
        </ns0:is>
      </ns0:c>
      <ns0:c r="D503" s="12" t="n">
        <ns0:v>0</ns0:v>
      </ns0:c>
      <ns0:c r="E503" s="12" t="inlineStr">
        <ns0:is>
          <ns0:t>문서는 상부에 보낸 보고이며 방문자들에게 내린 명령이 아니에요.</ns0:t>
        </ns0:is>
      </ns0:c>
      <ns0:c r="F503" s="12" t="inlineStr">
        <ns0:is>
          <ns0:t>He issued that instruction to the Japanese officials</ns0:t>
        </ns0:is>
      </ns0:c>
      <ns0:c r="G503" s="12" t="inlineStr">
        <ns0:is>
          <ns0:t>This was a report to higher authorities, not an order to the visitors.</ns0:t>
        </ns0:is>
      </ns0:c>
    </ns0:row>
    <ns0:row r="504" ht="38" customHeight="1">
      <ns0:c r="A504" s="10" t="n">
        <ns0:v>920170</ns0:v>
      </ns0:c>
      <ns0:c r="B504" s="10" t="inlineStr">
        <ns0:is>
          <ns0:t>a</ns0:t>
        </ns0:is>
      </ns0:c>
      <ns0:c r="C504" s="10" t="inlineStr">
        <ns0:is>
          <ns0:t>자신이 들은 발언을 상부에 전달했다</ns0:t>
        </ns0:is>
      </ns0:c>
      <ns0:c r="D504" s="10" t="n">
        <ns0:v>1</ns0:v>
      </ns0:c>
      <ns0:c r="E504" s="10" t="inlineStr">
        <ns0:is>
          <ns0:t>보고자는 들은 주장을 전달하면서 독도를 본군 소속으로 표현했어요.</ns0:t>
        </ns0:is>
      </ns0:c>
      <ns0:c r="F504" s="10" t="inlineStr">
        <ns0:is>
          <ns0:t>He conveyed the statement he heard to higher authorities</ns0:t>
        </ns0:is>
      </ns0:c>
      <ns0:c r="G504" s="10" t="inlineStr">
        <ns0:is>
          <ns0:t>He reported what he heard while describing Dokdo as belonging to his county.</ns0:t>
        </ns0:is>
      </ns0:c>
    </ns0:row>
    <ns0:row r="505" ht="33" customHeight="1">
      <ns0:c r="A505" s="12" t="n">
        <ns0:v>920171</ns0:v>
      </ns0:c>
      <ns0:c r="B505" s="12" t="inlineStr">
        <ns0:is>
          <ns0:t>b</ns0:t>
        </ns0:is>
      </ns0:c>
      <ns0:c r="C505" s="12" t="inlineStr">
        <ns0:is>
          <ns0:t>A: 본군 소속 독도</ns0:t>
        </ns0:is>
      </ns0:c>
      <ns0:c r="D505" s="12" t="n">
        <ns0:v>0</ns0:v>
      </ns0:c>
      <ns0:c r="E505" s="12" t="inlineStr">
        <ns0:is>
          <ns0:t>A는 심흥택이 자기 관할 군과 독도의 관계를 표현한 말이에요.</ns0:t>
        </ns0:is>
      </ns0:c>
      <ns0:c r="F505" s="12" t="inlineStr">
        <ns0:is>
          <ns0:t>A: Dokdo belonging to this county</ns0:t>
        </ns0:is>
      </ns0:c>
      <ns0:c r="G505" s="12" t="inlineStr">
        <ns0:is>
          <ns0:t>A expresses Shim’s own description of county affiliation.</ns0:t>
        </ns0:is>
      </ns0:c>
    </ns0:row>
    <ns0:row r="506" ht="38" customHeight="1">
      <ns0:c r="A506" s="10" t="n">
        <ns0:v>920171</ns0:v>
      </ns0:c>
      <ns0:c r="B506" s="10" t="inlineStr">
        <ns0:is>
          <ns0:t>a</ns0:t>
        </ns0:is>
      </ns0:c>
      <ns0:c r="C506" s="10" t="inlineStr">
        <ns0:is>
          <ns0:t>B: 독도가 일본 영토가 되었다는 말</ns0:t>
        </ns0:is>
      </ns0:c>
      <ns0:c r="D506" s="10" t="n">
        <ns0:v>1</ns0:v>
      </ns0:c>
      <ns0:c r="E506" s="10" t="inlineStr">
        <ns0:is>
          <ns0:t>B가 일본 관리들에게 들은 주장으로 구분되어 있어요.</ns0:t>
        </ns0:is>
      </ns0:c>
      <ns0:c r="F506" s="10" t="inlineStr">
        <ns0:is>
          <ns0:t>B: the claim that Dokdo became Japanese territory</ns0:t>
        </ns0:is>
      </ns0:c>
      <ns0:c r="G506" s="10" t="inlineStr">
        <ns0:is>
          <ns0:t>B is explicitly identified as the visitors’ claim.</ns0:t>
        </ns0:is>
      </ns0:c>
    </ns0:row>
    <ns0:row r="507" ht="38" customHeight="1">
      <ns0:c r="A507" s="12" t="n">
        <ns0:v>920172</ns0:v>
      </ns0:c>
      <ns0:c r="B507" s="12" t="inlineStr">
        <ns0:is>
          <ns0:t>a</ns0:t>
        </ns0:is>
      </ns0:c>
      <ns0:c r="C507" s="12" t="inlineStr">
        <ns0:is>
          <ns0:t>일본 관리의 발언과 심흥택의 입장을 혼동했다</ns0:t>
        </ns0:is>
      </ns0:c>
      <ns0:c r="D507" s="12" t="n">
        <ns0:v>1</ns0:v>
      </ns0:c>
      <ns0:c r="E507" s="12" t="inlineStr">
        <ns0:is>
          <ns0:t>심흥택은 들은 말을 보고했으며 독도를 자기 군 소속으로 표현했어요.</ns0:t>
        </ns0:is>
      </ns0:c>
      <ns0:c r="F507" s="12" t="inlineStr">
        <ns0:is>
          <ns0:t>It confuses the visitors’ claim with Shim’s position</ns0:t>
        </ns0:is>
      </ns0:c>
      <ns0:c r="G507" s="12" t="inlineStr">
        <ns0:is>
          <ns0:t>Shim reports their statement while describing Dokdo as part of his own county.</ns0:t>
        </ns0:is>
      </ns0:c>
    </ns0:row>
    <ns0:row r="508" ht="33" customHeight="1">
      <ns0:c r="A508" s="10" t="n">
        <ns0:v>920172</ns0:v>
      </ns0:c>
      <ns0:c r="B508" s="10" t="inlineStr">
        <ns0:is>
          <ns0:t>b</ns0:t>
        </ns0:is>
      </ns0:c>
      <ns0:c r="C508" s="10" t="inlineStr">
        <ns0:is>
          <ns0:t>1900년 칙령을 1906년 보고보다 나중에 놓았다</ns0:t>
        </ns0:is>
      </ns0:c>
      <ns0:c r="D508" s="10" t="n">
        <ns0:v>0</ns0:v>
      </ns0:c>
      <ns0:c r="E508" s="10" t="inlineStr">
        <ns0:is>
          <ns0:t>질문의 오류는 연표 순서가 아니라 누구의 주장을 말하는지 잘못 읽은 것이에요.</ns0:t>
        </ns0:is>
      </ns0:c>
      <ns0:c r="F508" s="10" t="inlineStr">
        <ns0:is>
          <ns0:t>It places the 1900 decree after the 1906 report</ns0:t>
        </ns0:is>
      </ns0:c>
      <ns0:c r="G508" s="10" t="inlineStr">
        <ns0:is>
          <ns0:t>The error here concerns attribution of the claim, not chronological ordering.</ns0:t>
        </ns0:is>
      </ns0:c>
    </ns0:row>
    <ns0:row r="509" ht="38" customHeight="1">
      <ns0:c r="A509" s="12" t="n">
        <ns0:v>920172</ns0:v>
      </ns0:c>
      <ns0:c r="B509" s="12" t="inlineStr">
        <ns0:is>
          <ns0:t>c</ns0:t>
        </ns0:is>
      </ns0:c>
      <ns0:c r="C509" s="12" t="inlineStr">
        <ns0:is>
          <ns0:t>울도군수와 관찰사의 직책만 바꾸어 적었다</ns0:t>
        </ns0:is>
      </ns0:c>
      <ns0:c r="D509" s="12" t="n">
        <ns0:v>0</ns0:v>
      </ns0:c>
      <ns0:c r="E509" s="12" t="inlineStr">
        <ns0:is>
          <ns0:t>질문에서 잘못된 부분은 직책 이름 교체가 아니라 인용을 승인으로 바꾼 것이에요.</ns0:t>
        </ns0:is>
      </ns0:c>
      <ns0:c r="F509" s="12" t="inlineStr">
        <ns0:is>
          <ns0:t>It only swaps the magistrate’s and governor’s titles</ns0:t>
        </ns0:is>
      </ns0:c>
      <ns0:c r="G509" s="12" t="inlineStr">
        <ns0:is>
          <ns0:t>The issue is treating a quotation as acceptance, not merely swapping titles.</ns0:t>
        </ns0:is>
      </ns0:c>
    </ns0:row>
    <ns0:row r="510" ht="33" customHeight="1">
      <ns0:c r="A510" s="10" t="n">
        <ns0:v>920173</ns0:v>
      </ns0:c>
      <ns0:c r="B510" s="10" t="inlineStr">
        <ns0:is>
          <ns0:t>b</ns0:t>
        </ns0:is>
      </ns0:c>
      <ns0:c r="C510" s="10" t="inlineStr">
        <ns0:is>
          <ns0:t>대한제국 칙령 제41호</ns0:t>
        </ns0:is>
      </ns0:c>
      <ns0:c r="D510" s="10" t="n">
        <ns0:v>0</ns0:v>
      </ns0:c>
      <ns0:c r="E510" s="10" t="inlineStr">
        <ns0:is>
          <ns0:t>칙령 제41호는 1900년 행정 개편 문서예요.</ns0:t>
        </ns0:is>
      </ns0:c>
      <ns0:c r="F510" s="10" t="inlineStr">
        <ns0:is>
          <ns0:t>Korean Empire Decree No. 41</ns0:t>
        </ns0:is>
      </ns0:c>
      <ns0:c r="G510" s="10" t="inlineStr">
        <ns0:is>
          <ns0:t>Decree No. 41 concerns administrative reorganisation in 1900.</ns0:t>
        </ns0:is>
      </ns0:c>
    </ns0:row>
    <ns0:row r="511" ht="33" customHeight="1">
      <ns0:c r="A511" s="12" t="n">
        <ns0:v>920173</ns0:v>
      </ns0:c>
      <ns0:c r="B511" s="12" t="inlineStr">
        <ns0:is>
          <ns0:t>c</ns0:t>
        </ns0:is>
      </ns0:c>
      <ns0:c r="C511" s="12" t="inlineStr">
        <ns0:is>
          <ns0:t>울릉도 도해금지령</ns0:t>
        </ns0:is>
      </ns0:c>
      <ns0:c r="D511" s="12" t="n">
        <ns0:v>0</ns0:v>
      </ns0:c>
      <ns0:c r="E511" s="12" t="inlineStr">
        <ns0:is>
          <ns0:t>이는 1696년 일본 에도 막부의 명령으로 이 대응 문서와 달라요.</ns0:t>
        </ns0:is>
      </ns0:c>
      <ns0:c r="F511" s="12" t="inlineStr">
        <ns0:is>
          <ns0:t>The Ulleungdo voyage prohibition</ns0:t>
        </ns0:is>
      </ns0:c>
      <ns0:c r="G511" s="12" t="inlineStr">
        <ns0:is>
          <ns0:t>That was a 1696 Edo shogunate order, not this response.</ns0:t>
        </ns0:is>
      </ns0:c>
    </ns0:row>
    <ns0:row r="512" ht="33" customHeight="1">
      <ns0:c r="A512" s="10" t="n">
        <ns0:v>920173</ns0:v>
      </ns0:c>
      <ns0:c r="B512" s="10" t="inlineStr">
        <ns0:is>
          <ns0:t>a</ns0:t>
        </ns0:is>
      </ns0:c>
      <ns0:c r="C512" s="10" t="inlineStr">
        <ns0:is>
          <ns0:t>지령 제3호</ns0:t>
        </ns0:is>
      </ns0:c>
      <ns0:c r="D512" s="10" t="n">
        <ns0:v>1</ns0:v>
      </ns0:c>
      <ns0:c r="E512" s="10" t="inlineStr">
        <ns0:is>
          <ns0:t>1906년 지령 제3호는 보고를 받은 뒤 주장을 부인하고 조사를 지시했어요.</ns0:t>
        </ns0:is>
      </ns0:c>
      <ns0:c r="F512" s="10" t="inlineStr">
        <ns0:is>
          <ns0:t>Directive No. 3</ns0:t>
        </ns0:is>
      </ns0:c>
      <ns0:c r="G512" s="10" t="inlineStr">
        <ns0:is>
          <ns0:t>Directive No. 3 rejected the claim and requested investigation after receiving the report.</ns0:t>
        </ns0:is>
      </ns0:c>
    </ns0:row>
    <ns0:row r="513" ht="33" customHeight="1">
      <ns0:c r="A513" s="12" t="n">
        <ns0:v>920173</ns0:v>
      </ns0:c>
      <ns0:c r="B513" s="12" t="inlineStr">
        <ns0:is>
          <ns0:t>d</ns0:t>
        </ns0:is>
      </ns0:c>
      <ns0:c r="C513" s="12" t="inlineStr">
        <ns0:is>
          <ns0:t>태정관지령</ns0:t>
        </ns0:is>
      </ns0:c>
      <ns0:c r="D513" s="12" t="n">
        <ns0:v>0</ns0:v>
      </ns0:c>
      <ns0:c r="E513" s="12" t="inlineStr">
        <ns0:is>
          <ns0:t>태정관지령은 1877년 일본의 문서예요.</ns0:t>
        </ns0:is>
      </ns0:c>
      <ns0:c r="F513" s="12" t="inlineStr">
        <ns0:is>
          <ns0:t>The Dajokan directive</ns0:t>
        </ns0:is>
      </ns0:c>
      <ns0:c r="G513" s="12" t="inlineStr">
        <ns0:is>
          <ns0:t>The Dajokan directive is a Japanese document from 1877.</ns0:t>
        </ns0:is>
      </ns0:c>
    </ns0:row>
    <ns0:row r="514" ht="33" customHeight="1">
      <ns0:c r="A514" s="10" t="n">
        <ns0:v>920174</ns0:v>
      </ns0:c>
      <ns0:c r="B514" s="10" t="inlineStr">
        <ns0:is>
          <ns0:t>b</ns0:t>
        </ns0:is>
      </ns0:c>
      <ns0:c r="C514" s="10" t="inlineStr">
        <ns0:is>
          <ns0:t>그대로 인정했다</ns0:t>
        </ns0:is>
      </ns0:c>
      <ns0:c r="D514" s="10" t="n">
        <ns0:v>0</ns0:v>
      </ns0:c>
      <ns0:c r="E514" s="10" t="inlineStr">
        <ns0:is>
          <ns0:t>지령은 주장 부인과 조사를 지시하므로 인정했다는 설명과 반대예요.</ns0:t>
        </ns0:is>
      </ns0:c>
      <ns0:c r="F514" s="10" t="inlineStr">
        <ns0:is>
          <ns0:t>It accepted the claim.</ns0:t>
        </ns0:is>
      </ns0:c>
      <ns0:c r="G514" s="10" t="inlineStr">
        <ns0:is>
          <ns0:t>Rejection and investigation are the opposite of unqualified acceptance.</ns0:t>
        </ns0:is>
      </ns0:c>
    </ns0:row>
    <ns0:row r="515" ht="33" customHeight="1">
      <ns0:c r="A515" s="12" t="n">
        <ns0:v>920174</ns0:v>
      </ns0:c>
      <ns0:c r="B515" s="12" t="inlineStr">
        <ns0:is>
          <ns0:t>a</ns0:t>
        </ns0:is>
      </ns0:c>
      <ns0:c r="C515" s="12" t="inlineStr">
        <ns0:is>
          <ns0:t>사실이 아니라고 부인했다</ns0:t>
        </ns0:is>
      </ns0:c>
      <ns0:c r="D515" s="12" t="n">
        <ns0:v>1</ns0:v>
      </ns0:c>
      <ns0:c r="E515" s="12" t="inlineStr">
        <ns0:is>
          <ns0:t>역문은 일본 영토라는 주장을 받아들이지 않는 내용을 담고 있어요.</ns0:t>
        </ns0:is>
      </ns0:c>
      <ns0:c r="F515" s="12" t="inlineStr">
        <ns0:is>
          <ns0:t>It rejected the claim as false.</ns0:t>
        </ns0:is>
      </ns0:c>
      <ns0:c r="G515" s="12" t="inlineStr">
        <ns0:is>
          <ns0:t>The translated directive rejects the assertion of Japanese territory.</ns0:t>
        </ns0:is>
      </ns0:c>
    </ns0:row>
    <ns0:row r="516" ht="33" customHeight="1">
      <ns0:c r="A516" s="10" t="n">
        <ns0:v>920174</ns0:v>
      </ns0:c>
      <ns0:c r="B516" s="10" t="inlineStr">
        <ns0:is>
          <ns0:t>c</ns0:t>
        </ns0:is>
      </ns0:c>
      <ns0:c r="C516" s="10" t="inlineStr">
        <ns0:is>
          <ns0:t>보고를 받지 않았다고 했다</ns0:t>
        </ns0:is>
      </ns0:c>
      <ns0:c r="D516" s="10" t="n">
        <ns0:v>0</ns0:v>
      </ns0:c>
      <ns0:c r="E516" s="10" t="inlineStr">
        <ns0:is>
          <ns0:t>지령은 받은 보고에 대한 답으로 제시돼요.</ns0:t>
        </ns0:is>
      </ns0:c>
      <ns0:c r="F516" s="10" t="inlineStr">
        <ns0:is>
          <ns0:t>It said no report had been received.</ns0:t>
        </ns0:is>
      </ns0:c>
      <ns0:c r="G516" s="10" t="inlineStr">
        <ns0:is>
          <ns0:t>The directive is presented as a response to the report.</ns0:t>
        </ns0:is>
      </ns0:c>
    </ns0:row>
    <ns0:row r="517" ht="33" customHeight="1">
      <ns0:c r="A517" s="12" t="n">
        <ns0:v>920175</ns0:v>
      </ns0:c>
      <ns0:c r="B517" s="12" t="inlineStr">
        <ns0:is>
          <ns0:t>b</ns0:t>
        </ns0:is>
      </ns0:c>
      <ns0:c r="C517" s="12" t="inlineStr">
        <ns0:is>
          <ns0:t>일본의 주장을 승인하는 서류를 작성</ns0:t>
        </ns0:is>
      </ns0:c>
      <ns0:c r="D517" s="12" t="n">
        <ns0:v>0</ns0:v>
      </ns0:c>
      <ns0:c r="E517" s="12" t="inlineStr">
        <ns0:is>
          <ns0:t>일본 주장을 부인한 지령의 내용과 반대예요.</ns0:t>
        </ns0:is>
      </ns0:c>
      <ns0:c r="F517" s="12" t="inlineStr">
        <ns0:is>
          <ns0:t>Prepare a document approving Japan’s claim</ns0:t>
        </ns0:is>
      </ns0:c>
      <ns0:c r="G517" s="12" t="inlineStr">
        <ns0:is>
          <ns0:t>Approval would contradict the directive’s rejection of the claim.</ns0:t>
        </ns0:is>
      </ns0:c>
    </ns0:row>
    <ns0:row r="518" ht="33" customHeight="1">
      <ns0:c r="A518" s="10" t="n">
        <ns0:v>920175</ns0:v>
      </ns0:c>
      <ns0:c r="B518" s="10" t="inlineStr">
        <ns0:is>
          <ns0:t>c</ns0:t>
        </ns0:is>
      </ns0:c>
      <ns0:c r="C518" s="10" t="inlineStr">
        <ns0:is>
          <ns0:t>기존 보고를 없애고 기록을 남기지 않기</ns0:t>
        </ns0:is>
      </ns0:c>
      <ns0:c r="D518" s="10" t="n">
        <ns0:v>0</ns0:v>
      </ns0:c>
      <ns0:c r="E518" s="10" t="inlineStr">
        <ns0:is>
          <ns0:t>다시 보고하라는 지시이지 기록을 없애라는 명령이 아니에요.</ns0:t>
        </ns0:is>
      </ns0:c>
      <ns0:c r="F518" s="10" t="inlineStr">
        <ns0:is>
          <ns0:t>Erase the report and leave no record</ns0:t>
        </ns0:is>
      </ns0:c>
      <ns0:c r="G518" s="10" t="inlineStr">
        <ns0:is>
          <ns0:t>It orders further reporting, not destruction of records.</ns0:t>
        </ns0:is>
      </ns0:c>
    </ns0:row>
    <ns0:row r="519" ht="38" customHeight="1">
      <ns0:c r="A519" s="12" t="n">
        <ns0:v>920175</ns0:v>
      </ns0:c>
      <ns0:c r="B519" s="12" t="inlineStr">
        <ns0:is>
          <ns0:t>a</ns0:t>
        </ns0:is>
      </ns0:c>
      <ns0:c r="C519" s="12" t="inlineStr">
        <ns0:is>
          <ns0:t>섬의 상황과 일본인의 행동을 다시 조사해 보고</ns0:t>
        </ns0:is>
      </ns0:c>
      <ns0:c r="D519" s="12" t="n">
        <ns0:v>1</ns0:v>
      </ns0:c>
      <ns0:c r="E519" s="12" t="inlineStr">
        <ns0:is>
          <ns0:t>역문은 상황과 행동을 더 조사해 다시 보고하라고 지시해요.</ns0:t>
        </ns0:is>
      </ns0:c>
      <ns0:c r="F519" s="12" t="inlineStr">
        <ns0:is>
          <ns0:t>Investigate the island’s conditions and Japanese activities and report</ns0:t>
        </ns0:is>
      </ns0:c>
      <ns0:c r="G519" s="12" t="inlineStr">
        <ns0:is>
          <ns0:t>The translation requests further investigation and a new report.</ns0:t>
        </ns0:is>
      </ns0:c>
    </ns0:row>
    <ns0:row r="520" ht="38" customHeight="1">
      <ns0:c r="A520" s="10" t="n">
        <ns0:v>920176</ns0:v>
      </ns0:c>
      <ns0:c r="B520" s="10" t="inlineStr">
        <ns0:is>
          <ns0:t>a</ns0:t>
        </ns0:is>
      </ns0:c>
      <ns0:c r="C520" s="10" t="inlineStr">
        <ns0:is>
          <ns0:t>현지 보고를 받고 일본 주장을 부인하며 추가 조사를 지시</ns0:t>
        </ns0:is>
      </ns0:c>
      <ns0:c r="D520" s="10" t="n">
        <ns0:v>1</ns0:v>
      </ns0:c>
      <ns0:c r="E520" s="10" t="inlineStr">
        <ns0:is>
          <ns0:t>보고와 답변을 함께 보면 상황 전달 뒤의 대응까지 확인할 수 있어요.</ns0:t>
        </ns0:is>
      </ns0:c>
      <ns0:c r="F520" s="10" t="inlineStr">
        <ns0:is>
          <ns0:t>Receiving a local report, rejecting the claim and ordering further inquiry</ns0:t>
        </ns0:is>
      </ns0:c>
      <ns0:c r="G520" s="10" t="inlineStr">
        <ns0:is>
          <ns0:t>Reading the report and response together reveals the action following notification.</ns0:t>
        </ns0:is>
      </ns0:c>
    </ns0:row>
    <ns0:row r="521" ht="38" customHeight="1">
      <ns0:c r="A521" s="12" t="n">
        <ns0:v>920176</ns0:v>
      </ns0:c>
      <ns0:c r="B521" s="12" t="inlineStr">
        <ns0:is>
          <ns0:t>b</ns0:t>
        </ns0:is>
      </ns0:c>
      <ns0:c r="C521" s="12" t="inlineStr">
        <ns0:is>
          <ns0:t>현지 보고를 받은 즉시 일본의 편입 주장을 승인</ns0:t>
        </ns0:is>
      </ns0:c>
      <ns0:c r="D521" s="12" t="n">
        <ns0:v>0</ns0:v>
      </ns0:c>
      <ns0:c r="E521" s="12" t="inlineStr">
        <ns0:is>
          <ns0:t>지령은 승인하지 않고 부인하며 재조사를 지시해요.</ns0:t>
        </ns0:is>
      </ns0:c>
      <ns0:c r="F521" s="12" t="inlineStr">
        <ns0:is>
          <ns0:t>Immediate acceptance of Japan’s incorporation claim</ns0:t>
        </ns0:is>
      </ns0:c>
      <ns0:c r="G521" s="12" t="inlineStr">
        <ns0:is>
          <ns0:t>The directive rejects the claim and requests further inquiry.</ns0:t>
        </ns0:is>
      </ns0:c>
    </ns0:row>
    <ns0:row r="522" ht="33" customHeight="1">
      <ns0:c r="A522" s="10" t="n">
        <ns0:v>920176</ns0:v>
      </ns0:c>
      <ns0:c r="B522" s="10" t="inlineStr">
        <ns0:is>
          <ns0:t>c</ns0:t>
        </ns0:is>
      </ns0:c>
      <ns0:c r="C522" s="10" t="inlineStr">
        <ns0:is>
          <ns0:t>관할 구역에 대한 보고 자체를 금지</ns0:t>
        </ns0:is>
      </ns0:c>
      <ns0:c r="D522" s="10" t="n">
        <ns0:v>0</ns0:v>
      </ns0:c>
      <ns0:c r="E522" s="10" t="inlineStr">
        <ns0:is>
          <ns0:t>오히려 다시 조사해 보고하도록 요구했어요.</ns0:t>
        </ns0:is>
      </ns0:c>
      <ns0:c r="F522" s="10" t="inlineStr">
        <ns0:is>
          <ns0:t>Prohibiting reports about the jurisdiction</ns0:t>
        </ns0:is>
      </ns0:c>
      <ns0:c r="G522" s="10" t="inlineStr">
        <ns0:is>
          <ns0:t>It specifically requests further reporting.</ns0:t>
        </ns0:is>
      </ns0:c>
    </ns0:row>
    <ns0:row r="523" ht="33" customHeight="1">
      <ns0:c r="A523" s="12" t="n">
        <ns0:v>920177</ns0:v>
      </ns0:c>
      <ns0:c r="B523" s="12" t="inlineStr">
        <ns0:is>
          <ns0:t>a</ns0:t>
        </ns0:is>
      </ns0:c>
      <ns0:c r="C523" s="12" t="inlineStr">
        <ns0:is>
          <ns0:t>칙령 제41호</ns0:t>
        </ns0:is>
      </ns0:c>
      <ns0:c r="D523" s="12" t="n">
        <ns0:v>1</ns0:v>
      </ns0:c>
      <ns0:c r="E523" s="12" t="inlineStr">
        <ns0:is>
          <ns0:t>칙령은 1900년, 심흥택의 보고는 1906년이므로 칙령이 먼저예요.</ns0:t>
        </ns0:is>
      </ns0:c>
      <ns0:c r="F523" s="12" t="inlineStr">
        <ns0:is>
          <ns0:t>Decree No. 41</ns0:t>
        </ns0:is>
      </ns0:c>
      <ns0:c r="G523" s="12" t="inlineStr">
        <ns0:is>
          <ns0:t>The decree is from 1900 and the report from 1906.</ns0:t>
        </ns0:is>
      </ns0:c>
    </ns0:row>
    <ns0:row r="524" ht="33" customHeight="1">
      <ns0:c r="A524" s="10" t="n">
        <ns0:v>920177</ns0:v>
      </ns0:c>
      <ns0:c r="B524" s="10" t="inlineStr">
        <ns0:is>
          <ns0:t>b</ns0:t>
        </ns0:is>
      </ns0:c>
      <ns0:c r="C524" s="10" t="inlineStr">
        <ns0:is>
          <ns0:t>심흥택의 보고</ns0:t>
        </ns0:is>
      </ns0:c>
      <ns0:c r="D524" s="10" t="n">
        <ns0:v>0</ns0:v>
      </ns0:c>
      <ns0:c r="E524" s="10" t="inlineStr">
        <ns0:is>
          <ns0:t>1906년 보고는 1900년 칙령보다 나중이에요.</ns0:t>
        </ns0:is>
      </ns0:c>
      <ns0:c r="F524" s="10" t="inlineStr">
        <ns0:is>
          <ns0:t>Shim’s report</ns0:t>
        </ns0:is>
      </ns0:c>
      <ns0:c r="G524" s="10" t="inlineStr">
        <ns0:is>
          <ns0:t>The 1906 report came after the 1900 decree.</ns0:t>
        </ns0:is>
      </ns0:c>
    </ns0:row>
    <ns0:row r="525" ht="33" customHeight="1">
      <ns0:c r="A525" s="12" t="n">
        <ns0:v>920178</ns0:v>
      </ns0:c>
      <ns0:c r="B525" s="12" t="inlineStr">
        <ns0:is>
          <ns0:t>b</ns0:t>
        </ns0:is>
      </ns0:c>
      <ns0:c r="C525" s="12" t="inlineStr">
        <ns0:is>
          <ns0:t>칙령 제41호</ns0:t>
        </ns0:is>
      </ns0:c>
      <ns0:c r="D525" s="12" t="n">
        <ns0:v>0</ns0:v>
      </ns0:c>
      <ns0:c r="E525" s="12" t="inlineStr">
        <ns0:is>
          <ns0:t>칙령 제41호는 앞서 1900년 행정 체계를 정한 명령이에요. 뒤의 현지 보고는 심흥택 보고예요.</ns0:t>
        </ns0:is>
      </ns0:c>
      <ns0:c r="F525" s="12" t="inlineStr">
        <ns0:is>
          <ns0:t>Decree No. 41</ns0:t>
        </ns0:is>
      </ns0:c>
      <ns0:c r="G525" s="12" t="inlineStr">
        <ns0:is>
          <ns0:t>Decree No. 41 is the earlier administrative order of 1900, not the later local report.</ns0:t>
        </ns0:is>
      </ns0:c>
    </ns0:row>
    <ns0:row r="526" ht="38" customHeight="1">
      <ns0:c r="A526" s="10" t="n">
        <ns0:v>920178</ns0:v>
      </ns0:c>
      <ns0:c r="B526" s="10" t="inlineStr">
        <ns0:is>
          <ns0:t>a</ns0:t>
        </ns0:is>
      </ns0:c>
      <ns0:c r="C526" s="10" t="inlineStr">
        <ns0:is>
          <ns0:t>심흥택 보고</ns0:t>
        </ns0:is>
      </ns0:c>
      <ns0:c r="D526" s="10" t="n">
        <ns0:v>1</ns0:v>
      </ns0:c>
      <ns0:c r="E526" s="10" t="inlineStr">
        <ns0:is>
          <ns0:t>심흥택은 1906년 독도와 관련해 들은 상황을 상부에 보고했어요. 1900년 행정 개편 뒤의 현지 보고에 해당해요.</ns0:t>
        </ns0:is>
      </ns0:c>
      <ns0:c r="F526" s="10" t="inlineStr">
        <ns0:is>
          <ns0:t>Shim Heung-taek’s report</ns0:t>
        </ns0:is>
      </ns0:c>
      <ns0:c r="G526" s="10" t="inlineStr">
        <ns0:is>
          <ns0:t>Shim reported information about Dokdo in 1906, after the administrative reform of 1900.</ns0:t>
        </ns0:is>
      </ns0:c>
    </ns0:row>
    <ns0:row r="527" ht="38" customHeight="1">
      <ns0:c r="A527" s="12" t="n">
        <ns0:v>920178</ns0:v>
      </ns0:c>
      <ns0:c r="B527" s="12" t="inlineStr">
        <ns0:is>
          <ns0:t>c</ns0:t>
        </ns0:is>
      </ns0:c>
      <ns0:c r="C527" s="12" t="inlineStr">
        <ns0:is>
          <ns0:t>태정관지령</ns0:t>
        </ns0:is>
      </ns0:c>
      <ns0:c r="D527" s="12" t="n">
        <ns0:v>0</ns0:v>
      </ns0:c>
      <ns0:c r="E527" s="12" t="inlineStr">
        <ns0:is>
          <ns0:t>태정관지령은 1877년 일본의 지시예요. 1906년 울도군수의 현지 보고와는 다른 문서예요.</ns0:t>
        </ns0:is>
      </ns0:c>
      <ns0:c r="F527" s="12" t="inlineStr">
        <ns0:is>
          <ns0:t>The Dajokan directive</ns0:t>
        </ns0:is>
      </ns0:c>
      <ns0:c r="G527" s="12" t="inlineStr">
        <ns0:is>
          <ns0:t>The Dajokan directive was a Japanese instruction in 1877, not the 1906 Uldo magistrate’s report.</ns0:t>
        </ns0:is>
      </ns0:c>
    </ns0:row>
    <ns0:row r="528" ht="38" customHeight="1">
      <ns0:c r="A528" s="10" t="n">
        <ns0:v>920179</ns0:v>
      </ns0:c>
      <ns0:c r="B528" s="10" t="inlineStr">
        <ns0:is>
          <ns0:t>b</ns0:t>
        </ns0:is>
      </ns0:c>
      <ns0:c r="C528" s="10" t="inlineStr">
        <ns0:is>
          <ns0:t>지령 제3호 → 1900년 칙령 → 심흥택 보고</ns0:t>
        </ns0:is>
      </ns0:c>
      <ns0:c r="D528" s="10" t="n">
        <ns0:v>0</ns0:v>
      </ns0:c>
      <ns0:c r="E528" s="10" t="inlineStr">
        <ns0:is>
          <ns0:t>1906년의 응답을 1900년보다 앞에 놓았어요.</ns0:t>
        </ns0:is>
      </ns0:c>
      <ns0:c r="F528" s="10" t="inlineStr">
        <ns0:is>
          <ns0:t>Directive No. 3 → 1900 decree → Shim’s report</ns0:t>
        </ns0:is>
      </ns0:c>
      <ns0:c r="G528" s="10" t="inlineStr">
        <ns0:is>
          <ns0:t>This places the 1906 response before the 1900 decree.</ns0:t>
        </ns0:is>
      </ns0:c>
    </ns0:row>
    <ns0:row r="529" ht="38" customHeight="1">
      <ns0:c r="A529" s="12" t="n">
        <ns0:v>920179</ns0:v>
      </ns0:c>
      <ns0:c r="B529" s="12" t="inlineStr">
        <ns0:is>
          <ns0:t>c</ns0:t>
        </ns0:is>
      </ns0:c>
      <ns0:c r="C529" s="12" t="inlineStr">
        <ns0:is>
          <ns0:t>심흥택 보고 → 지령 제3호 → 1900년 칙령</ns0:t>
        </ns0:is>
      </ns0:c>
      <ns0:c r="D529" s="12" t="n">
        <ns0:v>0</ns0:v>
      </ns0:c>
      <ns0:c r="E529" s="12" t="inlineStr">
        <ns0:is>
          <ns0:t>1900년 칙령은 두 1906년 문서보다 앞서요.</ns0:t>
        </ns0:is>
      </ns0:c>
      <ns0:c r="F529" s="12" t="inlineStr">
        <ns0:is>
          <ns0:t>Shim’s report → Directive No. 3 → 1900 decree</ns0:t>
        </ns0:is>
      </ns0:c>
      <ns0:c r="G529" s="12" t="inlineStr">
        <ns0:is>
          <ns0:t>The 1900 decree predates both 1906 records.</ns0:t>
        </ns0:is>
      </ns0:c>
    </ns0:row>
    <ns0:row r="530" ht="38" customHeight="1">
      <ns0:c r="A530" s="10" t="n">
        <ns0:v>920179</ns0:v>
      </ns0:c>
      <ns0:c r="B530" s="10" t="inlineStr">
        <ns0:is>
          <ns0:t>a</ns0:t>
        </ns0:is>
      </ns0:c>
      <ns0:c r="C530" s="10" t="inlineStr">
        <ns0:is>
          <ns0:t>1900년 칙령 → 1906년 심흥택 보고 → 지령 제3호</ns0:t>
        </ns0:is>
      </ns0:c>
      <ns0:c r="D530" s="10" t="n">
        <ns0:v>1</ns0:v>
      </ns0:c>
      <ns0:c r="E530" s="10" t="inlineStr">
        <ns0:is>
          <ns0:t>행정 개편 뒤 현지 보고가 있었고, 그 보고에 대한 지령이 이어졌어요.</ns0:t>
        </ns0:is>
      </ns0:c>
      <ns0:c r="F530" s="10" t="inlineStr">
        <ns0:is>
          <ns0:t>1900 decree → Shim’s 1906 report → Directive No. 3</ns0:t>
        </ns0:is>
      </ns0:c>
      <ns0:c r="G530" s="10" t="inlineStr">
        <ns0:is>
          <ns0:t>Reorganisation preceded the local report and the subsequent directive.</ns0:t>
        </ns0:is>
      </ns0:c>
    </ns0:row>
    <ns0:row r="531" ht="38" customHeight="1">
      <ns0:c r="A531" s="12" t="n">
        <ns0:v>920180</ns0:v>
      </ns0:c>
      <ns0:c r="B531" s="12" t="inlineStr">
        <ns0:is>
          <ns0:t>a</ns0:t>
        </ns0:is>
      </ns0:c>
      <ns0:c r="C531" s="12" t="inlineStr">
        <ns0:is>
          <ns0:t>칙령: 행정 개편 / 보고: 상황 전달 / 지령: 대응 지시</ns0:t>
        </ns0:is>
      </ns0:c>
      <ns0:c r="D531" s="12" t="n">
        <ns0:v>1</ns0:v>
      </ns0:c>
      <ns0:c r="E531" s="12" t="inlineStr">
        <ns0:is>
          <ns0:t>세 자료의 실제 역할을 순서대로 나누었어요.</ns0:t>
        </ns0:is>
      </ns0:c>
      <ns0:c r="F531" s="12" t="inlineStr">
        <ns0:is>
          <ns0:t>Decree: reform / report: notification / directive: response</ns0:t>
        </ns0:is>
      </ns0:c>
      <ns0:c r="G531" s="12" t="inlineStr">
        <ns0:is>
          <ns0:t>This distinguishes each record’s role in sequence.</ns0:t>
        </ns0:is>
      </ns0:c>
    </ns0:row>
    <ns0:row r="532" ht="38" customHeight="1">
      <ns0:c r="A532" s="10" t="n">
        <ns0:v>920180</ns0:v>
      </ns0:c>
      <ns0:c r="B532" s="10" t="inlineStr">
        <ns0:is>
          <ns0:t>b</ns0:t>
        </ns0:is>
      </ns0:c>
      <ns0:c r="C532" s="10" t="inlineStr">
        <ns0:is>
          <ns0:t>칙령: 현지 보고 / 보고: 황제의 명령 / 지령: 지도</ns0:t>
        </ns0:is>
      </ns0:c>
      <ns0:c r="D532" s="10" t="n">
        <ns0:v>0</ns0:v>
      </ns0:c>
      <ns0:c r="E532" s="10" t="inlineStr">
        <ns0:is>
          <ns0:t>문서 종류와 기능이 모두 잘못 짝지어졌어요.</ns0:t>
        </ns0:is>
      </ns0:c>
      <ns0:c r="F532" s="10" t="inlineStr">
        <ns0:is>
          <ns0:t>Decree: local report / report: imperial order / directive: map</ns0:t>
        </ns0:is>
      </ns0:c>
      <ns0:c r="G532" s="10" t="inlineStr">
        <ns0:is>
          <ns0:t>The types and functions are mismatched.</ns0:t>
        </ns0:is>
      </ns0:c>
    </ns0:row>
    <ns0:row r="533" ht="38" customHeight="1">
      <ns0:c r="A533" s="12" t="n">
        <ns0:v>920180</ns0:v>
      </ns0:c>
      <ns0:c r="B533" s="12" t="inlineStr">
        <ns0:is>
          <ns0:t>c</ns0:t>
        </ns0:is>
      </ns0:c>
      <ns0:c r="C533" s="12" t="inlineStr">
        <ns0:is>
          <ns0:t>칙령: 대응 지시 / 보고: 행정 이름 변경 / 지령: 현지 보고</ns0:t>
        </ns0:is>
      </ns0:c>
      <ns0:c r="D533" s="12" t="n">
        <ns0:v>0</ns0:v>
      </ns0:c>
      <ns0:c r="E533" s="12" t="inlineStr">
        <ns0:is>
          <ns0:t>세 문서가 맡은 일을 서로 바꾸었어요.</ns0:t>
        </ns0:is>
      </ns0:c>
      <ns0:c r="F533" s="12" t="inlineStr">
        <ns0:is>
          <ns0:t>Decree: response / report: renaming / directive: local report</ns0:t>
        </ns0:is>
      </ns0:c>
      <ns0:c r="G533" s="12" t="inlineStr">
        <ns0:is>
          <ns0:t>The actual functions have been rearranged incorrectly.</ns0:t>
        </ns0:is>
      </ns0:c>
    </ns0:row>
    <ns0:row r="534" ht="33" customHeight="1">
      <ns0:c r="A534" s="10" t="n">
        <ns0:v>920181</ns0:v>
      </ns0:c>
      <ns0:c r="B534" s="10" t="inlineStr">
        <ns0:is>
          <ns0:t>b</ns0:t>
        </ns0:is>
      </ns0:c>
      <ns0:c r="C534" s="10" t="inlineStr">
        <ns0:is>
          <ns0:t>서도</ns0:t>
        </ns0:is>
      </ns0:c>
      <ns0:c r="D534" s="10" t="n">
        <ns0:v>0</ns0:v>
      </ns0:c>
      <ns0:c r="E534" s="10" t="inlineStr">
        <ns0:is>
          <ns0:t>서도 물골과 달리 천장굴은 동도에 있어요.</ns0:t>
        </ns0:is>
      </ns0:c>
      <ns0:c r="F534" s="10" t="inlineStr">
        <ns0:is>
          <ns0:t>Seodo</ns0:t>
        </ns0:is>
      </ns0:c>
      <ns0:c r="G534" s="10" t="inlineStr">
        <ns0:is>
          <ns0:t>Unlike Mulgol on Seodo, Cheonjang Cave is on Dongdo.</ns0:t>
        </ns0:is>
      </ns0:c>
    </ns0:row>
    <ns0:row r="535" ht="33" customHeight="1">
      <ns0:c r="A535" s="12" t="n">
        <ns0:v>920181</ns0:v>
      </ns0:c>
      <ns0:c r="B535" s="12" t="inlineStr">
        <ns0:is>
          <ns0:t>a</ns0:t>
        </ns0:is>
      </ns0:c>
      <ns0:c r="C535" s="12" t="inlineStr">
        <ns0:is>
          <ns0:t>동도</ns0:t>
        </ns0:is>
      </ns0:c>
      <ns0:c r="D535" s="12" t="n">
        <ns0:v>1</ns0:v>
      </ns0:c>
      <ns0:c r="E535" s="12" t="inlineStr">
        <ns0:is>
          <ns0:t>천장굴은 동도 중앙에 있는 함몰 지형으로 소개돼요.</ns0:t>
        </ns0:is>
      </ns0:c>
      <ns0:c r="F535" s="12" t="inlineStr">
        <ns0:is>
          <ns0:t>Dongdo</ns0:t>
        </ns0:is>
      </ns0:c>
      <ns0:c r="G535" s="12" t="inlineStr">
        <ns0:is>
          <ns0:t>Cheonjang Cave is described as a depression in central Dongdo.</ns0:t>
        </ns0:is>
      </ns0:c>
    </ns0:row>
    <ns0:row r="536" ht="33" customHeight="1">
      <ns0:c r="A536" s="10" t="n">
        <ns0:v>920182</ns0:v>
      </ns0:c>
      <ns0:c r="B536" s="10" t="inlineStr">
        <ns0:is>
          <ns0:t>b</ns0:t>
        </ns0:is>
      </ns0:c>
      <ns0:c r="C536" s="10" t="inlineStr">
        <ns0:is>
          <ns0:t>문처럼 뚫린 바위 아치</ns0:t>
        </ns0:is>
      </ns0:c>
      <ns0:c r="D536" s="10" t="n">
        <ns0:v>0</ns0:v>
      </ns0:c>
      <ns0:c r="E536" s="10" t="inlineStr">
        <ns0:is>
          <ns0:t>아치 형태는 독립문바위와 연결되는 설명이에요.</ns0:t>
        </ns0:is>
      </ns0:c>
      <ns0:c r="F536" s="10" t="inlineStr">
        <ns0:is>
          <ns0:t>A door-like rock arch</ns0:t>
        </ns0:is>
      </ns0:c>
      <ns0:c r="G536" s="10" t="inlineStr">
        <ns0:is>
          <ns0:t>A rock arch describes Dongnimmun Rock rather than this depression.</ns0:t>
        </ns0:is>
      </ns0:c>
    </ns0:row>
    <ns0:row r="537" ht="33" customHeight="1">
      <ns0:c r="A537" s="12" t="n">
        <ns0:v>920182</ns0:v>
      </ns0:c>
      <ns0:c r="B537" s="12" t="inlineStr">
        <ns0:is>
          <ns0:t>a</ns0:t>
        </ns0:is>
      </ns0:c>
      <ns0:c r="C537" s="12" t="inlineStr">
        <ns0:is>
          <ns0:t>우물처럼 깊게 패인 곳</ns0:t>
        </ns0:is>
      </ns0:c>
      <ns0:c r="D537" s="12" t="n">
        <ns0:v>1</ns0:v>
      </ns0:c>
      <ns0:c r="E537" s="12" t="inlineStr">
        <ns0:is>
          <ns0:t>중앙이 깊게 패인 함몰 지형이라는 설명이 천장굴의 특징이에요.</ns0:t>
        </ns0:is>
      </ns0:c>
      <ns0:c r="F537" s="12" t="inlineStr">
        <ns0:is>
          <ns0:t>A deep, well-shaped hollow</ns0:t>
        </ns0:is>
      </ns0:c>
      <ns0:c r="G537" s="12" t="inlineStr">
        <ns0:is>
          <ns0:t>A deep central depression is the described feature.</ns0:t>
        </ns0:is>
      </ns0:c>
    </ns0:row>
    <ns0:row r="538" ht="33" customHeight="1">
      <ns0:c r="A538" s="10" t="n">
        <ns0:v>920182</ns0:v>
      </ns0:c>
      <ns0:c r="B538" s="10" t="inlineStr">
        <ns0:is>
          <ns0:t>c</ns0:t>
        </ns0:is>
      </ns0:c>
      <ns0:c r="C538" s="10" t="inlineStr">
        <ns0:is>
          <ns0:t>바다와 나란한 모래 언덕</ns0:t>
        </ns0:is>
      </ns0:c>
      <ns0:c r="D538" s="10" t="n">
        <ns0:v>0</ns0:v>
      </ns0:c>
      <ns0:c r="E538" s="10" t="inlineStr">
        <ns0:is>
          <ns0:t>천장굴은 모래가 쌓인 언덕이 아니라 암반의 함몰 지형이에요.</ns0:t>
        </ns0:is>
      </ns0:c>
      <ns0:c r="F538" s="10" t="inlineStr">
        <ns0:is>
          <ns0:t>A sandy ridge parallel to the sea</ns0:t>
        </ns0:is>
      </ns0:c>
      <ns0:c r="G538" s="10" t="inlineStr">
        <ns0:is>
          <ns0:t>Cheonjang Cave is a rocky depression, not a sandy ridge.</ns0:t>
        </ns0:is>
      </ns0:c>
    </ns0:row>
    <ns0:row r="539" ht="33" customHeight="1">
      <ns0:c r="A539" s="12" t="n">
        <ns0:v>920183</ns0:v>
      </ns0:c>
      <ns0:c r="B539" s="12" t="inlineStr">
        <ns0:is>
          <ns0:t>b</ns0:t>
        </ns0:is>
      </ns0:c>
      <ns0:c r="C539" s="12" t="inlineStr">
        <ns0:is>
          <ns0:t>물골</ns0:t>
        </ns0:is>
      </ns0:c>
      <ns0:c r="D539" s="12" t="n">
        <ns0:v>0</ns0:v>
      </ns0:c>
      <ns0:c r="E539" s="12" t="inlineStr">
        <ns0:is>
          <ns0:t>물골은 서도에서 식수원으로 쓰였던 장소예요.</ns0:t>
        </ns0:is>
      </ns0:c>
      <ns0:c r="F539" s="12" t="inlineStr">
        <ns0:is>
          <ns0:t>Mulgol</ns0:t>
        </ns0:is>
      </ns0:c>
      <ns0:c r="G539" s="12" t="inlineStr">
        <ns0:is>
          <ns0:t>Mulgol is Seodo’s historical water source.</ns0:t>
        </ns0:is>
      </ns0:c>
    </ns0:row>
    <ns0:row r="540" ht="33" customHeight="1">
      <ns0:c r="A540" s="10" t="n">
        <ns0:v>920183</ns0:v>
      </ns0:c>
      <ns0:c r="B540" s="10" t="inlineStr">
        <ns0:is>
          <ns0:t>c</ns0:t>
        </ns0:is>
      </ns0:c>
      <ns0:c r="C540" s="10" t="inlineStr">
        <ns0:is>
          <ns0:t>탕건봉</ns0:t>
        </ns0:is>
      </ns0:c>
      <ns0:c r="D540" s="10" t="n">
        <ns0:v>0</ns0:v>
      </ns0:c>
      <ns0:c r="E540" s="10" t="inlineStr">
        <ns0:is>
          <ns0:t>탕건봉은 서도의 봉우리이며 동도 중앙 함몰 지형과 달라요.</ns0:t>
        </ns0:is>
      </ns0:c>
      <ns0:c r="F540" s="10" t="inlineStr">
        <ns0:is>
          <ns0:t>Tanggeonbong</ns0:t>
        </ns0:is>
      </ns0:c>
      <ns0:c r="G540" s="10" t="inlineStr">
        <ns0:is>
          <ns0:t>Tanggeonbong is a peak on Seodo, not a central Dongdo depression.</ns0:t>
        </ns0:is>
      </ns0:c>
    </ns0:row>
    <ns0:row r="541" ht="33" customHeight="1">
      <ns0:c r="A541" s="12" t="n">
        <ns0:v>920183</ns0:v>
      </ns0:c>
      <ns0:c r="B541" s="12" t="inlineStr">
        <ns0:is>
          <ns0:t>a</ns0:t>
        </ns0:is>
      </ns0:c>
      <ns0:c r="C541" s="12" t="inlineStr">
        <ns0:is>
          <ns0:t>천장굴</ns0:t>
        </ns0:is>
      </ns0:c>
      <ns0:c r="D541" s="12" t="n">
        <ns0:v>1</ns0:v>
      </ns0:c>
      <ns0:c r="E541" s="12" t="inlineStr">
        <ns0:is>
          <ns0:t>동도 중앙의 우물 모양 함몰 지형이라는 두 특징이 천장굴을 가리켜요.</ns0:t>
        </ns0:is>
      </ns0:c>
      <ns0:c r="F541" s="12" t="inlineStr">
        <ns0:is>
          <ns0:t>Cheonjang Cave</ns0:t>
        </ns0:is>
      </ns0:c>
      <ns0:c r="G541" s="12" t="inlineStr">
        <ns0:is>
          <ns0:t>Its central Dongdo location and well-shaped depression identify Cheonjang Cave.</ns0:t>
        </ns0:is>
      </ns0:c>
    </ns0:row>
    <ns0:row r="542" ht="33" customHeight="1">
      <ns0:c r="A542" s="10" t="n">
        <ns0:v>920184</ns0:v>
      </ns0:c>
      <ns0:c r="B542" s="10" t="inlineStr">
        <ns0:is>
          <ns0:t>a</ns0:t>
        </ns0:is>
      </ns0:c>
      <ns0:c r="C542" s="10" t="inlineStr">
        <ns0:is>
          <ns0:t>동도 안쪽에서 아래로 깊게 패인 공간</ns0:t>
        </ns0:is>
      </ns0:c>
      <ns0:c r="D542" s="10" t="n">
        <ns0:v>1</ns0:v>
      </ns0:c>
      <ns0:c r="E542" s="10" t="inlineStr">
        <ns0:is>
          <ns0:t>바다 쪽 벽에 작은 입구만 그리기보다 중앙의 함몰 형태를 보여줘야 해요.</ns0:t>
        </ns0:is>
      </ns0:c>
      <ns0:c r="F542" s="10" t="inlineStr">
        <ns0:is>
          <ns0:t>A deep hollow descending within Dongdo</ns0:t>
        </ns0:is>
      </ns0:c>
      <ns0:c r="G542" s="10" t="inlineStr">
        <ns0:is>
          <ns0:t>The central depression, not merely a small opening in a coastal wall, is the key feature.</ns0:t>
        </ns0:is>
      </ns0:c>
    </ns0:row>
    <ns0:row r="543" ht="33" customHeight="1">
      <ns0:c r="A543" s="12" t="n">
        <ns0:v>920184</ns0:v>
      </ns0:c>
      <ns0:c r="B543" s="12" t="inlineStr">
        <ns0:is>
          <ns0:t>b</ns0:t>
        </ns0:is>
      </ns0:c>
      <ns0:c r="C543" s="12" t="inlineStr">
        <ns0:is>
          <ns0:t>서도 정상의 뾰족한 봉우리</ns0:t>
        </ns0:is>
      </ns0:c>
      <ns0:c r="D543" s="12" t="n">
        <ns0:v>0</ns0:v>
      </ns0:c>
      <ns0:c r="E543" s="12" t="inlineStr">
        <ns0:is>
          <ns0:t>섬도 다르고 함몰 지형이 아닌 봉우리예요.</ns0:t>
        </ns0:is>
      </ns0:c>
      <ns0:c r="F543" s="12" t="inlineStr">
        <ns0:is>
          <ns0:t>A sharp summit on Seodo</ns0:t>
        </ns0:is>
      </ns0:c>
      <ns0:c r="G543" s="12" t="inlineStr">
        <ns0:is>
          <ns0:t>This is a different island and a peak rather than a depression.</ns0:t>
        </ns0:is>
      </ns0:c>
    </ns0:row>
    <ns0:row r="544" ht="33" customHeight="1">
      <ns0:c r="A544" s="10" t="n">
        <ns0:v>920184</ns0:v>
      </ns0:c>
      <ns0:c r="B544" s="10" t="inlineStr">
        <ns0:is>
          <ns0:t>c</ns0:t>
        </ns0:is>
      </ns0:c>
      <ns0:c r="C544" s="10" t="inlineStr">
        <ns0:is>
          <ns0:t>동도 해안의 문 모양 아치만</ns0:t>
        </ns0:is>
      </ns0:c>
      <ns0:c r="D544" s="10" t="n">
        <ns0:v>0</ns0:v>
      </ns0:c>
      <ns0:c r="E544" s="10" t="inlineStr">
        <ns0:is>
          <ns0:t>그 모습은 독립문바위의 해식아치와 혼동한 것이에요.</ns0:t>
        </ns0:is>
      </ns0:c>
      <ns0:c r="F544" s="10" t="inlineStr">
        <ns0:is>
          <ns0:t>Only a door-shaped arch on Dongdo’s coast</ns0:t>
        </ns0:is>
      </ns0:c>
      <ns0:c r="G544" s="10" t="inlineStr">
        <ns0:is>
          <ns0:t>That confuses the feature with Dongnimmun’s sea arch.</ns0:t>
        </ns0:is>
      </ns0:c>
    </ns0:row>
    <ns0:row r="545" ht="33" customHeight="1">
      <ns0:c r="A545" s="12" t="n">
        <ns0:v>920185</ns0:v>
      </ns0:c>
      <ns0:c r="B545" s="12" t="inlineStr">
        <ns0:is>
          <ns0:t>b</ns0:t>
        </ns0:is>
      </ns0:c>
      <ns0:c r="C545" s="12" t="inlineStr">
        <ns0:is>
          <ns0:t>숫돌바위</ns0:t>
        </ns0:is>
      </ns0:c>
      <ns0:c r="D545" s="12" t="n">
        <ns0:v>0</ns0:v>
      </ns0:c>
      <ns0:c r="E545" s="12" t="inlineStr">
        <ns0:is>
          <ns0:t>숫돌바위는 숫돌과 닮은 암질과 관련된 이름이에요.</ns0:t>
        </ns0:is>
      </ns0:c>
      <ns0:c r="F545" s="12" t="inlineStr">
        <ns0:is>
          <ns0:t>Sutdol Rock</ns0:t>
        </ns0:is>
      </ns0:c>
      <ns0:c r="G545" s="12" t="inlineStr">
        <ns0:is>
          <ns0:t>Sutdol’s name relates to resemblance to a whetstone, not a door arch.</ns0:t>
        </ns0:is>
      </ns0:c>
    </ns0:row>
    <ns0:row r="546" ht="33" customHeight="1">
      <ns0:c r="A546" s="10" t="n">
        <ns0:v>920185</ns0:v>
      </ns0:c>
      <ns0:c r="B546" s="10" t="inlineStr">
        <ns0:is>
          <ns0:t>a</ns0:t>
        </ns0:is>
      </ns0:c>
      <ns0:c r="C546" s="10" t="inlineStr">
        <ns0:is>
          <ns0:t>독립문바위</ns0:t>
        </ns0:is>
      </ns0:c>
      <ns0:c r="D546" s="10" t="n">
        <ns0:v>1</ns0:v>
      </ns0:c>
      <ns0:c r="E546" s="10" t="inlineStr">
        <ns0:is>
          <ns0:t>독립문을 닮은 아치 형태가 이름과 연결돼요.</ns0:t>
        </ns0:is>
      </ns0:c>
      <ns0:c r="F546" s="10" t="inlineStr">
        <ns0:is>
          <ns0:t>Dongnimmun Rock</ns0:t>
        </ns0:is>
      </ns0:c>
      <ns0:c r="G546" s="10" t="inlineStr">
        <ns0:is>
          <ns0:t>Its arch-like form is associated with the name Dongnimmun.</ns0:t>
        </ns0:is>
      </ns0:c>
    </ns0:row>
    <ns0:row r="547" ht="33" customHeight="1">
      <ns0:c r="A547" s="12" t="n">
        <ns0:v>920185</ns0:v>
      </ns0:c>
      <ns0:c r="B547" s="12" t="inlineStr">
        <ns0:is>
          <ns0:t>c</ns0:t>
        </ns0:is>
      </ns0:c>
      <ns0:c r="C547" s="12" t="inlineStr">
        <ns0:is>
          <ns0:t>가제바위</ns0:t>
        </ns0:is>
      </ns0:c>
      <ns0:c r="D547" s="12" t="n">
        <ns0:v>0</ns0:v>
      </ns0:c>
      <ns0:c r="E547" s="12" t="inlineStr">
        <ns0:is>
          <ns0:t>가제바위는 강치의 옛 이름과 연결돼요.</ns0:t>
        </ns0:is>
      </ns0:c>
      <ns0:c r="F547" s="12" t="inlineStr">
        <ns0:is>
          <ns0:t>Gaje Rock</ns0:t>
        </ns0:is>
      </ns0:c>
      <ns0:c r="G547" s="12" t="inlineStr">
        <ns0:is>
          <ns0:t>Gaje’s name is associated with an old term for sea lions.</ns0:t>
        </ns0:is>
      </ns0:c>
    </ns0:row>
    <ns0:row r="548" ht="33" customHeight="1">
      <ns0:c r="A548" s="10" t="n">
        <ns0:v>920186</ns0:v>
      </ns0:c>
      <ns0:c r="B548" s="10" t="inlineStr">
        <ns0:is>
          <ns0:t>a</ns0:t>
        </ns0:is>
      </ns0:c>
      <ns0:c r="C548" s="10" t="inlineStr">
        <ns0:is>
          <ns0:t>동도</ns0:t>
        </ns0:is>
      </ns0:c>
      <ns0:c r="D548" s="10" t="n">
        <ns0:v>1</ns0:v>
      </ns0:c>
      <ns0:c r="E548" s="10" t="inlineStr">
        <ns0:is>
          <ns0:t>독립문바위는 동도의 해식아치로 소개돼요.</ns0:t>
        </ns0:is>
      </ns0:c>
      <ns0:c r="F548" s="10" t="inlineStr">
        <ns0:is>
          <ns0:t>Dongdo</ns0:t>
        </ns0:is>
      </ns0:c>
      <ns0:c r="G548" s="10" t="inlineStr">
        <ns0:is>
          <ns0:t>Dongnimmun Rock is described as a sea arch on Dongdo.</ns0:t>
        </ns0:is>
      </ns0:c>
    </ns0:row>
    <ns0:row r="549" ht="33" customHeight="1">
      <ns0:c r="A549" s="12" t="n">
        <ns0:v>920186</ns0:v>
      </ns0:c>
      <ns0:c r="B549" s="12" t="inlineStr">
        <ns0:is>
          <ns0:t>b</ns0:t>
        </ns0:is>
      </ns0:c>
      <ns0:c r="C549" s="12" t="inlineStr">
        <ns0:is>
          <ns0:t>서도</ns0:t>
        </ns0:is>
      </ns0:c>
      <ns0:c r="D549" s="12" t="n">
        <ns0:v>0</ns0:v>
      </ns0:c>
      <ns0:c r="E549" s="12" t="inlineStr">
        <ns0:is>
          <ns0:t>서도 봉우리나 물골과 달리 독립문바위는 동도 지형이에요.</ns0:t>
        </ns0:is>
      </ns0:c>
      <ns0:c r="F549" s="12" t="inlineStr">
        <ns0:is>
          <ns0:t>Seodo</ns0:t>
        </ns0:is>
      </ns0:c>
      <ns0:c r="G549" s="12" t="inlineStr">
        <ns0:is>
          <ns0:t>Unlike Seodo’s peaks or Mulgol, this feature is on Dongdo.</ns0:t>
        </ns0:is>
      </ns0:c>
    </ns0:row>
    <ns0:row r="550" ht="33" customHeight="1">
      <ns0:c r="A550" s="10" t="n">
        <ns0:v>920187</ns0:v>
      </ns0:c>
      <ns0:c r="B550" s="10" t="inlineStr">
        <ns0:is>
          <ns0:t>b</ns0:t>
        </ns0:is>
      </ns0:c>
      <ns0:c r="C550" s="10" t="inlineStr">
        <ns0:is>
          <ns0:t>삼각주</ns0:t>
        </ns0:is>
      </ns0:c>
      <ns0:c r="D550" s="10" t="n">
        <ns0:v>0</ns0:v>
      </ns0:c>
      <ns0:c r="E550" s="10" t="inlineStr">
        <ns0:is>
          <ns0:t>삼각주는 강 하구에 퇴적물이 쌓인 지형이고 독립문바위와 달라요.</ns0:t>
        </ns0:is>
      </ns0:c>
      <ns0:c r="F550" s="10" t="inlineStr">
        <ns0:is>
          <ns0:t>River delta</ns0:t>
        </ns0:is>
      </ns0:c>
      <ns0:c r="G550" s="10" t="inlineStr">
        <ns0:is>
          <ns0:t>A delta is a depositional river-mouth landform, unlike the rock arch.</ns0:t>
        </ns0:is>
      </ns0:c>
    </ns0:row>
    <ns0:row r="551" ht="33" customHeight="1">
      <ns0:c r="A551" s="12" t="n">
        <ns0:v>920187</ns0:v>
      </ns0:c>
      <ns0:c r="B551" s="12" t="inlineStr">
        <ns0:is>
          <ns0:t>c</ns0:t>
        </ns0:is>
      </ns0:c>
      <ns0:c r="C551" s="12" t="inlineStr">
        <ns0:is>
          <ns0:t>빙하 계곡</ns0:t>
        </ns0:is>
      </ns0:c>
      <ns0:c r="D551" s="12" t="n">
        <ns0:v>0</ns0:v>
      </ns0:c>
      <ns0:c r="E551" s="12" t="inlineStr">
        <ns0:is>
          <ns0:t>독립문바위는 빙하가 만든 계곡으로 설명되지 않아요.</ns0:t>
        </ns0:is>
      </ns0:c>
      <ns0:c r="F551" s="12" t="inlineStr">
        <ns0:is>
          <ns0:t>Glacial valley</ns0:t>
        </ns0:is>
      </ns0:c>
      <ns0:c r="G551" s="12" t="inlineStr">
        <ns0:is>
          <ns0:t>The feature is not described as a glacial valley.</ns0:t>
        </ns0:is>
      </ns0:c>
    </ns0:row>
    <ns0:row r="552" ht="33" customHeight="1">
      <ns0:c r="A552" s="10" t="n">
        <ns0:v>920187</ns0:v>
      </ns0:c>
      <ns0:c r="B552" s="10" t="inlineStr">
        <ns0:is>
          <ns0:t>a</ns0:t>
        </ns0:is>
      </ns0:c>
      <ns0:c r="C552" s="10" t="inlineStr">
        <ns0:is>
          <ns0:t>해식아치</ns0:t>
        </ns0:is>
      </ns0:c>
      <ns0:c r="D552" s="10" t="n">
        <ns0:v>1</ns0:v>
      </ns0:c>
      <ns0:c r="E552" s="10" t="inlineStr">
        <ns0:is>
          <ns0:t>파도 등의 침식으로 해안 바위에 통로가 생긴 아치 지형이에요.</ns0:t>
        </ns0:is>
      </ns0:c>
      <ns0:c r="F552" s="10" t="inlineStr">
        <ns0:is>
          <ns0:t>Sea arch</ns0:t>
        </ns0:is>
      </ns0:c>
      <ns0:c r="G552" s="10" t="inlineStr">
        <ns0:is>
          <ns0:t>A sea arch is an opening eroded through coastal rock.</ns0:t>
        </ns0:is>
      </ns0:c>
    </ns0:row>
    <ns0:row r="553" ht="38" customHeight="1">
      <ns0:c r="A553" s="12" t="n">
        <ns0:v>920188</ns0:v>
      </ns0:c>
      <ns0:c r="B553" s="12" t="inlineStr">
        <ns0:is>
          <ns0:t>a</ns0:t>
        </ns0:is>
      </ns0:c>
      <ns0:c r="C553" s="12" t="inlineStr">
        <ns0:is>
          <ns0:t>독립문바위는 아치, 천장굴은 우물 모양 함몰 지형</ns0:t>
        </ns0:is>
      </ns0:c>
      <ns0:c r="D553" s="12" t="n">
        <ns0:v>1</ns0:v>
      </ns0:c>
      <ns0:c r="E553" s="12" t="inlineStr">
        <ns0:is>
          <ns0:t>구멍이 보인다는 공통점만으로 같은 지형은 아니에요. 통로와 함몰 형태를 구분해요.</ns0:t>
        </ns0:is>
      </ns0:c>
      <ns0:c r="F553" s="12" t="inlineStr">
        <ns0:is>
          <ns0:t>Dongnimmun is an arch; Cheonjang is a well-shaped depression</ns0:t>
        </ns0:is>
      </ns0:c>
      <ns0:c r="G553" s="12" t="inlineStr">
        <ns0:is>
          <ns0:t>Both involve openings, but an arch passage and a depression are different forms.</ns0:t>
        </ns0:is>
      </ns0:c>
    </ns0:row>
    <ns0:row r="554" ht="33" customHeight="1">
      <ns0:c r="A554" s="10" t="n">
        <ns0:v>920188</ns0:v>
      </ns0:c>
      <ns0:c r="B554" s="10" t="inlineStr">
        <ns0:is>
          <ns0:t>b</ns0:t>
        </ns0:is>
      </ns0:c>
      <ns0:c r="C554" s="10" t="inlineStr">
        <ns0:is>
          <ns0:t>둘 다 서도의 뾰족한 봉우리</ns0:t>
        </ns0:is>
      </ns0:c>
      <ns0:c r="D554" s="10" t="n">
        <ns0:v>0</ns0:v>
      </ns0:c>
      <ns0:c r="E554" s="10" t="inlineStr">
        <ns0:is>
          <ns0:t>두 지형 모두 동도에 있고 봉우리로 분류하는 설명도 맞지 않아요.</ns0:t>
        </ns0:is>
      </ns0:c>
      <ns0:c r="F554" s="10" t="inlineStr">
        <ns0:is>
          <ns0:t>Both are sharp peaks on Seodo</ns0:t>
        </ns0:is>
      </ns0:c>
      <ns0:c r="G554" s="10" t="inlineStr">
        <ns0:is>
          <ns0:t>Both are on Dongdo and neither is described here as a sharp peak.</ns0:t>
        </ns0:is>
      </ns0:c>
    </ns0:row>
    <ns0:row r="555" ht="38" customHeight="1">
      <ns0:c r="A555" s="12" t="n">
        <ns0:v>920188</ns0:v>
      </ns0:c>
      <ns0:c r="B555" s="12" t="inlineStr">
        <ns0:is>
          <ns0:t>c</ns0:t>
        </ns0:is>
      </ns0:c>
      <ns0:c r="C555" s="12" t="inlineStr">
        <ns0:is>
          <ns0:t>독립문바위는 함몰 지형, 천장굴은 해식아치</ns0:t>
        </ns0:is>
      </ns0:c>
      <ns0:c r="D555" s="12" t="n">
        <ns0:v>0</ns0:v>
      </ns0:c>
      <ns0:c r="E555" s="12" t="inlineStr">
        <ns0:is>
          <ns0:t>두 지형의 특징을 뒤바꿨어요.</ns0:t>
        </ns0:is>
      </ns0:c>
      <ns0:c r="F555" s="12" t="inlineStr">
        <ns0:is>
          <ns0:t>Dongnimmun is a depression; Cheonjang is a sea arch</ns0:t>
        </ns0:is>
      </ns0:c>
      <ns0:c r="G555" s="12" t="inlineStr">
        <ns0:is>
          <ns0:t>The characteristics have been reversed.</ns0:t>
        </ns0:is>
      </ns0:c>
    </ns0:row>
    <ns0:row r="556" ht="33" customHeight="1">
      <ns0:c r="A556" s="10" t="n">
        <ns0:v>920189</ns0:v>
      </ns0:c>
      <ns0:c r="B556" s="10" t="inlineStr">
        <ns0:is>
          <ns0:t>b</ns0:t>
        </ns0:is>
      </ns0:c>
      <ns0:c r="C556" s="10" t="inlineStr">
        <ns0:is>
          <ns0:t>서도 주민숙소</ns0:t>
        </ns0:is>
      </ns0:c>
      <ns0:c r="D556" s="10" t="n">
        <ns0:v>0</ns0:v>
      </ns0:c>
      <ns0:c r="E556" s="10" t="inlineStr">
        <ns0:is>
          <ns0:t>숫돌바위는 서도 주민숙소가 아니라 동도 선착장 부근이에요.</ns0:t>
        </ns0:is>
      </ns0:c>
      <ns0:c r="F556" s="10" t="inlineStr">
        <ns0:is>
          <ns0:t>Seodo’s accommodation</ns0:t>
        </ns0:is>
      </ns0:c>
      <ns0:c r="G556" s="10" t="inlineStr">
        <ns0:is>
          <ns0:t>Its described location is by Dongdo’s dock, not Seodo’s accommodation.</ns0:t>
        </ns0:is>
      </ns0:c>
    </ns0:row>
    <ns0:row r="557" ht="33" customHeight="1">
      <ns0:c r="A557" s="12" t="n">
        <ns0:v>920189</ns0:v>
      </ns0:c>
      <ns0:c r="B557" s="12" t="inlineStr">
        <ns0:is>
          <ns0:t>a</ns0:t>
        </ns0:is>
      </ns0:c>
      <ns0:c r="C557" s="12" t="inlineStr">
        <ns0:is>
          <ns0:t>동도 선착장</ns0:t>
        </ns0:is>
      </ns0:c>
      <ns0:c r="D557" s="12" t="n">
        <ns0:v>1</ns0:v>
      </ns0:c>
      <ns0:c r="E557" s="12" t="inlineStr">
        <ns0:is>
          <ns0:t>숫돌바위는 동도 선착장 가까운 바위로 안내돼요.</ns0:t>
        </ns0:is>
      </ns0:c>
      <ns0:c r="F557" s="12" t="inlineStr">
        <ns0:is>
          <ns0:t>Dongdo’s dock</ns0:t>
        </ns0:is>
      </ns0:c>
      <ns0:c r="G557" s="12" t="inlineStr">
        <ns0:is>
          <ns0:t>The rock is described as being near Dongdo’s dock.</ns0:t>
        </ns0:is>
      </ns0:c>
    </ns0:row>
    <ns0:row r="558" ht="33" customHeight="1">
      <ns0:c r="A558" s="10" t="n">
        <ns0:v>920189</ns0:v>
      </ns0:c>
      <ns0:c r="B558" s="10" t="inlineStr">
        <ns0:is>
          <ns0:t>c</ns0:t>
        </ns0:is>
      </ns0:c>
      <ns0:c r="C558" s="10" t="inlineStr">
        <ns0:is>
          <ns0:t>울릉도 항구</ns0:t>
        </ns0:is>
      </ns0:c>
      <ns0:c r="D558" s="10" t="n">
        <ns0:v>0</ns0:v>
      </ns0:c>
      <ns0:c r="E558" s="10" t="inlineStr">
        <ns0:is>
          <ns0:t>숫돌바위는 독도의 동도 부근 지형이에요.</ns0:t>
        </ns0:is>
      </ns0:c>
      <ns0:c r="F558" s="10" t="inlineStr">
        <ns0:is>
          <ns0:t>A harbour on Ulleungdo</ns0:t>
        </ns0:is>
      </ns0:c>
      <ns0:c r="G558" s="10" t="inlineStr">
        <ns0:is>
          <ns0:t>This rock is a feature by Dongdo in Dokdo, not Ulleungdo.</ns0:t>
        </ns0:is>
      </ns0:c>
    </ns0:row>
    <ns0:row r="559" ht="33" customHeight="1">
      <ns0:c r="A559" s="12" t="n">
        <ns0:v>920190</ns0:v>
      </ns0:c>
      <ns0:c r="B559" s="12" t="inlineStr">
        <ns0:is>
          <ns0:t>b</ns0:t>
        </ns0:is>
      </ns0:c>
      <ns0:c r="C559" s="12" t="inlineStr">
        <ns0:is>
          <ns0:t>머리에 쓰는 탕건</ns0:t>
        </ns0:is>
      </ns0:c>
      <ns0:c r="D559" s="12" t="n">
        <ns0:v>0</ns0:v>
      </ns0:c>
      <ns0:c r="E559" s="12" t="inlineStr">
        <ns0:is>
          <ns0:t>탕건 모양은 탕건봉의 이름과 관련돼요.</ns0:t>
        </ns0:is>
      </ns0:c>
      <ns0:c r="F559" s="12" t="inlineStr">
        <ns0:is>
          <ns0:t>A tanggeon headpiece</ns0:t>
        </ns0:is>
      </ns0:c>
      <ns0:c r="G559" s="12" t="inlineStr">
        <ns0:is>
          <ns0:t>The headpiece is associated with Tanggeonbong.</ns0:t>
        </ns0:is>
      </ns0:c>
    </ns0:row>
    <ns0:row r="560" ht="33" customHeight="1">
      <ns0:c r="A560" s="10" t="n">
        <ns0:v>920190</ns0:v>
      </ns0:c>
      <ns0:c r="B560" s="10" t="inlineStr">
        <ns0:is>
          <ns0:t>c</ns0:t>
        </ns0:is>
      </ns0:c>
      <ns0:c r="C560" s="10" t="inlineStr">
        <ns0:is>
          <ns0:t>문 모양 건축물</ns0:t>
        </ns0:is>
      </ns0:c>
      <ns0:c r="D560" s="10" t="n">
        <ns0:v>0</ns0:v>
      </ns0:c>
      <ns0:c r="E560" s="10" t="inlineStr">
        <ns0:is>
          <ns0:t>문 모양은 독립문바위의 아치를 설명하는 이름과 연결돼요.</ns0:t>
        </ns0:is>
      </ns0:c>
      <ns0:c r="F560" s="10" t="inlineStr">
        <ns0:is>
          <ns0:t>A gateway</ns0:t>
        </ns0:is>
      </ns0:c>
      <ns0:c r="G560" s="10" t="inlineStr">
        <ns0:is>
          <ns0:t>A gateway-like form is associated with Dongnimmun Rock.</ns0:t>
        </ns0:is>
      </ns0:c>
    </ns0:row>
    <ns0:row r="561" ht="33" customHeight="1">
      <ns0:c r="A561" s="12" t="n">
        <ns0:v>920190</ns0:v>
      </ns0:c>
      <ns0:c r="B561" s="12" t="inlineStr">
        <ns0:is>
          <ns0:t>a</ns0:t>
        </ns0:is>
      </ns0:c>
      <ns0:c r="C561" s="12" t="inlineStr">
        <ns0:is>
          <ns0:t>칼 등을 가는 숫돌</ns0:t>
        </ns0:is>
      </ns0:c>
      <ns0:c r="D561" s="12" t="n">
        <ns0:v>1</ns0:v>
      </ns0:c>
      <ns0:c r="E561" s="12" t="inlineStr">
        <ns0:is>
          <ns0:t>바위의 암질이 숫돌과 비슷하다는 설명에서 이름을 이해할 수 있어요.</ns0:t>
        </ns0:is>
      </ns0:c>
      <ns0:c r="F561" s="12" t="inlineStr">
        <ns0:is>
          <ns0:t>A whetstone used for sharpening</ns0:t>
        </ns0:is>
      </ns0:c>
      <ns0:c r="G561" s="12" t="inlineStr">
        <ns0:is>
          <ns0:t>The account links its rock to a whetstone used for sharpening.</ns0:t>
        </ns0:is>
      </ns0:c>
    </ns0:row>
    <ns0:row r="562" ht="33" customHeight="1">
      <ns0:c r="A562" s="10" t="n">
        <ns0:v>920191</ns0:v>
      </ns0:c>
      <ns0:c r="B562" s="10" t="inlineStr">
        <ns0:is>
          <ns0:t>a</ns0:t>
        </ns0:is>
      </ns0:c>
      <ns0:c r="C562" s="10" t="inlineStr">
        <ns0:is>
          <ns0:t>수평으로 누운 방향</ns0:t>
        </ns0:is>
      </ns0:c>
      <ns0:c r="D562" s="10" t="n">
        <ns0:v>1</ns0:v>
      </ns0:c>
      <ns0:c r="E562" s="10" t="inlineStr">
        <ns0:is>
          <ns0:t>관광 안내는 숫돌바위의 수평 주상절리를 특징으로 소개해요.</ns0:t>
        </ns0:is>
      </ns0:c>
      <ns0:c r="F562" s="10" t="inlineStr">
        <ns0:is>
          <ns0:t>Lying horizontally</ns0:t>
        </ns0:is>
      </ns0:c>
      <ns0:c r="G562" s="10" t="inlineStr">
        <ns0:is>
          <ns0:t>The tourism account highlights horizontal columnar joints.</ns0:t>
        </ns0:is>
      </ns0:c>
    </ns0:row>
    <ns0:row r="563" ht="33" customHeight="1">
      <ns0:c r="A563" s="12" t="n">
        <ns0:v>920191</ns0:v>
      </ns0:c>
      <ns0:c r="B563" s="12" t="inlineStr">
        <ns0:is>
          <ns0:t>b</ns0:t>
        </ns0:is>
      </ns0:c>
      <ns0:c r="C563" s="12" t="inlineStr">
        <ns0:is>
          <ns0:t>모두 수직으로 선 방향</ns0:t>
        </ns0:is>
      </ns0:c>
      <ns0:c r="D563" s="12" t="n">
        <ns0:v>0</ns0:v>
      </ns0:c>
      <ns0:c r="E563" s="12" t="inlineStr">
        <ns0:is>
          <ns0:t>주상절리라고 해서 항상 수직인 것은 아니며 이 자료는 수평으로 설명해요.</ns0:t>
        </ns0:is>
      </ns0:c>
      <ns0:c r="F563" s="12" t="inlineStr">
        <ns0:is>
          <ns0:t>All standing vertically</ns0:t>
        </ns0:is>
      </ns0:c>
      <ns0:c r="G563" s="12" t="inlineStr">
        <ns0:is>
          <ns0:t>Columnar joints need not always stand vertically; this account specifies horizontal ones.</ns0:t>
        </ns0:is>
      </ns0:c>
    </ns0:row>
    <ns0:row r="564" ht="33" customHeight="1">
      <ns0:c r="A564" s="10" t="n">
        <ns0:v>920191</ns0:v>
      </ns0:c>
      <ns0:c r="B564" s="10" t="inlineStr">
        <ns0:is>
          <ns0:t>c</ns0:t>
        </ns0:is>
      </ns0:c>
      <ns0:c r="C564" s="10" t="inlineStr">
        <ns0:is>
          <ns0:t>원형으로 소용돌이치는 방향</ns0:t>
        </ns0:is>
      </ns0:c>
      <ns0:c r="D564" s="10" t="n">
        <ns0:v>0</ns0:v>
      </ns0:c>
      <ns0:c r="E564" s="10" t="inlineStr">
        <ns0:is>
          <ns0:t>자료에 제시된 특징은 소용돌이가 아니라 수평 주상절리예요.</ns0:t>
        </ns0:is>
      </ns0:c>
      <ns0:c r="F564" s="10" t="inlineStr">
        <ns0:is>
          <ns0:t>Spiralling in circles</ns0:t>
        </ns0:is>
      </ns0:c>
      <ns0:c r="G564" s="10" t="inlineStr">
        <ns0:is>
          <ns0:t>The described feature is horizontal jointing, not a spiral.</ns0:t>
        </ns0:is>
      </ns0:c>
    </ns0:row>
    <ns0:row r="565" ht="33" customHeight="1">
      <ns0:c r="A565" s="12" t="n">
        <ns0:v>920192</ns0:v>
      </ns0:c>
      <ns0:c r="B565" s="12" t="inlineStr">
        <ns0:is>
          <ns0:t>b</ns0:t>
        </ns0:is>
      </ns0:c>
      <ns0:c r="C565" s="12" t="inlineStr">
        <ns0:is>
          <ns0:t>서도 봉우리·탕건 모양·높은 정상</ns0:t>
        </ns0:is>
      </ns0:c>
      <ns0:c r="D565" s="12" t="n">
        <ns0:v>0</ns0:v>
      </ns0:c>
      <ns0:c r="E565" s="12" t="inlineStr">
        <ns0:is>
          <ns0:t>이는 숫돌바위가 아니라 탕건봉의 특징 쪽에 가까워요.</ns0:t>
        </ns0:is>
      </ns0:c>
      <ns0:c r="F565" s="12" t="inlineStr">
        <ns0:is>
          <ns0:t>A Seodo peak; headpiece shape; elevated summit</ns0:t>
        </ns0:is>
      </ns0:c>
      <ns0:c r="G565" s="12" t="inlineStr">
        <ns0:is>
          <ns0:t>These clues concern Tanggeonbong rather than Sutdol Rock.</ns0:t>
        </ns0:is>
      </ns0:c>
    </ns0:row>
    <ns0:row r="566" ht="38" customHeight="1">
      <ns0:c r="A566" s="10" t="n">
        <ns0:v>920192</ns0:v>
      </ns0:c>
      <ns0:c r="B566" s="10" t="inlineStr">
        <ns0:is>
          <ns0:t>a</ns0:t>
        </ns0:is>
      </ns0:c>
      <ns0:c r="C566" s="10" t="inlineStr">
        <ns0:is>
          <ns0:t>동도 선착장 부근·숫돌 같은 암질·수평 주상절리</ns0:t>
        </ns0:is>
      </ns0:c>
      <ns0:c r="D566" s="10" t="n">
        <ns0:v>1</ns0:v>
      </ns0:c>
      <ns0:c r="E566" s="10" t="inlineStr">
        <ns0:is>
          <ns0:t>위치·이름 유래·암석 특징이 모두 숫돌바위 설명과 맞아요.</ns0:t>
        </ns0:is>
      </ns0:c>
      <ns0:c r="F566" s="10" t="inlineStr">
        <ns0:is>
          <ns0:t>Near Dongdo dock; whetstone-like rock; horizontal joints</ns0:t>
        </ns0:is>
      </ns0:c>
      <ns0:c r="G566" s="10" t="inlineStr">
        <ns0:is>
          <ns0:t>All three clues match the supplied description.</ns0:t>
        </ns0:is>
      </ns0:c>
    </ns0:row>
    <ns0:row r="567" ht="33" customHeight="1">
      <ns0:c r="A567" s="12" t="n">
        <ns0:v>920192</ns0:v>
      </ns0:c>
      <ns0:c r="B567" s="12" t="inlineStr">
        <ns0:is>
          <ns0:t>c</ns0:t>
        </ns0:is>
      </ns0:c>
      <ns0:c r="C567" s="12" t="inlineStr">
        <ns0:is>
          <ns0:t>동도 중앙·우물 모양·깊은 함몰</ns0:t>
        </ns0:is>
      </ns0:c>
      <ns0:c r="D567" s="12" t="n">
        <ns0:v>0</ns0:v>
      </ns0:c>
      <ns0:c r="E567" s="12" t="inlineStr">
        <ns0:is>
          <ns0:t>이 조합은 천장굴에 해당해요.</ns0:t>
        </ns0:is>
      </ns0:c>
      <ns0:c r="F567" s="12" t="inlineStr">
        <ns0:is>
          <ns0:t>Central Dongdo; well-shaped; deeply depressed</ns0:t>
        </ns0:is>
      </ns0:c>
      <ns0:c r="G567" s="12" t="inlineStr">
        <ns0:is>
          <ns0:t>This combination identifies Cheonjang Cave.</ns0:t>
        </ns0:is>
      </ns0:c>
    </ns0:row>
    <ns0:row r="568" ht="33" customHeight="1">
      <ns0:c r="A568" s="10" t="n">
        <ns0:v>920193</ns0:v>
      </ns0:c>
      <ns0:c r="B568" s="10" t="inlineStr">
        <ns0:is>
          <ns0:t>b</ns0:t>
        </ns0:is>
      </ns0:c>
      <ns0:c r="C568" s="10" t="inlineStr">
        <ns0:is>
          <ns0:t>괭이갈매기</ns0:t>
        </ns0:is>
      </ns0:c>
      <ns0:c r="D568" s="10" t="n">
        <ns0:v>0</ns0:v>
      </ns0:c>
      <ns0:c r="E568" s="10" t="inlineStr">
        <ns0:is>
          <ns0:t>괭이갈매기는 새이며 가제라는 이름의 풀이와 다릅니다.</ns0:t>
        </ns0:is>
      </ns0:c>
      <ns0:c r="F568" s="10" t="inlineStr">
        <ns0:is>
          <ns0:t>Black-tailed gull</ns0:t>
        </ns0:is>
      </ns0:c>
      <ns0:c r="G568" s="10" t="inlineStr">
        <ns0:is>
          <ns0:t>The gull is a bird and is not the animal identified by gaje.</ns0:t>
        </ns0:is>
      </ns0:c>
    </ns0:row>
    <ns0:row r="569" ht="33" customHeight="1">
      <ns0:c r="A569" s="12" t="n">
        <ns0:v>920193</ns0:v>
      </ns0:c>
      <ns0:c r="B569" s="12" t="inlineStr">
        <ns0:is>
          <ns0:t>c</ns0:t>
        </ns0:is>
      </ns0:c>
      <ns0:c r="C569" s="12" t="inlineStr">
        <ns0:is>
          <ns0:t>문어</ns0:t>
        </ns0:is>
      </ns0:c>
      <ns0:c r="D569" s="12" t="n">
        <ns0:v>0</ns0:v>
      </ns0:c>
      <ns0:c r="E569" s="12" t="inlineStr">
        <ns0:is>
          <ns0:t>가제바위의 이름은 문어가 아니라 강치와 연결돼요.</ns0:t>
        </ns0:is>
      </ns0:c>
      <ns0:c r="F569" s="12" t="inlineStr">
        <ns0:is>
          <ns0:t>Octopus</ns0:t>
        </ns0:is>
      </ns0:c>
      <ns0:c r="G569" s="12" t="inlineStr">
        <ns0:is>
          <ns0:t>The name is linked to sea lions, not octopuses.</ns0:t>
        </ns0:is>
      </ns0:c>
    </ns0:row>
    <ns0:row r="570" ht="33" customHeight="1">
      <ns0:c r="A570" s="10" t="n">
        <ns0:v>920193</ns0:v>
      </ns0:c>
      <ns0:c r="B570" s="10" t="inlineStr">
        <ns0:is>
          <ns0:t>a</ns0:t>
        </ns0:is>
      </ns0:c>
      <ns0:c r="C570" s="10" t="inlineStr">
        <ns0:is>
          <ns0:t>강치</ns0:t>
        </ns0:is>
      </ns0:c>
      <ns0:c r="D570" s="10" t="n">
        <ns0:v>1</ns0:v>
      </ns0:c>
      <ns0:c r="E570" s="10" t="inlineStr">
        <ns0:is>
          <ns0:t>지명 안내는 가제를 강치의 옛 이름과 연결해 설명해요.</ns0:t>
        </ns0:is>
      </ns0:c>
      <ns0:c r="F570" s="10" t="inlineStr">
        <ns0:is>
          <ns0:t>Sea lion</ns0:t>
        </ns0:is>
      </ns0:c>
      <ns0:c r="G570" s="10" t="inlineStr">
        <ns0:is>
          <ns0:t>The place-name account links gaje with an old name for sea lions.</ns0:t>
        </ns0:is>
      </ns0:c>
    </ns0:row>
    <ns0:row r="571" ht="33" customHeight="1">
      <ns0:c r="A571" s="12" t="n">
        <ns0:v>920194</ns0:v>
      </ns0:c>
      <ns0:c r="B571" s="12" t="inlineStr">
        <ns0:is>
          <ns0:t>a</ns0:t>
        </ns0:is>
      </ns0:c>
      <ns0:c r="C571" s="12" t="inlineStr">
        <ns0:is>
          <ns0:t>강치가 살았던 역사</ns0:t>
        </ns0:is>
      </ns0:c>
      <ns0:c r="D571" s="12" t="n">
        <ns0:v>1</ns0:v>
      </ns0:c>
      <ns0:c r="E571" s="12" t="inlineStr">
        <ns0:is>
          <ns0:t>강치의 옛 이름인 가제가 바위 이름에 남아 있어요.</ns0:t>
        </ns0:is>
      </ns0:c>
      <ns0:c r="F571" s="12" t="inlineStr">
        <ns0:is>
          <ns0:t>The history of sea lions living there</ns0:t>
        </ns0:is>
      </ns0:c>
      <ns0:c r="G571" s="12" t="inlineStr">
        <ns0:is>
          <ns0:t>The rock name preserves gaje, an old sea lion term.</ns0:t>
        </ns0:is>
      </ns0:c>
    </ns0:row>
    <ns0:row r="572" ht="33" customHeight="1">
      <ns0:c r="A572" s="10" t="n">
        <ns0:v>920194</ns0:v>
      </ns0:c>
      <ns0:c r="B572" s="10" t="inlineStr">
        <ns0:is>
          <ns0:t>b</ns0:t>
        </ns0:is>
      </ns0:c>
      <ns0:c r="C572" s="10" t="inlineStr">
        <ns0:is>
          <ns0:t>바닷새의 이름만 붙인 역사</ns0:t>
        </ns0:is>
      </ns0:c>
      <ns0:c r="D572" s="10" t="n">
        <ns0:v>0</ns0:v>
      </ns0:c>
      <ns0:c r="E572" s="10" t="inlineStr">
        <ns0:is>
          <ns0:t>가제는 바닷새가 아니라 강치의 옛 이름이에요.</ns0:t>
        </ns0:is>
      </ns0:c>
      <ns0:c r="F572" s="10" t="inlineStr">
        <ns0:is>
          <ns0:t>A name referring only to seabirds</ns0:t>
        </ns0:is>
      </ns0:c>
      <ns0:c r="G572" s="10" t="inlineStr">
        <ns0:is>
          <ns0:t>Gaje refers to sea lions, not seabirds.</ns0:t>
        </ns0:is>
      </ns0:c>
    </ns0:row>
    <ns0:row r="573" ht="33" customHeight="1">
      <ns0:c r="A573" s="12" t="n">
        <ns0:v>920194</ns0:v>
      </ns0:c>
      <ns0:c r="B573" s="12" t="inlineStr">
        <ns0:is>
          <ns0:t>c</ns0:t>
        </ns0:is>
      </ns0:c>
      <ns0:c r="C573" s="12" t="inlineStr">
        <ns0:is>
          <ns0:t>바닷말을 부르던 이름의 역사</ns0:t>
        </ns0:is>
      </ns0:c>
      <ns0:c r="D573" s="12" t="n">
        <ns0:v>0</ns0:v>
      </ns0:c>
      <ns0:c r="E573" s="12" t="inlineStr">
        <ns0:is>
          <ns0:t>가제는 바닷말이 아니라 바다 포유류와 연결돼요.</ns0:t>
        </ns0:is>
      </ns0:c>
      <ns0:c r="F573" s="12" t="inlineStr">
        <ns0:is>
          <ns0:t>An old name for seaweed</ns0:t>
        </ns0:is>
      </ns0:c>
      <ns0:c r="G573" s="12" t="inlineStr">
        <ns0:is>
          <ns0:t>Gaje refers to a marine mammal, not seaweed.</ns0:t>
        </ns0:is>
      </ns0:c>
    </ns0:row>
    <ns0:row r="574" ht="33" customHeight="1">
      <ns0:c r="A574" s="10" t="n">
        <ns0:v>920195</ns0:v>
      </ns0:c>
      <ns0:c r="B574" s="10" t="inlineStr">
        <ns0:is>
          <ns0:t>b</ns0:t>
        </ns0:is>
      </ns0:c>
      <ns0:c r="C574" s="10" t="inlineStr">
        <ns0:is>
          <ns0:t>탕건봉</ns0:t>
        </ns0:is>
      </ns0:c>
      <ns0:c r="D574" s="10" t="n">
        <ns0:v>0</ns0:v>
      </ns0:c>
      <ns0:c r="E574" s="10" t="inlineStr">
        <ns0:is>
          <ns0:t>탕건봉은 머리에 쓰는 탕건 모양과 관련된 이름이에요.</ns0:t>
        </ns0:is>
      </ns0:c>
      <ns0:c r="F574" s="10" t="inlineStr">
        <ns0:is>
          <ns0:t>Tanggeonbong</ns0:t>
        </ns0:is>
      </ns0:c>
      <ns0:c r="G574" s="10" t="inlineStr">
        <ns0:is>
          <ns0:t>Tanggeonbong is linked to the shape of a headpiece.</ns0:t>
        </ns0:is>
      </ns0:c>
    </ns0:row>
    <ns0:row r="575" ht="33" customHeight="1">
      <ns0:c r="A575" s="12" t="n">
        <ns0:v>920195</ns0:v>
      </ns0:c>
      <ns0:c r="B575" s="12" t="inlineStr">
        <ns0:is>
          <ns0:t>a</ns0:t>
        </ns0:is>
      </ns0:c>
      <ns0:c r="C575" s="12" t="inlineStr">
        <ns0:is>
          <ns0:t>가제바위</ns0:t>
        </ns0:is>
      </ns0:c>
      <ns0:c r="D575" s="12" t="n">
        <ns0:v>1</ns0:v>
      </ns0:c>
      <ns0:c r="E575" s="12" t="inlineStr">
        <ns0:is>
          <ns0:t>동물의 옛 이름 가제가 지명에 그대로 들어 있어요.</ns0:t>
        </ns0:is>
      </ns0:c>
      <ns0:c r="F575" s="12" t="inlineStr">
        <ns0:is>
          <ns0:t>Gaje Rock</ns0:t>
        </ns0:is>
      </ns0:c>
      <ns0:c r="G575" s="12" t="inlineStr">
        <ns0:is>
          <ns0:t>The old animal name appears in the place name.</ns0:t>
        </ns0:is>
      </ns0:c>
    </ns0:row>
    <ns0:row r="576" ht="33" customHeight="1">
      <ns0:c r="A576" s="10" t="n">
        <ns0:v>920195</ns0:v>
      </ns0:c>
      <ns0:c r="B576" s="10" t="inlineStr">
        <ns0:is>
          <ns0:t>c</ns0:t>
        </ns0:is>
      </ns0:c>
      <ns0:c r="C576" s="10" t="inlineStr">
        <ns0:is>
          <ns0:t>숫돌바위</ns0:t>
        </ns0:is>
      </ns0:c>
      <ns0:c r="D576" s="10" t="n">
        <ns0:v>0</ns0:v>
      </ns0:c>
      <ns0:c r="E576" s="10" t="inlineStr">
        <ns0:is>
          <ns0:t>숫돌바위는 숫돌과 닮은 암질에서 이름을 설명해요.</ns0:t>
        </ns0:is>
      </ns0:c>
      <ns0:c r="F576" s="10" t="inlineStr">
        <ns0:is>
          <ns0:t>Sutdol Rock</ns0:t>
        </ns0:is>
      </ns0:c>
      <ns0:c r="G576" s="10" t="inlineStr">
        <ns0:is>
          <ns0:t>Sutdol is named for its whetstone-like rock.</ns0:t>
        </ns0:is>
      </ns0:c>
    </ns0:row>
    <ns0:row r="577" ht="38" customHeight="1">
      <ns0:c r="A577" s="12" t="n">
        <ns0:v>920196</ns0:v>
      </ns0:c>
      <ns0:c r="B577" s="12" t="inlineStr">
        <ns0:is>
          <ns0:t>b</ns0:t>
        </ns0:is>
      </ns0:c>
      <ns0:c r="C577" s="12" t="inlineStr">
        <ns0:is>
          <ns0:t>모든 동물 이름 지명은 실제 동물과 무관하기 때문</ns0:t>
        </ns0:is>
      </ns0:c>
      <ns0:c r="D577" s="12" t="n">
        <ns0:v>0</ns0:v>
      </ns0:c>
      <ns0:c r="E577" s="12" t="inlineStr">
        <ns0:is>
          <ns0:t>가제바위는 강치와 관련된 유래로 설명돼요. 과거 관련성이 없다는 뜻은 아니에요.</ns0:t>
        </ns0:is>
      </ns0:c>
      <ns0:c r="F577" s="12" t="inlineStr">
        <ns0:is>
          <ns0:t>Every animal place name is unrelated to real animals</ns0:t>
        </ns0:is>
      </ns0:c>
      <ns0:c r="G577" s="12" t="inlineStr">
        <ns0:is>
          <ns0:t>This name is linked to sea lions; the issue is not absence of a historical connection.</ns0:t>
        </ns0:is>
      </ns0:c>
    </ns0:row>
    <ns0:row r="578" ht="33" customHeight="1">
      <ns0:c r="A578" s="10" t="n">
        <ns0:v>920196</ns0:v>
      </ns0:c>
      <ns0:c r="B578" s="10" t="inlineStr">
        <ns0:is>
          <ns0:t>c</ns0:t>
        </ns0:is>
      </ns0:c>
      <ns0:c r="C578" s="10" t="inlineStr">
        <ns0:is>
          <ns0:t>옛말은 한 번도 동물을 가리키지 않았기 때문</ns0:t>
        </ns0:is>
      </ns0:c>
      <ns0:c r="D578" s="10" t="n">
        <ns0:v>0</ns0:v>
      </ns0:c>
      <ns0:c r="E578" s="10" t="inlineStr">
        <ns0:is>
          <ns0:t>가제는 강치의 옛말이라는 풀이가 있으므로 그 설명과 반대예요.</ns0:t>
        </ns0:is>
      </ns0:c>
      <ns0:c r="F578" s="10" t="inlineStr">
        <ns0:is>
          <ns0:t>The old word never referred to an animal</ns0:t>
        </ns0:is>
      </ns0:c>
      <ns0:c r="G578" s="10" t="inlineStr">
        <ns0:is>
          <ns0:t>That contradicts the supplied meaning of gaje.</ns0:t>
        </ns0:is>
      </ns0:c>
    </ns0:row>
    <ns0:row r="579" ht="38" customHeight="1">
      <ns0:c r="A579" s="12" t="n">
        <ns0:v>920196</ns0:v>
      </ns0:c>
      <ns0:c r="B579" s="12" t="inlineStr">
        <ns0:is>
          <ns0:t>a</ns0:t>
        </ns0:is>
      </ns0:c>
      <ns0:c r="C579" s="12" t="inlineStr">
        <ns0:is>
          <ns0:t>이름은 과거 유래를 남기며 현재 관측 수는 아니기 때문</ns0:t>
        </ns0:is>
      </ns0:c>
      <ns0:c r="D579" s="12" t="n">
        <ns0:v>1</ns0:v>
      </ns0:c>
      <ns0:c r="E579" s="12" t="inlineStr">
        <ns0:is>
          <ns0:t>지명은 과거를 기억하는 자료지만 현재 개체 수를 측정한 자료가 아니에요.</ns0:t>
        </ns0:is>
      </ns0:c>
      <ns0:c r="F579" s="12" t="inlineStr">
        <ns0:is>
          <ns0:t>The name preserves an origin, not a current animal count</ns0:t>
        </ns0:is>
      </ns0:c>
      <ns0:c r="G579" s="12" t="inlineStr">
        <ns0:is>
          <ns0:t>A place name records history, not a present census.</ns0:t>
        </ns0:is>
      </ns0:c>
    </ns0:row>
    <ns0:row r="580" ht="33" customHeight="1">
      <ns0:c r="A580" s="10" t="n">
        <ns0:v>920197</ns0:v>
      </ns0:c>
      <ns0:c r="B580" s="10" t="inlineStr">
        <ns0:is>
          <ns0:t>b</ns0:t>
        </ns0:is>
      </ns0:c>
      <ns0:c r="C580" s="10" t="inlineStr">
        <ns0:is>
          <ns0:t>동도</ns0:t>
        </ns0:is>
      </ns0:c>
      <ns0:c r="D580" s="10" t="n">
        <ns0:v>0</ns0:v>
      </ns0:c>
      <ns0:c r="E580" s="10" t="inlineStr">
        <ns0:is>
          <ns0:t>동도의 우산봉과 구분하며 탕건봉은 서도에 있어요.</ns0:t>
        </ns0:is>
      </ns0:c>
      <ns0:c r="F580" s="10" t="inlineStr">
        <ns0:is>
          <ns0:t>Dongdo</ns0:t>
        </ns0:is>
      </ns0:c>
      <ns0:c r="G580" s="10" t="inlineStr">
        <ns0:is>
          <ns0:t>It is on Seodo, distinct from Dongdo’s Usanbong.</ns0:t>
        </ns0:is>
      </ns0:c>
    </ns0:row>
    <ns0:row r="581" ht="33" customHeight="1">
      <ns0:c r="A581" s="12" t="n">
        <ns0:v>920197</ns0:v>
      </ns0:c>
      <ns0:c r="B581" s="12" t="inlineStr">
        <ns0:is>
          <ns0:t>a</ns0:t>
        </ns0:is>
      </ns0:c>
      <ns0:c r="C581" s="12" t="inlineStr">
        <ns0:is>
          <ns0:t>서도</ns0:t>
        </ns0:is>
      </ns0:c>
      <ns0:c r="D581" s="12" t="n">
        <ns0:v>1</ns0:v>
      </ns0:c>
      <ns0:c r="E581" s="12" t="inlineStr">
        <ns0:is>
          <ns0:t>탕건봉은 서도의 봉우리 이름이에요.</ns0:t>
        </ns0:is>
      </ns0:c>
      <ns0:c r="F581" s="12" t="inlineStr">
        <ns0:is>
          <ns0:t>Seodo</ns0:t>
        </ns0:is>
      </ns0:c>
      <ns0:c r="G581" s="12" t="inlineStr">
        <ns0:is>
          <ns0:t>Tanggeonbong is a named peak on Seodo.</ns0:t>
        </ns0:is>
      </ns0:c>
    </ns0:row>
    <ns0:row r="582" ht="33" customHeight="1">
      <ns0:c r="A582" s="10" t="n">
        <ns0:v>920198</ns0:v>
      </ns0:c>
      <ns0:c r="B582" s="10" t="inlineStr">
        <ns0:is>
          <ns0:t>a</ns0:t>
        </ns0:is>
      </ns0:c>
      <ns0:c r="C582" s="10" t="inlineStr">
        <ns0:is>
          <ns0:t>머리에 쓰던 탕건</ns0:t>
        </ns0:is>
      </ns0:c>
      <ns0:c r="D582" s="10" t="n">
        <ns0:v>1</ns0:v>
      </ns0:c>
      <ns0:c r="E582" s="10" t="inlineStr">
        <ns0:is>
          <ns0:t>봉우리의 모습이 탕건을 닮았다는 지명 풀이예요.</ns0:t>
        </ns0:is>
      </ns0:c>
      <ns0:c r="F582" s="10" t="inlineStr">
        <ns0:is>
          <ns0:t>A traditional tanggeon headpiece</ns0:t>
        </ns0:is>
      </ns0:c>
      <ns0:c r="G582" s="10" t="inlineStr">
        <ns0:is>
          <ns0:t>The name is explained through resemblance to the headpiece.</ns0:t>
        </ns0:is>
      </ns0:c>
    </ns0:row>
    <ns0:row r="583" ht="33" customHeight="1">
      <ns0:c r="A583" s="12" t="n">
        <ns0:v>920198</ns0:v>
      </ns0:c>
      <ns0:c r="B583" s="12" t="inlineStr">
        <ns0:is>
          <ns0:t>b</ns0:t>
        </ns0:is>
      </ns0:c>
      <ns0:c r="C583" s="12" t="inlineStr">
        <ns0:is>
          <ns0:t>칼을 가는 숫돌</ns0:t>
        </ns0:is>
      </ns0:c>
      <ns0:c r="D583" s="12" t="n">
        <ns0:v>0</ns0:v>
      </ns0:c>
      <ns0:c r="E583" s="12" t="inlineStr">
        <ns0:is>
          <ns0:t>숫돌은 숫돌바위의 이름과 연결되는 물건이에요.</ns0:t>
        </ns0:is>
      </ns0:c>
      <ns0:c r="F583" s="12" t="inlineStr">
        <ns0:is>
          <ns0:t>A sharpening stone</ns0:t>
        </ns0:is>
      </ns0:c>
      <ns0:c r="G583" s="12" t="inlineStr">
        <ns0:is>
          <ns0:t>A sharpening stone is associated with Sutdol Rock.</ns0:t>
        </ns0:is>
      </ns0:c>
    </ns0:row>
    <ns0:row r="584" ht="33" customHeight="1">
      <ns0:c r="A584" s="10" t="n">
        <ns0:v>920198</ns0:v>
      </ns0:c>
      <ns0:c r="B584" s="10" t="inlineStr">
        <ns0:is>
          <ns0:t>c</ns0:t>
        </ns0:is>
      </ns0:c>
      <ns0:c r="C584" s="10" t="inlineStr">
        <ns0:is>
          <ns0:t>문처럼 뚫린 아치</ns0:t>
        </ns0:is>
      </ns0:c>
      <ns0:c r="D584" s="10" t="n">
        <ns0:v>0</ns0:v>
      </ns0:c>
      <ns0:c r="E584" s="10" t="inlineStr">
        <ns0:is>
          <ns0:t>아치 모양은 독립문바위의 특징이에요.</ns0:t>
        </ns0:is>
      </ns0:c>
      <ns0:c r="F584" s="10" t="inlineStr">
        <ns0:is>
          <ns0:t>A doorway-like arch</ns0:t>
        </ns0:is>
      </ns0:c>
      <ns0:c r="G584" s="10" t="inlineStr">
        <ns0:is>
          <ns0:t>The arch is associated with Dongnimmun Rock.</ns0:t>
        </ns0:is>
      </ns0:c>
    </ns0:row>
    <ns0:row r="585" ht="33" customHeight="1">
      <ns0:c r="A585" s="12" t="n">
        <ns0:v>920199</ns0:v>
      </ns0:c>
      <ns0:c r="B585" s="12" t="inlineStr">
        <ns0:is>
          <ns0:t>b</ns0:t>
        </ns0:is>
      </ns0:c>
      <ns0:c r="C585" s="12" t="inlineStr">
        <ns0:is>
          <ns0:t>가제바위</ns0:t>
        </ns0:is>
      </ns0:c>
      <ns0:c r="D585" s="12" t="n">
        <ns0:v>0</ns0:v>
      </ns0:c>
      <ns0:c r="E585" s="12" t="inlineStr">
        <ns0:is>
          <ns0:t>가제는 강치의 옛 이름으로 형태가 아니라 동물과 연결돼요.</ns0:t>
        </ns0:is>
      </ns0:c>
      <ns0:c r="F585" s="12" t="inlineStr">
        <ns0:is>
          <ns0:t>Gaje Rock</ns0:t>
        </ns0:is>
      </ns0:c>
      <ns0:c r="G585" s="12" t="inlineStr">
        <ns0:is>
          <ns0:t>Gaje is linked to an old animal name, not this headpiece.</ns0:t>
        </ns0:is>
      </ns0:c>
    </ns0:row>
    <ns0:row r="586" ht="33" customHeight="1">
      <ns0:c r="A586" s="10" t="n">
        <ns0:v>920199</ns0:v>
      </ns0:c>
      <ns0:c r="B586" s="10" t="inlineStr">
        <ns0:is>
          <ns0:t>a</ns0:t>
        </ns0:is>
      </ns0:c>
      <ns0:c r="C586" s="10" t="inlineStr">
        <ns0:is>
          <ns0:t>탕건봉</ns0:t>
        </ns0:is>
      </ns0:c>
      <ns0:c r="D586" s="10" t="n">
        <ns0:v>1</ns0:v>
      </ns0:c>
      <ns0:c r="E586" s="10" t="inlineStr">
        <ns0:is>
          <ns0:t>탕건과 봉우리의 모양을 연결한 이름이에요.</ns0:t>
        </ns0:is>
      </ns0:c>
      <ns0:c r="F586" s="10" t="inlineStr">
        <ns0:is>
          <ns0:t>Tanggeonbong</ns0:t>
        </ns0:is>
      </ns0:c>
      <ns0:c r="G586" s="10" t="inlineStr">
        <ns0:is>
          <ns0:t>The name connects a peak’s shape with a tanggeon.</ns0:t>
        </ns0:is>
      </ns0:c>
    </ns0:row>
    <ns0:row r="587" ht="33" customHeight="1">
      <ns0:c r="A587" s="12" t="n">
        <ns0:v>920199</ns0:v>
      </ns0:c>
      <ns0:c r="B587" s="12" t="inlineStr">
        <ns0:is>
          <ns0:t>c</ns0:t>
        </ns0:is>
      </ns0:c>
      <ns0:c r="C587" s="12" t="inlineStr">
        <ns0:is>
          <ns0:t>숫돌바위</ns0:t>
        </ns0:is>
      </ns0:c>
      <ns0:c r="D587" s="12" t="n">
        <ns0:v>0</ns0:v>
      </ns0:c>
      <ns0:c r="E587" s="12" t="inlineStr">
        <ns0:is>
          <ns0:t>숫돌과 비슷한 암질에 관련된 이름이에요.</ns0:t>
        </ns0:is>
      </ns0:c>
      <ns0:c r="F587" s="12" t="inlineStr">
        <ns0:is>
          <ns0:t>Sutdol Rock</ns0:t>
        </ns0:is>
      </ns0:c>
      <ns0:c r="G587" s="12" t="inlineStr">
        <ns0:is>
          <ns0:t>This name relates to whetstone-like rock.</ns0:t>
        </ns0:is>
      </ns0:c>
    </ns0:row>
    <ns0:row r="588" ht="33" customHeight="1">
      <ns0:c r="A588" s="10" t="n">
        <ns0:v>920200</ns0:v>
      </ns0:c>
      <ns0:c r="B588" s="10" t="inlineStr">
        <ns0:is>
          <ns0:t>b</ns0:t>
        </ns0:is>
      </ns0:c>
      <ns0:c r="C588" s="10" t="inlineStr">
        <ns0:is>
          <ns0:t>모양: 가제바위 / 동물: 탕건봉</ns0:t>
        </ns0:is>
      </ns0:c>
      <ns0:c r="D588" s="10" t="n">
        <ns0:v>0</ns0:v>
      </ns0:c>
      <ns0:c r="E588" s="10" t="inlineStr">
        <ns0:is>
          <ns0:t>유래의 두 종류를 뒤바꿨어요.</ns0:t>
        </ns0:is>
      </ns0:c>
      <ns0:c r="F588" s="10" t="inlineStr">
        <ns0:is>
          <ns0:t>Shape: Gaje Rock / animal: Tanggeonbong</ns0:t>
        </ns0:is>
      </ns0:c>
      <ns0:c r="G588" s="10" t="inlineStr">
        <ns0:is>
          <ns0:t>The two origin types have been reversed.</ns0:t>
        </ns0:is>
      </ns0:c>
    </ns0:row>
    <ns0:row r="589" ht="33" customHeight="1">
      <ns0:c r="A589" s="12" t="n">
        <ns0:v>920200</ns0:v>
      </ns0:c>
      <ns0:c r="B589" s="12" t="inlineStr">
        <ns0:is>
          <ns0:t>c</ns0:t>
        </ns0:is>
      </ns0:c>
      <ns0:c r="C589" s="12" t="inlineStr">
        <ns0:is>
          <ns0:t>모양: 숫돌바위 / 동물: 탕건봉</ns0:t>
        </ns0:is>
      </ns0:c>
      <ns0:c r="D589" s="12" t="n">
        <ns0:v>0</ns0:v>
      </ns0:c>
      <ns0:c r="E589" s="12" t="inlineStr">
        <ns0:is>
          <ns0:t>탕건봉은 동물에서 나온 이름이 아니라 탕건 모양에서 설명돼요.</ns0:t>
        </ns0:is>
      </ns0:c>
      <ns0:c r="F589" s="12" t="inlineStr">
        <ns0:is>
          <ns0:t>Shape: Sutdol Rock / animal: Tanggeonbong</ns0:t>
        </ns0:is>
      </ns0:c>
      <ns0:c r="G589" s="12" t="inlineStr">
        <ns0:is>
          <ns0:t>Tanggeonbong is explained by a headpiece shape, not an animal.</ns0:t>
        </ns0:is>
      </ns0:c>
    </ns0:row>
    <ns0:row r="590" ht="33" customHeight="1">
      <ns0:c r="A590" s="10" t="n">
        <ns0:v>920200</ns0:v>
      </ns0:c>
      <ns0:c r="B590" s="10" t="inlineStr">
        <ns0:is>
          <ns0:t>a</ns0:t>
        </ns0:is>
      </ns0:c>
      <ns0:c r="C590" s="10" t="inlineStr">
        <ns0:is>
          <ns0:t>모양: 탕건봉 / 동물: 가제바위</ns0:t>
        </ns0:is>
      </ns0:c>
      <ns0:c r="D590" s="10" t="n">
        <ns0:v>1</ns0:v>
      </ns0:c>
      <ns0:c r="E590" s="10" t="inlineStr">
        <ns0:is>
          <ns0:t>탕건봉은 머리쓰개 모양, 가제바위는 강치와 연결돼요.</ns0:t>
        </ns0:is>
      </ns0:c>
      <ns0:c r="F590" s="10" t="inlineStr">
        <ns0:is>
          <ns0:t>Shape: Tanggeonbong / animal: Gaje Rock</ns0:t>
        </ns0:is>
      </ns0:c>
      <ns0:c r="G590" s="10" t="inlineStr">
        <ns0:is>
          <ns0:t>The former refers to a headpiece shape; the latter to sea lions.</ns0:t>
        </ns0:is>
      </ns0:c>
    </ns0:row>
    <ns0:row r="591" ht="33" customHeight="1">
      <ns0:c r="A591" s="12" t="n">
        <ns0:v>920201</ns0:v>
      </ns0:c>
      <ns0:c r="B591" s="12" t="inlineStr">
        <ns0:is>
          <ns0:t>b</ns0:t>
        </ns0:is>
      </ns0:c>
      <ns0:c r="C591" s="12" t="inlineStr">
        <ns0:is>
          <ns0:t>대한제국 칙령 제41호</ns0:t>
        </ns0:is>
      </ns0:c>
      <ns0:c r="D591" s="12" t="n">
        <ns0:v>0</ns0:v>
      </ns0:c>
      <ns0:c r="E591" s="12" t="inlineStr">
        <ns0:is>
          <ns0:t>칙령 제41호는 1900년 대한제국의 울도 행정 개편 명령이에요.</ns0:t>
        </ns0:is>
      </ns0:c>
      <ns0:c r="F591" s="12" t="inlineStr">
        <ns0:is>
          <ns0:t>Korean Empire Decree No. 41</ns0:t>
        </ns0:is>
      </ns0:c>
      <ns0:c r="G591" s="12" t="inlineStr">
        <ns0:is>
          <ns0:t>This is the Korean Empire’s 1900 administrative reorganisation decree.</ns0:t>
        </ns0:is>
      </ns0:c>
    </ns0:row>
    <ns0:row r="592" ht="33" customHeight="1">
      <ns0:c r="A592" s="10" t="n">
        <ns0:v>920201</ns0:v>
      </ns0:c>
      <ns0:c r="B592" s="10" t="inlineStr">
        <ns0:is>
          <ns0:t>c</ns0:t>
        </ns0:is>
      </ns0:c>
      <ns0:c r="C592" s="10" t="inlineStr">
        <ns0:is>
          <ns0:t>울릉도 도해금지령</ns0:t>
        </ns0:is>
      </ns0:c>
      <ns0:c r="D592" s="10" t="n">
        <ns0:v>0</ns0:v>
      </ns0:c>
      <ns0:c r="E592" s="10" t="inlineStr">
        <ns0:is>
          <ns0:t>도해금지령은 1696년 일본 어민의 울릉도 도항을 금지한 명령이에요.</ns0:t>
        </ns0:is>
      </ns0:c>
      <ns0:c r="F592" s="10" t="inlineStr">
        <ns0:is>
          <ns0:t>The Ulleungdo voyage prohibition</ns0:t>
        </ns0:is>
      </ns0:c>
      <ns0:c r="G592" s="10" t="inlineStr">
        <ns0:is>
          <ns0:t>This is the 1696 order prohibiting Japanese fishermen’s voyages to Ulleungdo.</ns0:t>
        </ns0:is>
      </ns0:c>
    </ns0:row>
    <ns0:row r="593" ht="33" customHeight="1">
      <ns0:c r="A593" s="12" t="n">
        <ns0:v>920201</ns0:v>
      </ns0:c>
      <ns0:c r="B593" s="12" t="inlineStr">
        <ns0:is>
          <ns0:t>d</ns0:t>
        </ns0:is>
      </ns0:c>
      <ns0:c r="C593" s="12" t="inlineStr">
        <ns0:is>
          <ns0:t>지령 제3호</ns0:t>
        </ns0:is>
      </ns0:c>
      <ns0:c r="D593" s="12" t="n">
        <ns0:v>0</ns0:v>
      </ns0:c>
      <ns0:c r="E593" s="12" t="inlineStr">
        <ns0:is>
          <ns0:t>지령 제3호는 1906년 대한제국이 독도 보고에 대응한 문서예요.</ns0:t>
        </ns0:is>
      </ns0:c>
      <ns0:c r="F593" s="12" t="inlineStr">
        <ns0:is>
          <ns0:t>Directive No. 3</ns0:t>
        </ns0:is>
      </ns0:c>
      <ns0:c r="G593" s="12" t="inlineStr">
        <ns0:is>
          <ns0:t>This is the Korean Empire’s 1906 response to the Dokdo report.</ns0:t>
        </ns0:is>
      </ns0:c>
    </ns0:row>
    <ns0:row r="594" ht="38" customHeight="1">
      <ns0:c r="A594" s="10" t="n">
        <ns0:v>920201</ns0:v>
      </ns0:c>
      <ns0:c r="B594" s="10" t="inlineStr">
        <ns0:is>
          <ns0:t>a</ns0:t>
        </ns0:is>
      </ns0:c>
      <ns0:c r="C594" s="10" t="inlineStr">
        <ns0:is>
          <ns0:t>태정관지령</ns0:t>
        </ns0:is>
      </ns0:c>
      <ns0:c r="D594" s="10" t="n">
        <ns0:v>1</ns0:v>
      </ns0:c>
      <ns0:c r="E594" s="10" t="inlineStr">
        <ns0:is>
          <ns0:t>일본 최고 행정기관 태정관이 내무성에 내린 1877년 지시예요.</ns0:t>
        </ns0:is>
      </ns0:c>
      <ns0:c r="F594" s="10" t="inlineStr">
        <ns0:is>
          <ns0:t>The Dajokan directive</ns0:t>
        </ns0:is>
      </ns0:c>
      <ns0:c r="G594" s="10" t="inlineStr">
        <ns0:is>
          <ns0:t>This is the 1877 instruction from Japan’s highest administrative body to its Home Ministry.</ns0:t>
        </ns0:is>
      </ns0:c>
    </ns0:row>
    <ns0:row r="595" ht="33" customHeight="1">
      <ns0:c r="A595" s="12" t="n">
        <ns0:v>920202</ns0:v>
      </ns0:c>
      <ns0:c r="B595" s="12" t="inlineStr">
        <ns0:is>
          <ns0:t>a</ns0:t>
        </ns0:is>
      </ns0:c>
      <ns0:c r="C595" s="12" t="inlineStr">
        <ns0:is>
          <ns0:t>일본과 관계없는 섬</ns0:t>
        </ns0:is>
      </ns0:c>
      <ns0:c r="D595" s="12" t="n">
        <ns0:v>1</ns0:v>
      </ns0:c>
      <ns0:c r="E595" s="12" t="inlineStr">
        <ns0:is>
          <ns0:t>역문의 핵심 지시는 두 섬을 일본과 관계없는 것으로 알아두라는 내용이에요.</ns0:t>
        </ns0:is>
      </ns0:c>
      <ns0:c r="F595" s="12" t="inlineStr">
        <ns0:is>
          <ns0:t>Islands having nothing to do with Japan</ns0:t>
        </ns0:is>
      </ns0:c>
      <ns0:c r="G595" s="12" t="inlineStr">
        <ns0:is>
          <ns0:t>That is the central instruction in the published translation.</ns0:t>
        </ns0:is>
      </ns0:c>
    </ns0:row>
    <ns0:row r="596" ht="33" customHeight="1">
      <ns0:c r="A596" s="10" t="n">
        <ns0:v>920202</ns0:v>
      </ns0:c>
      <ns0:c r="B596" s="10" t="inlineStr">
        <ns0:is>
          <ns0:t>b</ns0:t>
        </ns0:is>
      </ns0:c>
      <ns0:c r="C596" s="10" t="inlineStr">
        <ns0:is>
          <ns0:t>모두 일본 소속인 섬</ns0:t>
        </ns0:is>
      </ns0:c>
      <ns0:c r="D596" s="10" t="n">
        <ns0:v>0</ns0:v>
      </ns0:c>
      <ns0:c r="E596" s="10" t="inlineStr">
        <ns0:is>
          <ns0:t>일본과 관계없다는 지시와 반대되는 내용이에요.</ns0:t>
        </ns0:is>
      </ns0:c>
      <ns0:c r="F596" s="10" t="inlineStr">
        <ns0:is>
          <ns0:t>Both islands belonging to Japan</ns0:t>
        </ns0:is>
      </ns0:c>
      <ns0:c r="G596" s="10" t="inlineStr">
        <ns0:is>
          <ns0:t>This reverses the instruction that they had no relation to Japan.</ns0:t>
        </ns0:is>
      </ns0:c>
    </ns0:row>
    <ns0:row r="597" ht="33" customHeight="1">
      <ns0:c r="A597" s="12" t="n">
        <ns0:v>920202</ns0:v>
      </ns0:c>
      <ns0:c r="B597" s="12" t="inlineStr">
        <ns0:is>
          <ns0:t>c</ns0:t>
        </ns0:is>
      </ns0:c>
      <ns0:c r="C597" s="12" t="inlineStr">
        <ns0:is>
          <ns0:t>독도만 일본 소속인 섬</ns0:t>
        </ns0:is>
      </ns0:c>
      <ns0:c r="D597" s="12" t="n">
        <ns0:v>0</ns0:v>
      </ns0:c>
      <ns0:c r="E597" s="12" t="inlineStr">
        <ns0:is>
          <ns0:t>지명 해설에서 두 섬을 함께 대상으로 풀이하며 독도만 예외로 하지 않아요.</ns0:t>
        </ns0:is>
      </ns0:c>
      <ns0:c r="F597" s="12" t="inlineStr">
        <ns0:is>
          <ns0:t>Only Dokdo belonging to Japan</ns0:t>
        </ns0:is>
      </ns0:c>
      <ns0:c r="G597" s="12" t="inlineStr">
        <ns0:is>
          <ns0:t>The commentary identifies both islands as covered, without such an exception.</ns0:t>
        </ns0:is>
      </ns0:c>
    </ns0:row>
    <ns0:row r="598" ht="33" customHeight="1">
      <ns0:c r="A598" s="10" t="n">
        <ns0:v>920203</ns0:v>
      </ns0:c>
      <ns0:c r="B598" s="10" t="inlineStr">
        <ns0:is>
          <ns0:t>b</ns0:t>
        </ns0:is>
      </ns0:c>
      <ns0:c r="C598" s="10" t="inlineStr">
        <ns0:is>
          <ns0:t>조선</ns0:t>
        </ns0:is>
      </ns0:c>
      <ns0:c r="D598" s="10" t="n">
        <ns0:v>0</ns0:v>
      </ns0:c>
      <ns0:c r="E598" s="10" t="inlineStr">
        <ns0:is>
          <ns0:t>문서 작성 주체가 일본 기관이므로 조선을 ‘본방’이라고 한 것이 아니에요.</ns0:t>
        </ns0:is>
      </ns0:c>
      <ns0:c r="F598" s="10" t="inlineStr">
        <ns0:is>
          <ns0:t>Joseon</ns0:t>
        </ns0:is>
      </ns0:c>
      <ns0:c r="G598" s="10" t="inlineStr">
        <ns0:is>
          <ns0:t>The authoring institution is Japanese, so this does not refer to Joseon.</ns0:t>
        </ns0:is>
      </ns0:c>
    </ns0:row>
    <ns0:row r="599" ht="33" customHeight="1">
      <ns0:c r="A599" s="12" t="n">
        <ns0:v>920203</ns0:v>
      </ns0:c>
      <ns0:c r="B599" s="12" t="inlineStr">
        <ns0:is>
          <ns0:t>a</ns0:t>
        </ns0:is>
      </ns0:c>
      <ns0:c r="C599" s="12" t="inlineStr">
        <ns0:is>
          <ns0:t>일본</ns0:t>
        </ns0:is>
      </ns0:c>
      <ns0:c r="D599" s="12" t="n">
        <ns0:v>1</ns0:v>
      </ns0:c>
      <ns0:c r="E599" s="12" t="inlineStr">
        <ns0:is>
          <ns0:t>일본 정부 기관이 자기 나라를 가리킨 표현이므로 여기서는 일본이에요.</ns0:t>
        </ns0:is>
      </ns0:c>
      <ns0:c r="F599" s="12" t="inlineStr">
        <ns0:is>
          <ns0:t>Japan</ns0:t>
        </ns0:is>
      </ns0:c>
      <ns0:c r="G599" s="12" t="inlineStr">
        <ns0:is>
          <ns0:t>It is a Japanese government body’s reference to its own country.</ns0:t>
        </ns0:is>
      </ns0:c>
    </ns0:row>
    <ns0:row r="600" ht="33" customHeight="1">
      <ns0:c r="A600" s="10" t="n">
        <ns0:v>920203</ns0:v>
      </ns0:c>
      <ns0:c r="B600" s="10" t="inlineStr">
        <ns0:is>
          <ns0:t>c</ns0:t>
        </ns0:is>
      </ns0:c>
      <ns0:c r="C600" s="10" t="inlineStr">
        <ns0:is>
          <ns0:t>대한민국</ns0:t>
        </ns0:is>
      </ns0:c>
      <ns0:c r="D600" s="10" t="n">
        <ns0:v>0</ns0:v>
      </ns0:c>
      <ns0:c r="E600" s="10" t="inlineStr">
        <ns0:is>
          <ns0:t>현대 번역을 읽는 나라가 아니라 원문 작성자의 나라를 뜻해요.</ns0:t>
        </ns0:is>
      </ns0:c>
      <ns0:c r="F600" s="10" t="inlineStr">
        <ns0:is>
          <ns0:t>The Republic of Korea</ns0:t>
        </ns0:is>
      </ns0:c>
      <ns0:c r="G600" s="10" t="inlineStr">
        <ns0:is>
          <ns0:t>The reference follows the original author, not the country reading the translation today.</ns0:t>
        </ns0:is>
      </ns0:c>
    </ns0:row>
    <ns0:row r="601" ht="38" customHeight="1">
      <ns0:c r="A601" s="12" t="n">
        <ns0:v>920204</ns0:v>
      </ns0:c>
      <ns0:c r="B601" s="12" t="inlineStr">
        <ns0:is>
          <ns0:t>b</ns0:t>
        </ns0:is>
      </ns0:c>
      <ns0:c r="C601" s="12" t="inlineStr">
        <ns0:is>
          <ns0:t>울릉도만 제외하고 독도는 일본 소속이라는 판단</ns0:t>
        </ns0:is>
      </ns0:c>
      <ns0:c r="D601" s="12" t="n">
        <ns0:v>0</ns0:v>
      </ns0:c>
      <ns0:c r="E601" s="12" t="inlineStr">
        <ns0:is>
          <ns0:t>‘외 1도’가 독도에 해당한다는 첨부 지도 해설을 빠뜨린 해석이에요.</ns0:t>
        </ns0:is>
      </ns0:c>
      <ns0:c r="F601" s="12" t="inlineStr">
        <ns0:is>
          <ns0:t>That Ulleungdo was excluded but Dokdo was Japanese</ns0:t>
        </ns0:is>
      </ns0:c>
      <ns0:c r="G601" s="12" t="inlineStr">
        <ns0:is>
          <ns0:t>This omits the commentary identifying the other island as Dokdo.</ns0:t>
        </ns0:is>
      </ns0:c>
    </ns0:row>
    <ns0:row r="602" ht="38" customHeight="1">
      <ns0:c r="A602" s="10" t="n">
        <ns0:v>920204</ns0:v>
      </ns0:c>
      <ns0:c r="B602" s="10" t="inlineStr">
        <ns0:is>
          <ns0:t>c</ns0:t>
        </ns0:is>
      </ns0:c>
      <ns0:c r="C602" s="10" t="inlineStr">
        <ns0:is>
          <ns0:t>독도만 제외하고 울릉도는 일본 소속이라는 판단</ns0:t>
        </ns0:is>
      </ns0:c>
      <ns0:c r="D602" s="10" t="n">
        <ns0:v>0</ns0:v>
      </ns0:c>
      <ns0:c r="E602" s="10" t="inlineStr">
        <ns0:is>
          <ns0:t>이 자료의 다케시마인 울릉도도 지령 대상에 포함돼요.</ns0:t>
        </ns0:is>
      </ns0:c>
      <ns0:c r="F602" s="10" t="inlineStr">
        <ns0:is>
          <ns0:t>That Dokdo was excluded but Ulleungdo was Japanese</ns0:t>
        </ns0:is>
      </ns0:c>
      <ns0:c r="G602" s="10" t="inlineStr">
        <ns0:is>
          <ns0:t>Ulleungdo, identified as Takeshima here, is also covered by the instruction.</ns0:t>
        </ns0:is>
      </ns0:c>
    </ns0:row>
    <ns0:row r="603" ht="38" customHeight="1">
      <ns0:c r="A603" s="12" t="n">
        <ns0:v>920204</ns0:v>
      </ns0:c>
      <ns0:c r="B603" s="12" t="inlineStr">
        <ns0:is>
          <ns0:t>a</ns0:t>
        </ns0:is>
      </ns0:c>
      <ns0:c r="C603" s="12" t="inlineStr">
        <ns0:is>
          <ns0:t>울릉도와 독도를 일본 영토로 보지 않았다는 판단</ns0:t>
        </ns0:is>
      </ns0:c>
      <ns0:c r="D603" s="12" t="n">
        <ns0:v>1</ns0:v>
      </ns0:c>
      <ns0:c r="E603" s="12" t="inlineStr">
        <ns0:is>
          <ns0:t>대한민국 외교부는 지령과 첨부 지도의 지명 대응을 함께 제시하며 이 역사적 의미를 설명해요.</ns0:t>
        </ns0:is>
      </ns0:c>
      <ns0:c r="F603" s="12" t="inlineStr">
        <ns0:is>
          <ns0:t>That the two islands were not regarded as Japanese territory</ns0:t>
        </ns0:is>
      </ns0:c>
      <ns0:c r="G603" s="12" t="inlineStr">
        <ns0:is>
          <ns0:t>ROK MOFA explains this historical significance through the instruction and map identifications.</ns0:t>
        </ns0:is>
      </ns0:c>
    </ns0:row>
    <ns0:row r="604" ht="33" customHeight="1">
      <ns0:c r="A604" s="10" t="n">
        <ns0:v>920205</ns0:v>
      </ns0:c>
      <ns0:c r="B604" s="10" t="inlineStr">
        <ns0:is>
          <ns0:t>a</ns0:t>
        </ns0:is>
      </ns0:c>
      <ns0:c r="C604" s="10" t="inlineStr">
        <ns0:is>
          <ns0:t>울릉도 도해금지령</ns0:t>
        </ns0:is>
      </ns0:c>
      <ns0:c r="D604" s="10" t="n">
        <ns0:v>1</ns0:v>
      </ns0:c>
      <ns0:c r="E604" s="10" t="inlineStr">
        <ns0:is>
          <ns0:t>도해는 바다를 건너는 일이고, 이 명령은 일본 어민의 울릉도 도항을 금지했어요.</ns0:t>
        </ns0:is>
      </ns0:c>
      <ns0:c r="F604" s="10" t="inlineStr">
        <ns0:is>
          <ns0:t>The Ulleungdo voyage prohibition</ns0:t>
        </ns0:is>
      </ns0:c>
      <ns0:c r="G604" s="10" t="inlineStr">
        <ns0:is>
          <ns0:t>Dohae means crossing the sea; this order prohibited those voyages to Ulleungdo.</ns0:t>
        </ns0:is>
      </ns0:c>
    </ns0:row>
    <ns0:row r="605" ht="33" customHeight="1">
      <ns0:c r="A605" s="12" t="n">
        <ns0:v>920205</ns0:v>
      </ns0:c>
      <ns0:c r="B605" s="12" t="inlineStr">
        <ns0:is>
          <ns0:t>b</ns0:t>
        </ns0:is>
      </ns0:c>
      <ns0:c r="C605" s="12" t="inlineStr">
        <ns0:is>
          <ns0:t>태정관지령</ns0:t>
        </ns0:is>
      </ns0:c>
      <ns0:c r="D605" s="12" t="n">
        <ns0:v>0</ns0:v>
      </ns0:c>
      <ns0:c r="E605" s="12" t="inlineStr">
        <ns0:is>
          <ns0:t>이는 1877년 일본의 행정 지시로 1696년 금지령과 구분해요.</ns0:t>
        </ns0:is>
      </ns0:c>
      <ns0:c r="F605" s="12" t="inlineStr">
        <ns0:is>
          <ns0:t>The Dajokan directive</ns0:t>
        </ns0:is>
      </ns0:c>
      <ns0:c r="G605" s="12" t="inlineStr">
        <ns0:is>
          <ns0:t>That is a Japanese administrative directive from 1877.</ns0:t>
        </ns0:is>
      </ns0:c>
    </ns0:row>
    <ns0:row r="606" ht="33" customHeight="1">
      <ns0:c r="A606" s="10" t="n">
        <ns0:v>920205</ns0:v>
      </ns0:c>
      <ns0:c r="B606" s="10" t="inlineStr">
        <ns0:is>
          <ns0:t>c</ns0:t>
        </ns0:is>
      </ns0:c>
      <ns0:c r="C606" s="10" t="inlineStr">
        <ns0:is>
          <ns0:t>대한제국 칙령 제41호</ns0:t>
        </ns0:is>
      </ns0:c>
      <ns0:c r="D606" s="10" t="n">
        <ns0:v>0</ns0:v>
      </ns0:c>
      <ns0:c r="E606" s="10" t="inlineStr">
        <ns0:is>
          <ns0:t>이는 1900년 대한제국의 행정 개편 명령이에요.</ns0:t>
        </ns0:is>
      </ns0:c>
      <ns0:c r="F606" s="10" t="inlineStr">
        <ns0:is>
          <ns0:t>Korean Empire Decree No. 41</ns0:t>
        </ns0:is>
      </ns0:c>
      <ns0:c r="G606" s="10" t="inlineStr">
        <ns0:is>
          <ns0:t>That is the Korean Empire’s 1900 reorganisation decree.</ns0:t>
        </ns0:is>
      </ns0:c>
    </ns0:row>
    <ns0:row r="607" ht="33" customHeight="1">
      <ns0:c r="A607" s="12" t="n">
        <ns0:v>920205</ns0:v>
      </ns0:c>
      <ns0:c r="B607" s="12" t="inlineStr">
        <ns0:is>
          <ns0:t>d</ns0:t>
        </ns0:is>
      </ns0:c>
      <ns0:c r="C607" s="12" t="inlineStr">
        <ns0:is>
          <ns0:t>지령 제3호</ns0:t>
        </ns0:is>
      </ns0:c>
      <ns0:c r="D607" s="12" t="n">
        <ns0:v>0</ns0:v>
      </ns0:c>
      <ns0:c r="E607" s="12" t="inlineStr">
        <ns0:is>
          <ns0:t>이는 1906년 대한제국이 독도 보고에 답한 문서예요.</ns0:t>
        </ns0:is>
      </ns0:c>
      <ns0:c r="F607" s="12" t="inlineStr">
        <ns0:is>
          <ns0:t>Directive No. 3</ns0:t>
        </ns0:is>
      </ns0:c>
      <ns0:c r="G607" s="12" t="inlineStr">
        <ns0:is>
          <ns0:t>That is the Korean Empire’s 1906 response to a report on Dokdo.</ns0:t>
        </ns0:is>
      </ns0:c>
    </ns0:row>
    <ns0:row r="608" ht="33" customHeight="1">
      <ns0:c r="A608" s="10" t="n">
        <ns0:v>920206</ns0:v>
      </ns0:c>
      <ns0:c r="B608" s="10" t="inlineStr">
        <ns0:is>
          <ns0:t>a</ns0:t>
        </ns0:is>
      </ns0:c>
      <ns0:c r="C608" s="10" t="inlineStr">
        <ns0:is>
          <ns0:t>바다를 건너가는 일</ns0:t>
        </ns0:is>
      </ns0:c>
      <ns0:c r="D608" s="10" t="n">
        <ns0:v>1</ns0:v>
      </ns0:c>
      <ns0:c r="E608" s="10" t="inlineStr">
        <ns0:is>
          <ns0:t>이 문맥에서는 배로 울릉도에 건너가는 일을 뜻해요.</ns0:t>
        </ns0:is>
      </ns0:c>
      <ns0:c r="F608" s="10" t="inlineStr">
        <ns0:is>
          <ns0:t>Crossing the sea</ns0:t>
        </ns0:is>
      </ns0:c>
      <ns0:c r="G608" s="10" t="inlineStr">
        <ns0:is>
          <ns0:t>In this context it means making a sea voyage to Ulleungdo.</ns0:t>
        </ns0:is>
      </ns0:c>
    </ns0:row>
    <ns0:row r="609" ht="33" customHeight="1">
      <ns0:c r="A609" s="12" t="n">
        <ns0:v>920206</ns0:v>
      </ns0:c>
      <ns0:c r="B609" s="12" t="inlineStr">
        <ns0:is>
          <ns0:t>b</ns0:t>
        </ns0:is>
      </ns0:c>
      <ns0:c r="C609" s="12" t="inlineStr">
        <ns0:is>
          <ns0:t>토지의 경계를 재는 일</ns0:t>
        </ns0:is>
      </ns0:c>
      <ns0:c r="D609" s="12" t="n">
        <ns0:v>0</ns0:v>
      </ns0:c>
      <ns0:c r="E609" s="12" t="inlineStr">
        <ns0:is>
          <ns0:t>토지 측량이 아니라 바다를 건너가는 활동이에요.</ns0:t>
        </ns0:is>
      </ns0:c>
      <ns0:c r="F609" s="12" t="inlineStr">
        <ns0:is>
          <ns0:t>Surveying land boundaries</ns0:t>
        </ns0:is>
      </ns0:c>
      <ns0:c r="G609" s="12" t="inlineStr">
        <ns0:is>
          <ns0:t>It means a sea crossing, not a land survey.</ns0:t>
        </ns0:is>
      </ns0:c>
    </ns0:row>
    <ns0:row r="610" ht="33" customHeight="1">
      <ns0:c r="A610" s="10" t="n">
        <ns0:v>920206</ns0:v>
      </ns0:c>
      <ns0:c r="B610" s="10" t="inlineStr">
        <ns0:is>
          <ns0:t>c</ns0:t>
        </ns0:is>
      </ns0:c>
      <ns0:c r="C610" s="10" t="inlineStr">
        <ns0:is>
          <ns0:t>섬의 이름을 바꾸는 일</ns0:t>
        </ns0:is>
      </ns0:c>
      <ns0:c r="D610" s="10" t="n">
        <ns0:v>0</ns0:v>
      </ns0:c>
      <ns0:c r="E610" s="10" t="inlineStr">
        <ns0:is>
          <ns0:t>도해는 이름 변경이 아니라 이동 행위예요.</ns0:t>
        </ns0:is>
      </ns0:c>
      <ns0:c r="F610" s="10" t="inlineStr">
        <ns0:is>
          <ns0:t>Renaming an island</ns0:t>
        </ns0:is>
      </ns0:c>
      <ns0:c r="G610" s="10" t="inlineStr">
        <ns0:is>
          <ns0:t>The term denotes travel, not renaming.</ns0:t>
        </ns0:is>
      </ns0:c>
    </ns0:row>
    <ns0:row r="611" ht="38" customHeight="1">
      <ns0:c r="A611" s="12" t="n">
        <ns0:v>920207</ns0:v>
      </ns0:c>
      <ns0:c r="B611" s="12" t="inlineStr">
        <ns0:is>
          <ns0:t>b</ns0:t>
        </ns0:is>
      </ns0:c>
      <ns0:c r="C611" s="12" t="inlineStr">
        <ns0:is>
          <ns0:t>독도</ns0:t>
        </ns0:is>
      </ns0:c>
      <ns0:c r="D611" s="12" t="n">
        <ns0:v>0</ns0:v>
      </ns0:c>
      <ns0:c r="E611" s="12" t="inlineStr">
        <ns0:is>
          <ns0:t>이 시기의 해당 문서 이름 대응을 오늘날 일본이 쓰는 이름과 혼동하면 안 돼요.</ns0:t>
        </ns0:is>
      </ns0:c>
      <ns0:c r="F611" s="12" t="inlineStr">
        <ns0:is>
          <ns0:t>Dokdo</ns0:t>
        </ns0:is>
      </ns0:c>
      <ns0:c r="G611" s="12" t="inlineStr">
        <ns0:is>
          <ns0:t>The identification in this historical document must not be replaced by present-day Japanese usage.</ns0:t>
        </ns0:is>
      </ns0:c>
    </ns0:row>
    <ns0:row r="612" ht="33" customHeight="1">
      <ns0:c r="A612" s="10" t="n">
        <ns0:v>920207</ns0:v>
      </ns0:c>
      <ns0:c r="B612" s="10" t="inlineStr">
        <ns0:is>
          <ns0:t>a</ns0:t>
        </ns0:is>
      </ns0:c>
      <ns0:c r="C612" s="10" t="inlineStr">
        <ns0:is>
          <ns0:t>울릉도</ns0:t>
        </ns0:is>
      </ns0:c>
      <ns0:c r="D612" s="10" t="n">
        <ns0:v>1</ns0:v>
      </ns0:c>
      <ns0:c r="E612" s="10" t="inlineStr">
        <ns0:is>
          <ns0:t>이 금지령 역문에서는 다케시마를 울릉도로 풀이해요.</ns0:t>
        </ns0:is>
      </ns0:c>
      <ns0:c r="F612" s="10" t="inlineStr">
        <ns0:is>
          <ns0:t>Ulleungdo</ns0:t>
        </ns0:is>
      </ns0:c>
      <ns0:c r="G612" s="10" t="inlineStr">
        <ns0:is>
          <ns0:t>In the published translation of this prohibition, Takeshima is Ulleungdo.</ns0:t>
        </ns0:is>
      </ns0:c>
    </ns0:row>
    <ns0:row r="613" ht="33" customHeight="1">
      <ns0:c r="A613" s="12" t="n">
        <ns0:v>920207</ns0:v>
      </ns0:c>
      <ns0:c r="B613" s="12" t="inlineStr">
        <ns0:is>
          <ns0:t>c</ns0:t>
        </ns0:is>
      </ns0:c>
      <ns0:c r="C613" s="12" t="inlineStr">
        <ns0:is>
          <ns0:t>오키섬</ns0:t>
        </ns0:is>
      </ns0:c>
      <ns0:c r="D613" s="12" t="n">
        <ns0:v>0</ns0:v>
      </ns0:c>
      <ns0:c r="E613" s="12" t="inlineStr">
        <ns0:is>
          <ns0:t>공개 역문의 목적지는 오키섬이 아니라 울릉도예요.</ns0:t>
        </ns0:is>
      </ns0:c>
      <ns0:c r="F613" s="12" t="inlineStr">
        <ns0:is>
          <ns0:t>Oki Islands</ns0:t>
        </ns0:is>
      </ns0:c>
      <ns0:c r="G613" s="12" t="inlineStr">
        <ns0:is>
          <ns0:t>The destination in the published translation is Ulleungdo, not Oki.</ns0:t>
        </ns0:is>
      </ns0:c>
    </ns0:row>
    <ns0:row r="614" ht="33" customHeight="1">
      <ns0:c r="A614" s="10" t="n">
        <ns0:v>920208</ns0:v>
      </ns0:c>
      <ns0:c r="B614" s="10" t="inlineStr">
        <ns0:is>
          <ns0:t>b</ns0:t>
        </ns0:is>
      </ns0:c>
      <ns0:c r="C614" s="10" t="inlineStr">
        <ns0:is>
          <ns0:t>조선 정부 → 조선 어민 → 오키섬</ns0:t>
        </ns0:is>
      </ns0:c>
      <ns0:c r="D614" s="10" t="n">
        <ns0:v>0</ns0:v>
      </ns0:c>
      <ns0:c r="E614" s="10" t="inlineStr">
        <ns0:is>
          <ns0:t>발령 주체·대상·목적지를 모두 다른 것으로 바꿨어요.</ns0:t>
        </ns0:is>
      </ns0:c>
      <ns0:c r="F614" s="10" t="inlineStr">
        <ns0:is>
          <ns0:t>Joseon government → Joseon fishermen → Oki</ns0:t>
        </ns0:is>
      </ns0:c>
      <ns0:c r="G614" s="10" t="inlineStr">
        <ns0:is>
          <ns0:t>The issuer, affected people and destination all differ from the source.</ns0:t>
        </ns0:is>
      </ns0:c>
    </ns0:row>
    <ns0:row r="615" ht="33" customHeight="1">
      <ns0:c r="A615" s="12" t="n">
        <ns0:v>920208</ns0:v>
      </ns0:c>
      <ns0:c r="B615" s="12" t="inlineStr">
        <ns0:is>
          <ns0:t>c</ns0:t>
        </ns0:is>
      </ns0:c>
      <ns0:c r="C615" s="12" t="inlineStr">
        <ns0:is>
          <ns0:t>일본 에도 막부 → 조선 어민 → 울릉도</ns0:t>
        </ns0:is>
      </ns0:c>
      <ns0:c r="D615" s="12" t="n">
        <ns0:v>0</ns0:v>
      </ns0:c>
      <ns0:c r="E615" s="12" t="inlineStr">
        <ns0:is>
          <ns0:t>발령 주체와 목적지는 맞지만 명령의 대상은 일본 어민이에요.</ns0:t>
        </ns0:is>
      </ns0:c>
      <ns0:c r="F615" s="12" t="inlineStr">
        <ns0:is>
          <ns0:t>Edo shogunate → Joseon fishermen → Ulleungdo</ns0:t>
        </ns0:is>
      </ns0:c>
      <ns0:c r="G615" s="12" t="inlineStr">
        <ns0:is>
          <ns0:t>The issuer and destination fit, but the affected fishermen were Japanese.</ns0:t>
        </ns0:is>
      </ns0:c>
    </ns0:row>
    <ns0:row r="616" ht="38" customHeight="1">
      <ns0:c r="A616" s="10" t="n">
        <ns0:v>920208</ns0:v>
      </ns0:c>
      <ns0:c r="B616" s="10" t="inlineStr">
        <ns0:is>
          <ns0:t>a</ns0:t>
        </ns0:is>
      </ns0:c>
      <ns0:c r="C616" s="10" t="inlineStr">
        <ns0:is>
          <ns0:t>일본 에도 막부 → 일본 어민 → 울릉도</ns0:t>
        </ns0:is>
      </ns0:c>
      <ns0:c r="D616" s="10" t="n">
        <ns0:v>1</ns0:v>
      </ns0:c>
      <ns0:c r="E616" s="10" t="inlineStr">
        <ns0:is>
          <ns0:t>누가 명령했고 누구의 어느 목적지 도항을 막았는지 모두 맞아요.</ns0:t>
        </ns0:is>
      </ns0:c>
      <ns0:c r="F616" s="10" t="inlineStr">
        <ns0:is>
          <ns0:t>Edo shogunate → Japanese fishermen → Ulleungdo</ns0:t>
        </ns0:is>
      </ns0:c>
      <ns0:c r="G616" s="10" t="inlineStr">
        <ns0:is>
          <ns0:t>All three elements match the order.</ns0:t>
        </ns0:is>
      </ns0:c>
    </ns0:row>
    <ns0:row r="617" ht="33" customHeight="1">
      <ns0:c r="A617" s="12" t="n">
        <ns0:v>920209</ns0:v>
      </ns0:c>
      <ns0:c r="B617" s="12" t="inlineStr">
        <ns0:is>
          <ns0:t>a</ns0:t>
        </ns0:is>
      </ns0:c>
      <ns0:c r="C617" s="12" t="inlineStr">
        <ns0:is>
          <ns0:t>기죽도약도</ns0:t>
        </ns0:is>
      </ns0:c>
      <ns0:c r="D617" s="12" t="n">
        <ns0:v>1</ns0:v>
      </ns0:c>
      <ns0:c r="E617" s="12" t="inlineStr">
        <ns0:is>
          <ns0:t>1877년 태정관지령 관련 서류에 첨부된 지도로 소개돼요.</ns0:t>
        </ns0:is>
      </ns0:c>
      <ns0:c r="F617" s="12" t="inlineStr">
        <ns0:is>
          <ns0:t>Kijukudo-yakdo</ns0:t>
        </ns0:is>
      </ns0:c>
      <ns0:c r="G617" s="12" t="inlineStr">
        <ns0:is>
          <ns0:t>This is the map presented as an attachment to the 1877 directive-related papers.</ns0:t>
        </ns0:is>
      </ns0:c>
    </ns0:row>
    <ns0:row r="618" ht="33" customHeight="1">
      <ns0:c r="A618" s="10" t="n">
        <ns0:v>920209</ns0:v>
      </ns0:c>
      <ns0:c r="B618" s="10" t="inlineStr">
        <ns0:is>
          <ns0:t>b</ns0:t>
        </ns0:is>
      </ns0:c>
      <ns0:c r="C618" s="10" t="inlineStr">
        <ns0:is>
          <ns0:t>대동여지도</ns0:t>
        </ns0:is>
      </ns0:c>
      <ns0:c r="D618" s="10" t="n">
        <ns0:v>0</ns0:v>
      </ns0:c>
      <ns0:c r="E618" s="10" t="inlineStr">
        <ns0:is>
          <ns0:t>독도 관련 지도라도 이름을 구분해야 해요. 이 서류의 첨부 지도는 기죽도약도예요.</ns0:t>
        </ns0:is>
      </ns0:c>
      <ns0:c r="F618" s="10" t="inlineStr">
        <ns0:is>
          <ns0:t>Daedongyeojido</ns0:t>
        </ns0:is>
      </ns0:c>
      <ns0:c r="G618" s="10" t="inlineStr">
        <ns0:is>
          <ns0:t>The named attachment here is Kijukudo-yakdo, not Daedongyeojido.</ns0:t>
        </ns0:is>
      </ns0:c>
    </ns0:row>
    <ns0:row r="619" ht="33" customHeight="1">
      <ns0:c r="A619" s="12" t="n">
        <ns0:v>920209</ns0:v>
      </ns0:c>
      <ns0:c r="B619" s="12" t="inlineStr">
        <ns0:is>
          <ns0:t>c</ns0:t>
        </ns0:is>
      </ns0:c>
      <ns0:c r="C619" s="12" t="inlineStr">
        <ns0:is>
          <ns0:t>팔도총도</ns0:t>
        </ns0:is>
      </ns0:c>
      <ns0:c r="D619" s="12" t="n">
        <ns0:v>0</ns0:v>
      </ns0:c>
      <ns0:c r="E619" s="12" t="inlineStr">
        <ns0:is>
          <ns0:t>이 자료에서 확인하는 첨부 지도 이름은 팔도총도가 아니라 기죽도약도예요.</ns0:t>
        </ns0:is>
      </ns0:c>
      <ns0:c r="F619" s="12" t="inlineStr">
        <ns0:is>
          <ns0:t>Paldo-chongdo</ns0:t>
        </ns0:is>
      </ns0:c>
      <ns0:c r="G619" s="12" t="inlineStr">
        <ns0:is>
          <ns0:t>The attachment identified in this source is Kijukudo-yakdo, not Paldo-chongdo.</ns0:t>
        </ns0:is>
      </ns0:c>
    </ns0:row>
    <ns0:row r="620" ht="33" customHeight="1">
      <ns0:c r="A620" s="10" t="n">
        <ns0:v>920210</ns0:v>
      </ns0:c>
      <ns0:c r="B620" s="10" t="inlineStr">
        <ns0:is>
          <ns0:t>b</ns0:t>
        </ns0:is>
      </ns0:c>
      <ns0:c r="C620" s="10" t="inlineStr">
        <ns0:is>
          <ns0:t>울릉도</ns0:t>
        </ns0:is>
      </ns0:c>
      <ns0:c r="D620" s="10" t="n">
        <ns0:v>0</ns0:v>
      </ns0:c>
      <ns0:c r="E620" s="10" t="inlineStr">
        <ns0:is>
          <ns0:t>울릉도는 이 문서에서 다케시마에 대응하며 ‘외 1도’와 구분돼요.</ns0:t>
        </ns0:is>
      </ns0:c>
      <ns0:c r="F620" s="10" t="inlineStr">
        <ns0:is>
          <ns0:t>Ulleungdo</ns0:t>
        </ns0:is>
      </ns0:c>
      <ns0:c r="G620" s="10" t="inlineStr">
        <ns0:is>
          <ns0:t>Ulleungdo corresponds to Takeshima in this document and is distinct from the other island.</ns0:t>
        </ns0:is>
      </ns0:c>
    </ns0:row>
    <ns0:row r="621" ht="38" customHeight="1">
      <ns0:c r="A621" s="12" t="n">
        <ns0:v>920210</ns0:v>
      </ns0:c>
      <ns0:c r="B621" s="12" t="inlineStr">
        <ns0:is>
          <ns0:t>a</ns0:t>
        </ns0:is>
      </ns0:c>
      <ns0:c r="C621" s="12" t="inlineStr">
        <ns0:is>
          <ns0:t>독도</ns0:t>
        </ns0:is>
      </ns0:c>
      <ns0:c r="D621" s="12" t="n">
        <ns0:v>1</ns0:v>
      </ns0:c>
      <ns0:c r="E621" s="12" t="inlineStr">
        <ns0:is>
          <ns0:t>대한민국 외교부는 첨부 지도와 지령을 함께 검토해 ‘외 1도’를 독도로 풀이해요.</ns0:t>
        </ns0:is>
      </ns0:c>
      <ns0:c r="F621" s="12" t="inlineStr">
        <ns0:is>
          <ns0:t>Dokdo</ns0:t>
        </ns0:is>
      </ns0:c>
      <ns0:c r="G621" s="12" t="inlineStr">
        <ns0:is>
          <ns0:t>ROK MOFA identifies the other island as Dokdo by considering the directive and attached map together.</ns0:t>
        </ns0:is>
      </ns0:c>
    </ns0:row>
    <ns0:row r="622" ht="33" customHeight="1">
      <ns0:c r="A622" s="10" t="n">
        <ns0:v>920210</ns0:v>
      </ns0:c>
      <ns0:c r="B622" s="10" t="inlineStr">
        <ns0:is>
          <ns0:t>c</ns0:t>
        </ns0:is>
      </ns0:c>
      <ns0:c r="C622" s="10" t="inlineStr">
        <ns0:is>
          <ns0:t>제주도</ns0:t>
        </ns0:is>
      </ns0:c>
      <ns0:c r="D622" s="10" t="n">
        <ns0:v>0</ns0:v>
      </ns0:c>
      <ns0:c r="E622" s="10" t="inlineStr">
        <ns0:is>
          <ns0:t>해당 첨부 지도 해설에서 ‘외 1도’를 제주도로 풀이하지 않아요.</ns0:t>
        </ns0:is>
      </ns0:c>
      <ns0:c r="F622" s="10" t="inlineStr">
        <ns0:is>
          <ns0:t>Jeju Island</ns0:t>
        </ns0:is>
      </ns0:c>
      <ns0:c r="G622" s="10" t="inlineStr">
        <ns0:is>
          <ns0:t>The supplied map commentary does not identify the other island as Jeju.</ns0:t>
        </ns0:is>
      </ns0:c>
    </ns0:row>
    <ns0:row r="623" ht="33" customHeight="1">
      <ns0:c r="A623" s="12" t="n">
        <ns0:v>920211</ns0:v>
      </ns0:c>
      <ns0:c r="B623" s="12" t="inlineStr">
        <ns0:is>
          <ns0:t>b</ns0:t>
        </ns0:is>
      </ns0:c>
      <ns0:c r="C623" s="12" t="inlineStr">
        <ns0:is>
          <ns0:t>다케시마 — 독도 / 마쓰시마 — 울릉도</ns0:t>
        </ns0:is>
      </ns0:c>
      <ns0:c r="D623" s="12" t="n">
        <ns0:v>0</ns0:v>
      </ns0:c>
      <ns0:c r="E623" s="12" t="inlineStr">
        <ns0:is>
          <ns0:t>이 첨부 지도에 대한 해설의 대응을 뒤바꿨어요.</ns0:t>
        </ns0:is>
      </ns0:c>
      <ns0:c r="F623" s="12" t="inlineStr">
        <ns0:is>
          <ns0:t>Takeshima — Dokdo / Matsushima — Ulleungdo</ns0:t>
        </ns0:is>
      </ns0:c>
      <ns0:c r="G623" s="12" t="inlineStr">
        <ns0:is>
          <ns0:t>This reverses the identifications in the attached-map commentary.</ns0:t>
        </ns0:is>
      </ns0:c>
    </ns0:row>
    <ns0:row r="624" ht="33" customHeight="1">
      <ns0:c r="A624" s="10" t="n">
        <ns0:v>920211</ns0:v>
      </ns0:c>
      <ns0:c r="B624" s="10" t="inlineStr">
        <ns0:is>
          <ns0:t>c</ns0:t>
        </ns0:is>
      </ns0:c>
      <ns0:c r="C624" s="10" t="inlineStr">
        <ns0:is>
          <ns0:t>다케시마 — 제주도 / 마쓰시마 — 오키섬</ns0:t>
        </ns0:is>
      </ns0:c>
      <ns0:c r="D624" s="10" t="n">
        <ns0:v>0</ns0:v>
      </ns0:c>
      <ns0:c r="E624" s="10" t="inlineStr">
        <ns0:is>
          <ns0:t>제시된 두 지명의 대응은 제주도·오키섬이 아니에요.</ns0:t>
        </ns0:is>
      </ns0:c>
      <ns0:c r="F624" s="10" t="inlineStr">
        <ns0:is>
          <ns0:t>Takeshima — Jeju / Matsushima — Oki</ns0:t>
        </ns0:is>
      </ns0:c>
      <ns0:c r="G624" s="10" t="inlineStr">
        <ns0:is>
          <ns0:t>The supplied names do not correspond to Jeju and Oki.</ns0:t>
        </ns0:is>
      </ns0:c>
    </ns0:row>
    <ns0:row r="625" ht="33" customHeight="1">
      <ns0:c r="A625" s="12" t="n">
        <ns0:v>920211</ns0:v>
      </ns0:c>
      <ns0:c r="B625" s="12" t="inlineStr">
        <ns0:is>
          <ns0:t>a</ns0:t>
        </ns0:is>
      </ns0:c>
      <ns0:c r="C625" s="12" t="inlineStr">
        <ns0:is>
          <ns0:t>다케시마 — 울릉도 / 마쓰시마 — 독도</ns0:t>
        </ns0:is>
      </ns0:c>
      <ns0:c r="D625" s="12" t="n">
        <ns0:v>1</ns0:v>
      </ns0:c>
      <ns0:c r="E625" s="12" t="inlineStr">
        <ns0:is>
          <ns0:t>이 자료의 이름 대응은 다케시마가 울릉도, 마쓰시마가 독도예요.</ns0:t>
        </ns0:is>
      </ns0:c>
      <ns0:c r="F625" s="12" t="inlineStr">
        <ns0:is>
          <ns0:t>Takeshima — Ulleungdo / Matsushima — Dokdo</ns0:t>
        </ns0:is>
      </ns0:c>
      <ns0:c r="G625" s="12" t="inlineStr">
        <ns0:is>
          <ns0:t>These are the identifications in this particular account.</ns0:t>
        </ns0:is>
      </ns0:c>
    </ns0:row>
    <ns0:row r="626" ht="38" customHeight="1">
      <ns0:c r="A626" s="10" t="n">
        <ns0:v>920212</ns0:v>
      </ns0:c>
      <ns0:c r="B626" s="10" t="inlineStr">
        <ns0:is>
          <ns0:t>a</ns0:t>
        </ns0:is>
      </ns0:c>
      <ns0:c r="C626" s="10" t="inlineStr">
        <ns0:is>
          <ns0:t>지령의 ‘외 1도’가 독도임을 확인하는 근거가 되어서</ns0:t>
        </ns0:is>
      </ns0:c>
      <ns0:c r="D626" s="10" t="n">
        <ns0:v>1</ns0:v>
      </ns0:c>
      <ns0:c r="E626" s="10" t="inlineStr">
        <ns0:is>
          <ns0:t>대상 섬을 확인해 당시 일본 정부 지시가 독도에도 해당함을 설명하는 데 쓰여요.</ns0:t>
        </ns0:is>
      </ns0:c>
      <ns0:c r="F626" s="10" t="inlineStr">
        <ns0:is>
          <ns0:t>It helps identify Dokdo as the “other island” in the directive</ns0:t>
        </ns0:is>
      </ns0:c>
      <ns0:c r="G626" s="10" t="inlineStr">
        <ns0:is>
          <ns0:t>It identifies the island covered and thus the directive’s relevance to Dokdo.</ns0:t>
        </ns0:is>
      </ns0:c>
    </ns0:row>
    <ns0:row r="627" ht="38" customHeight="1">
      <ns0:c r="A627" s="12" t="n">
        <ns0:v>920212</ns0:v>
      </ns0:c>
      <ns0:c r="B627" s="12" t="inlineStr">
        <ns0:is>
          <ns0:t>b</ns0:t>
        </ns0:is>
      </ns0:c>
      <ns0:c r="C627" s="12" t="inlineStr">
        <ns0:is>
          <ns0:t>지도 제작국의 영토만 반드시 그린 지도이기 때문에</ns0:t>
        </ns0:is>
      </ns0:c>
      <ns0:c r="D627" s="12" t="n">
        <ns0:v>0</ns0:v>
      </ns0:c>
      <ns0:c r="E627" s="12" t="inlineStr">
        <ns0:is>
          <ns0:t>지도 제작국만으로 영토를 단정하지 않아요. 문서와 지명 대응을 함께 읽어요.</ns0:t>
        </ns0:is>
      </ns0:c>
      <ns0:c r="F627" s="12" t="inlineStr">
        <ns0:is>
          <ns0:t>A map necessarily depicts only its maker’s territory</ns0:t>
        </ns0:is>
      </ns0:c>
      <ns0:c r="G627" s="12" t="inlineStr">
        <ns0:is>
          <ns0:t>Production country alone is insufficient; the text and names must be examined together.</ns0:t>
        </ns0:is>
      </ns0:c>
    </ns0:row>
    <ns0:row r="628" ht="38" customHeight="1">
      <ns0:c r="A628" s="10" t="n">
        <ns0:v>920212</ns0:v>
      </ns0:c>
      <ns0:c r="B628" s="10" t="inlineStr">
        <ns0:is>
          <ns0:t>c</ns0:t>
        </ns0:is>
      </ns0:c>
      <ns0:c r="C628" s="10" t="inlineStr">
        <ns0:is>
          <ns0:t>지령의 두 섬을 울릉도 한 섬으로 합치기 때문에</ns0:t>
        </ns0:is>
      </ns0:c>
      <ns0:c r="D628" s="10" t="n">
        <ns0:v>0</ns0:v>
      </ns0:c>
      <ns0:c r="E628" s="10" t="inlineStr">
        <ns0:is>
          <ns0:t>해설은 울릉도와 독도를 구분해 대상에 두 섬이 포함됨을 설명해요.</ns0:t>
        </ns0:is>
      </ns0:c>
      <ns0:c r="F628" s="10" t="inlineStr">
        <ns0:is>
          <ns0:t>It merges the two islands in the directive into Ulleungdo alone</ns0:t>
        </ns0:is>
      </ns0:c>
      <ns0:c r="G628" s="10" t="inlineStr">
        <ns0:is>
          <ns0:t>The commentary distinguishes the two islands rather than merging them.</ns0:t>
        </ns0:is>
      </ns0:c>
    </ns0:row>
    <ns0:row r="629" ht="33" customHeight="1">
      <ns0:c r="A629" s="12" t="n">
        <ns0:v>920213</ns0:v>
      </ns0:c>
      <ns0:c r="B629" s="12" t="inlineStr">
        <ns0:is>
          <ns0:t>b</ns0:t>
        </ns0:is>
      </ns0:c>
      <ns0:c r="C629" s="12" t="inlineStr">
        <ns0:is>
          <ns0:t>지도</ns0:t>
        </ns0:is>
      </ns0:c>
      <ns0:c r="D629" s="12" t="n">
        <ns0:v>0</ns0:v>
      </ns0:c>
      <ns0:c r="E629" s="12" t="inlineStr">
        <ns0:is>
          <ns0:t>지도는 공간 관계를 그리는 자료이며 이 문서는 상황을 글로 보고해요.</ns0:t>
        </ns0:is>
      </ns0:c>
      <ns0:c r="F629" s="12" t="inlineStr">
        <ns0:is>
          <ns0:t>A map</ns0:t>
        </ns0:is>
      </ns0:c>
      <ns0:c r="G629" s="12" t="inlineStr">
        <ns0:is>
          <ns0:t>A map depicts spatial relationships; this document reports conditions in writing.</ns0:t>
        </ns0:is>
      </ns0:c>
    </ns0:row>
    <ns0:row r="630" ht="33" customHeight="1">
      <ns0:c r="A630" s="10" t="n">
        <ns0:v>920213</ns0:v>
      </ns0:c>
      <ns0:c r="B630" s="10" t="inlineStr">
        <ns0:is>
          <ns0:t>a</ns0:t>
        </ns0:is>
      </ns0:c>
      <ns0:c r="C630" s="10" t="inlineStr">
        <ns0:is>
          <ns0:t>보고서</ns0:t>
        </ns0:is>
      </ns0:c>
      <ns0:c r="D630" s="10" t="n">
        <ns0:v>1</ns0:v>
      </ns0:c>
      <ns0:c r="E630" s="10" t="inlineStr">
        <ns0:is>
          <ns0:t>현지 관리가 알아낸 상황을 상부에 전한 것이므로 보고서예요.</ns0:t>
        </ns0:is>
      </ns0:c>
      <ns0:c r="F630" s="10" t="inlineStr">
        <ns0:is>
          <ns0:t>A report</ns0:t>
        </ns0:is>
      </ns0:c>
      <ns0:c r="G630" s="10" t="inlineStr">
        <ns0:is>
          <ns0:t>It communicates local information to higher authorities.</ns0:t>
        </ns0:is>
      </ns0:c>
    </ns0:row>
    <ns0:row r="631" ht="33" customHeight="1">
      <ns0:c r="A631" s="12" t="n">
        <ns0:v>920213</ns0:v>
      </ns0:c>
      <ns0:c r="B631" s="12" t="inlineStr">
        <ns0:is>
          <ns0:t>c</ns0:t>
        </ns0:is>
      </ns0:c>
      <ns0:c r="C631" s="12" t="inlineStr">
        <ns0:is>
          <ns0:t>칙령</ns0:t>
        </ns0:is>
      </ns0:c>
      <ns0:c r="D631" s="12" t="n">
        <ns0:v>0</ns0:v>
      </ns0:c>
      <ns0:c r="E631" s="12" t="inlineStr">
        <ns0:is>
          <ns0:t>칙령은 황제의 명령이고 심흥택의 현지 보고와 달라요.</ns0:t>
        </ns0:is>
      </ns0:c>
      <ns0:c r="F631" s="12" t="inlineStr">
        <ns0:is>
          <ns0:t>An imperial decree</ns0:t>
        </ns0:is>
      </ns0:c>
      <ns0:c r="G631" s="12" t="inlineStr">
        <ns0:is>
          <ns0:t>An imperial decree is an emperor’s order, not the local official’s report.</ns0:t>
        </ns0:is>
      </ns0:c>
    </ns0:row>
    <ns0:row r="632" ht="33" customHeight="1">
      <ns0:c r="A632" s="10" t="n">
        <ns0:v>920214</ns0:v>
      </ns0:c>
      <ns0:c r="B632" s="10" t="inlineStr">
        <ns0:is>
          <ns0:t>b</ns0:t>
        </ns0:is>
      </ns0:c>
      <ns0:c r="C632" s="10" t="inlineStr">
        <ns0:is>
          <ns0:t>개인의 여행 일기</ns0:t>
        </ns0:is>
      </ns0:c>
      <ns0:c r="D632" s="10" t="n">
        <ns0:v>0</ns0:v>
      </ns0:c>
      <ns0:c r="E632" s="10" t="inlineStr">
        <ns0:is>
          <ns0:t>칙령은 개인 감상이 아니라 국가의 공식 명령이에요.</ns0:t>
        </ns0:is>
      </ns0:c>
      <ns0:c r="F632" s="10" t="inlineStr">
        <ns0:is>
          <ns0:t>A private travel diary</ns0:t>
        </ns0:is>
      </ns0:c>
      <ns0:c r="G632" s="10" t="inlineStr">
        <ns0:is>
          <ns0:t>It is an official order rather than personal impressions.</ns0:t>
        </ns0:is>
      </ns0:c>
    </ns0:row>
    <ns0:row r="633" ht="33" customHeight="1">
      <ns0:c r="A633" s="12" t="n">
        <ns0:v>920214</ns0:v>
      </ns0:c>
      <ns0:c r="B633" s="12" t="inlineStr">
        <ns0:is>
          <ns0:t>c</ns0:t>
        </ns0:is>
      </ns0:c>
      <ns0:c r="C633" s="12" t="inlineStr">
        <ns0:is>
          <ns0:t>바위의 위치를 그린 약도</ns0:t>
        </ns0:is>
      </ns0:c>
      <ns0:c r="D633" s="12" t="n">
        <ns0:v>0</ns0:v>
      </ns0:c>
      <ns0:c r="E633" s="12" t="inlineStr">
        <ns0:is>
          <ns0:t>공간을 그린 약도가 아니라 행정 내용을 정한 문서예요.</ns0:t>
        </ns0:is>
      </ns0:c>
      <ns0:c r="F633" s="12" t="inlineStr">
        <ns0:is>
          <ns0:t>A sketch map of rocks</ns0:t>
        </ns0:is>
      </ns0:c>
      <ns0:c r="G633" s="12" t="inlineStr">
        <ns0:is>
          <ns0:t>It sets administrative provisions rather than sketching locations.</ns0:t>
        </ns0:is>
      </ns0:c>
    </ns0:row>
    <ns0:row r="634" ht="33" customHeight="1">
      <ns0:c r="A634" s="10" t="n">
        <ns0:v>920214</ns0:v>
      </ns0:c>
      <ns0:c r="B634" s="10" t="inlineStr">
        <ns0:is>
          <ns0:t>a</ns0:t>
        </ns0:is>
      </ns0:c>
      <ns0:c r="C634" s="10" t="inlineStr">
        <ns0:is>
          <ns0:t>황제의 명령문</ns0:t>
        </ns0:is>
      </ns0:c>
      <ns0:c r="D634" s="10" t="n">
        <ns0:v>1</ns0:v>
      </ns0:c>
      <ns0:c r="E634" s="10" t="inlineStr">
        <ns0:is>
          <ns0:t>칙령은 행정 사항 등을 정하는 황제의 명령이에요.</ns0:t>
        </ns0:is>
      </ns0:c>
      <ns0:c r="F634" s="10" t="inlineStr">
        <ns0:is>
          <ns0:t>An imperial order</ns0:t>
        </ns0:is>
      </ns0:c>
      <ns0:c r="G634" s="10" t="inlineStr">
        <ns0:is>
          <ns0:t>A decree is an order issued by the emperor.</ns0:t>
        </ns0:is>
      </ns0:c>
    </ns0:row>
    <ns0:row r="635" ht="33" customHeight="1">
      <ns0:c r="A635" s="12" t="n">
        <ns0:v>920215</ns0:v>
      </ns0:c>
      <ns0:c r="B635" s="12" t="inlineStr">
        <ns0:is>
          <ns0:t>a</ns0:t>
        </ns0:is>
      </ns0:c>
      <ns0:c r="C635" s="12" t="inlineStr">
        <ns0:is>
          <ns0:t>칙령 제41호·지령 제3호</ns0:t>
        </ns0:is>
      </ns0:c>
      <ns0:c r="D635" s="12" t="n">
        <ns0:v>1</ns0:v>
      </ns0:c>
      <ns0:c r="E635" s="12" t="inlineStr">
        <ns0:is>
          <ns0:t>두 문서는 각각 행정 개편과 조사·보고를 명령하는 내용을 담아요.</ns0:t>
        </ns0:is>
      </ns0:c>
      <ns0:c r="F635" s="12" t="inlineStr">
        <ns0:is>
          <ns0:t>Decree No. 41 and Directive No. 3</ns0:t>
        </ns0:is>
      </ns0:c>
      <ns0:c r="G635" s="12" t="inlineStr">
        <ns0:is>
          <ns0:t>Both set out instructions: reorganisation and further investigation/reporting.</ns0:t>
        </ns0:is>
      </ns0:c>
    </ns0:row>
    <ns0:row r="636" ht="33" customHeight="1">
      <ns0:c r="A636" s="10" t="n">
        <ns0:v>920215</ns0:v>
      </ns0:c>
      <ns0:c r="B636" s="10" t="inlineStr">
        <ns0:is>
          <ns0:t>b</ns0:t>
        </ns0:is>
      </ns0:c>
      <ns0:c r="C636" s="10" t="inlineStr">
        <ns0:is>
          <ns0:t>기죽도약도·시설 위치도</ns0:t>
        </ns0:is>
      </ns0:c>
      <ns0:c r="D636" s="10" t="n">
        <ns0:v>0</ns0:v>
      </ns0:c>
      <ns0:c r="E636" s="10" t="inlineStr">
        <ns0:is>
          <ns0:t>둘은 지도에 해당하며 명령문과 종류가 달라요.</ns0:t>
        </ns0:is>
      </ns0:c>
      <ns0:c r="F636" s="10" t="inlineStr">
        <ns0:is>
          <ns0:t>Kijukudo-yakdo and a facility map</ns0:t>
        </ns0:is>
      </ns0:c>
      <ns0:c r="G636" s="10" t="inlineStr">
        <ns0:is>
          <ns0:t>These are maps rather than orders.</ns0:t>
        </ns0:is>
      </ns0:c>
    </ns0:row>
    <ns0:row r="637" ht="33" customHeight="1">
      <ns0:c r="A637" s="12" t="n">
        <ns0:v>920215</ns0:v>
      </ns0:c>
      <ns0:c r="B637" s="12" t="inlineStr">
        <ns0:is>
          <ns0:t>c</ns0:t>
        </ns0:is>
      </ns0:c>
      <ns0:c r="C637" s="12" t="inlineStr">
        <ns0:is>
          <ns0:t>심흥택 보고서·여행자의 일기</ns0:t>
        </ns0:is>
      </ns0:c>
      <ns0:c r="D637" s="12" t="n">
        <ns0:v>0</ns0:v>
      </ns0:c>
      <ns0:c r="E637" s="12" t="inlineStr">
        <ns0:is>
          <ns0:t>보고와 일기는 내용을 기록하는 자료이며 두 항목 모두 명령문은 아니에요.</ns0:t>
        </ns0:is>
      </ns0:c>
      <ns0:c r="F637" s="12" t="inlineStr">
        <ns0:is>
          <ns0:t>Shim’s report and a traveller’s diary</ns0:t>
        </ns0:is>
      </ns0:c>
      <ns0:c r="G637" s="12" t="inlineStr">
        <ns0:is>
          <ns0:t>These record information; they are not both orders.</ns0:t>
        </ns0:is>
      </ns0:c>
    </ns0:row>
    <ns0:row r="638" ht="38" customHeight="1">
      <ns0:c r="A638" s="10" t="n">
        <ns0:v>920216</ns0:v>
      </ns0:c>
      <ns0:c r="B638" s="10" t="inlineStr">
        <ns0:is>
          <ns0:t>b</ns0:t>
        </ns0:is>
      </ns0:c>
      <ns0:c r="C638" s="10" t="inlineStr">
        <ns0:is>
          <ns0:t>칙령을 현지 목격담, 보고서를 황제 명령으로 바꿔 읽기</ns0:t>
        </ns0:is>
      </ns0:c>
      <ns0:c r="D638" s="10" t="n">
        <ns0:v>0</ns0:v>
      </ns0:c>
      <ns0:c r="E638" s="10" t="inlineStr">
        <ns0:is>
          <ns0:t>문서의 역할을 뒤바꾸면 무엇을 근거로 삼는지 달라져요.</ns0:t>
        </ns0:is>
      </ns0:c>
      <ns0:c r="F638" s="10" t="inlineStr">
        <ns0:is>
          <ns0:t>Read the decree as an eyewitness account and the report as an imperial order</ns0:t>
        </ns0:is>
      </ns0:c>
      <ns0:c r="G638" s="10" t="inlineStr">
        <ns0:is>
          <ns0:t>Swapping the roles misrepresents the evidence.</ns0:t>
        </ns0:is>
      </ns0:c>
    </ns0:row>
    <ns0:row r="639" ht="38" customHeight="1">
      <ns0:c r="A639" s="12" t="n">
        <ns0:v>920216</ns0:v>
      </ns0:c>
      <ns0:c r="B639" s="12" t="inlineStr">
        <ns0:is>
          <ns0:t>a</ns0:t>
        </ns0:is>
      </ns0:c>
      <ns0:c r="C639" s="12" t="inlineStr">
        <ns0:is>
          <ns0:t>칙령이 정한 행정 내용과 보고서의 현지 상황</ns0:t>
        </ns0:is>
      </ns0:c>
      <ns0:c r="D639" s="12" t="n">
        <ns0:v>1</ns0:v>
      </ns0:c>
      <ns0:c r="E639" s="12" t="inlineStr">
        <ns0:is>
          <ns0:t>명령과 보고가 맡은 역할을 구분해 연결한 답이에요.</ns0:t>
        </ns0:is>
      </ns0:c>
      <ns0:c r="F639" s="12" t="inlineStr">
        <ns0:is>
          <ns0:t>The decree’s provisions and the report’s local information</ns0:t>
        </ns0:is>
      </ns0:c>
      <ns0:c r="G639" s="12" t="inlineStr">
        <ns0:is>
          <ns0:t>This correctly combines the distinct functions of order and report.</ns0:t>
        </ns0:is>
      </ns0:c>
    </ns0:row>
    <ns0:row r="640" ht="33" customHeight="1">
      <ns0:c r="A640" s="10" t="n">
        <ns0:v>920216</ns0:v>
      </ns0:c>
      <ns0:c r="B640" s="10" t="inlineStr">
        <ns0:is>
          <ns0:t>c</ns0:t>
        </ns0:is>
      </ns0:c>
      <ns0:c r="C640" s="10" t="inlineStr">
        <ns0:is>
          <ns0:t>작성 시기를 지우고 한 문서로 합쳐 읽기</ns0:t>
        </ns0:is>
      </ns0:c>
      <ns0:c r="D640" s="10" t="n">
        <ns0:v>0</ns0:v>
      </ns0:c>
      <ns0:c r="E640" s="10" t="inlineStr">
        <ns0:is>
          <ns0:t>서로 다른 때의 자료이므로 각각의 시기와 역할을 보존해야 해요.</ns0:t>
        </ns0:is>
      </ns0:c>
      <ns0:c r="F640" s="10" t="inlineStr">
        <ns0:is>
          <ns0:t>Remove the dates and read them as one document</ns0:t>
        </ns0:is>
      </ns0:c>
      <ns0:c r="G640" s="10" t="inlineStr">
        <ns0:is>
          <ns0:t>The distinct dates and roles must be retained.</ns0:t>
        </ns0:is>
      </ns0:c>
    </ns0:row>
    <ns0:row r="641" ht="33" customHeight="1">
      <ns0:c r="A641" s="12" t="n">
        <ns0:v>920217</ns0:v>
      </ns0:c>
      <ns0:c r="B641" s="12" t="inlineStr">
        <ns0:is>
          <ns0:t>b</ns0:t>
        </ns0:is>
      </ns0:c>
      <ns0:c r="C641" s="12" t="inlineStr">
        <ns0:is>
          <ns0:t>내무성</ns0:t>
        </ns0:is>
      </ns0:c>
      <ns0:c r="D641" s="12" t="n">
        <ns0:v>0</ns0:v>
      </ns0:c>
      <ns0:c r="E641" s="12" t="inlineStr">
        <ns0:is>
          <ns0:t>내무성은 질의하고 지시를 받은 쪽이며 태정관과 역할이 달라요.</ns0:t>
        </ns0:is>
      </ns0:c>
      <ns0:c r="F641" s="12" t="inlineStr">
        <ns0:is>
          <ns0:t>The Home Ministry</ns0:t>
        </ns0:is>
      </ns0:c>
      <ns0:c r="G641" s="12" t="inlineStr">
        <ns0:is>
          <ns0:t>The Home Ministry submitted the inquiry and received the instruction.</ns0:t>
        </ns0:is>
      </ns0:c>
    </ns0:row>
    <ns0:row r="642" ht="33" customHeight="1">
      <ns0:c r="A642" s="10" t="n">
        <ns0:v>920217</ns0:v>
      </ns0:c>
      <ns0:c r="B642" s="10" t="inlineStr">
        <ns0:is>
          <ns0:t>c</ns0:t>
        </ns0:is>
      </ns0:c>
      <ns0:c r="C642" s="10" t="inlineStr">
        <ns0:is>
          <ns0:t>시마네현</ns0:t>
        </ns0:is>
      </ns0:c>
      <ns0:c r="D642" s="10" t="n">
        <ns0:v>0</ns0:v>
      </ns0:c>
      <ns0:c r="E642" s="10" t="inlineStr">
        <ns0:is>
          <ns0:t>태정관지령의 최종 지시 기관은 지방 현이 아니라 태정관이에요.</ns0:t>
        </ns0:is>
      </ns0:c>
      <ns0:c r="F642" s="10" t="inlineStr">
        <ns0:is>
          <ns0:t>Shimane Prefecture</ns0:t>
        </ns0:is>
      </ns0:c>
      <ns0:c r="G642" s="10" t="inlineStr">
        <ns0:is>
          <ns0:t>The issuing authority here is the Dajokan, not a prefecture.</ns0:t>
        </ns0:is>
      </ns0:c>
    </ns0:row>
    <ns0:row r="643" ht="33" customHeight="1">
      <ns0:c r="A643" s="12" t="n">
        <ns0:v>920217</ns0:v>
      </ns0:c>
      <ns0:c r="B643" s="12" t="inlineStr">
        <ns0:is>
          <ns0:t>a</ns0:t>
        </ns0:is>
      </ns0:c>
      <ns0:c r="C643" s="12" t="inlineStr">
        <ns0:is>
          <ns0:t>태정관</ns0:t>
        </ns0:is>
      </ns0:c>
      <ns0:c r="D643" s="12" t="n">
        <ns0:v>1</ns0:v>
      </ns0:c>
      <ns0:c r="E643" s="12" t="inlineStr">
        <ns0:is>
          <ns0:t>당시 일본 최고 행정기관으로 지시를 내린 쪽이에요.</ns0:t>
        </ns0:is>
      </ns0:c>
      <ns0:c r="F643" s="12" t="inlineStr">
        <ns0:is>
          <ns0:t>The Dajokan</ns0:t>
        </ns0:is>
      </ns0:c>
      <ns0:c r="G643" s="12" t="inlineStr">
        <ns0:is>
          <ns0:t>It was the highest Japanese administrative body issuing the instruction.</ns0:t>
        </ns0:is>
      </ns0:c>
    </ns0:row>
    <ns0:row r="644" ht="33" customHeight="1">
      <ns0:c r="A644" s="10" t="n">
        <ns0:v>920218</ns0:v>
      </ns0:c>
      <ns0:c r="B644" s="10" t="inlineStr">
        <ns0:is>
          <ns0:t>a</ns0:t>
        </ns0:is>
      </ns0:c>
      <ns0:c r="C644" s="10" t="inlineStr">
        <ns0:is>
          <ns0:t>내무성</ns0:t>
        </ns0:is>
      </ns0:c>
      <ns0:c r="D644" s="10" t="n">
        <ns0:v>1</ns0:v>
      </ns0:c>
      <ns0:c r="E644" s="10" t="inlineStr">
        <ns0:is>
          <ns0:t>토지 기록 관련 질의를 올린 일본 중앙 기관은 내무성이에요.</ns0:t>
        </ns0:is>
      </ns0:c>
      <ns0:c r="F644" s="10" t="inlineStr">
        <ns0:is>
          <ns0:t>The Home Ministry</ns0:t>
        </ns0:is>
      </ns0:c>
      <ns0:c r="G644" s="10" t="inlineStr">
        <ns0:is>
          <ns0:t>Japan’s Home Ministry submitted the land-record inquiry.</ns0:t>
        </ns0:is>
      </ns0:c>
    </ns0:row>
    <ns0:row r="645" ht="33" customHeight="1">
      <ns0:c r="A645" s="12" t="n">
        <ns0:v>920218</ns0:v>
      </ns0:c>
      <ns0:c r="B645" s="12" t="inlineStr">
        <ns0:is>
          <ns0:t>b</ns0:t>
        </ns0:is>
      </ns0:c>
      <ns0:c r="C645" s="12" t="inlineStr">
        <ns0:is>
          <ns0:t>태정관</ns0:t>
        </ns0:is>
      </ns0:c>
      <ns0:c r="D645" s="12" t="n">
        <ns0:v>0</ns0:v>
      </ns0:c>
      <ns0:c r="E645" s="12" t="inlineStr">
        <ns0:is>
          <ns0:t>태정관은 질의를 받은 뒤 답하는 지시를 내린 기관이에요.</ns0:t>
        </ns0:is>
      </ns0:c>
      <ns0:c r="F645" s="12" t="inlineStr">
        <ns0:is>
          <ns0:t>The Dajokan</ns0:t>
        </ns0:is>
      </ns0:c>
      <ns0:c r="G645" s="12" t="inlineStr">
        <ns0:is>
          <ns0:t>The Dajokan received the inquiry and issued the instruction.</ns0:t>
        </ns0:is>
      </ns0:c>
    </ns0:row>
    <ns0:row r="646" ht="38" customHeight="1">
      <ns0:c r="A646" s="10" t="n">
        <ns0:v>920218</ns0:v>
      </ns0:c>
      <ns0:c r="B646" s="10" t="inlineStr">
        <ns0:is>
          <ns0:t>c</ns0:t>
        </ns0:is>
      </ns0:c>
      <ns0:c r="C646" s="10" t="inlineStr">
        <ns0:is>
          <ns0:t>외무성</ns0:t>
        </ns0:is>
      </ns0:c>
      <ns0:c r="D646" s="10" t="n">
        <ns0:v>0</ns0:v>
      </ns0:c>
      <ns0:c r="E646" s="10" t="inlineStr">
        <ns0:is>
          <ns0:t>이 질의의 담당 기관은 외무성이 아니라 내무성으로 소개돼요.</ns0:t>
        </ns0:is>
      </ns0:c>
      <ns0:c r="F646" s="10" t="inlineStr">
        <ns0:is>
          <ns0:t>The Foreign Ministry</ns0:t>
        </ns0:is>
      </ns0:c>
      <ns0:c r="G646" s="10" t="inlineStr">
        <ns0:is>
          <ns0:t>The institution for this inquiry is identified as the Home Ministry, not the Foreign Ministry.</ns0:t>
        </ns0:is>
      </ns0:c>
    </ns0:row>
    <ns0:row r="647" ht="33" customHeight="1">
      <ns0:c r="A647" s="12" t="n">
        <ns0:v>920219</ns0:v>
      </ns0:c>
      <ns0:c r="B647" s="12" t="inlineStr">
        <ns0:is>
          <ns0:t>b</ns0:t>
        </ns0:is>
      </ns0:c>
      <ns0:c r="C647" s="12" t="inlineStr">
        <ns0:is>
          <ns0:t>1877년 일본 태정관</ns0:t>
        </ns0:is>
      </ns0:c>
      <ns0:c r="D647" s="12" t="n">
        <ns0:v>0</ns0:v>
      </ns0:c>
      <ns0:c r="E647" s="12" t="inlineStr">
        <ns0:is>
          <ns0:t>태정관은 원문 지시를 내린 기관이지 현대 한국어 해설의 공개 기관이 아니에요.</ns0:t>
        </ns0:is>
      </ns0:c>
      <ns0:c r="F647" s="12" t="inlineStr">
        <ns0:is>
          <ns0:t>Japan’s Dajokan in 1877</ns0:t>
        </ns0:is>
      </ns0:c>
      <ns0:c r="G647" s="12" t="inlineStr">
        <ns0:is>
          <ns0:t>The Dajokan issued the original instruction, not the modern Korean commentary.</ns0:t>
        </ns0:is>
      </ns0:c>
    </ns0:row>
    <ns0:row r="648" ht="33" customHeight="1">
      <ns0:c r="A648" s="10" t="n">
        <ns0:v>920219</ns0:v>
      </ns0:c>
      <ns0:c r="B648" s="10" t="inlineStr">
        <ns0:is>
          <ns0:t>a</ns0:t>
        </ns0:is>
      </ns0:c>
      <ns0:c r="C648" s="10" t="inlineStr">
        <ns0:is>
          <ns0:t>대한민국 외교부</ns0:t>
        </ns0:is>
      </ns0:c>
      <ns0:c r="D648" s="10" t="n">
        <ns0:v>1</ns0:v>
      </ns0:c>
      <ns0:c r="E648" s="10" t="inlineStr">
        <ns0:is>
          <ns0:t>원문 작성자와 달리, 지금 읽는 역문·해설의 공개 기관은 대한민국 외교부예요.</ns0:t>
        </ns0:is>
      </ns0:c>
      <ns0:c r="F648" s="10" t="inlineStr">
        <ns0:is>
          <ns0:t>The ROK Ministry of Foreign Affairs</ns0:t>
        </ns0:is>
      </ns0:c>
      <ns0:c r="G648" s="10" t="inlineStr">
        <ns0:is>
          <ns0:t>The modern publisher is ROK MOFA, distinct from the historical author.</ns0:t>
        </ns0:is>
      </ns0:c>
    </ns0:row>
    <ns0:row r="649" ht="33" customHeight="1">
      <ns0:c r="A649" s="12" t="n">
        <ns0:v>920219</ns0:v>
      </ns0:c>
      <ns0:c r="B649" s="12" t="inlineStr">
        <ns0:is>
          <ns0:t>c</ns0:t>
        </ns0:is>
      </ns0:c>
      <ns0:c r="C649" s="12" t="inlineStr">
        <ns0:is>
          <ns0:t>1877년 일본 내무성</ns0:t>
        </ns0:is>
      </ns0:c>
      <ns0:c r="D649" s="12" t="n">
        <ns0:v>0</ns0:v>
      </ns0:c>
      <ns0:c r="E649" s="12" t="inlineStr">
        <ns0:is>
          <ns0:t>내무성은 당시 질의 기관이며 현대 자료 공개 기관과 구분해요.</ns0:t>
        </ns0:is>
      </ns0:c>
      <ns0:c r="F649" s="12" t="inlineStr">
        <ns0:is>
          <ns0:t>Japan’s Home Ministry in 1877</ns0:t>
        </ns0:is>
      </ns0:c>
      <ns0:c r="G649" s="12" t="inlineStr">
        <ns0:is>
          <ns0:t>The ministry submitted the historical inquiry; it is not the modern publisher.</ns0:t>
        </ns0:is>
      </ns0:c>
    </ns0:row>
    <ns0:row r="650" ht="38" customHeight="1">
      <ns0:c r="A650" s="10" t="n">
        <ns0:v>920220</ns0:v>
      </ns0:c>
      <ns0:c r="B650" s="10" t="inlineStr">
        <ns0:is>
          <ns0:t>b</ns0:t>
        </ns0:is>
      </ns0:c>
      <ns0:c r="C650" s="10" t="inlineStr">
        <ns0:is>
          <ns0:t>원문: 대한민국 외교부 / 역문: 일본 태정관</ns0:t>
        </ns0:is>
      </ns0:c>
      <ns0:c r="D650" s="10" t="n">
        <ns0:v>0</ns0:v>
      </ns0:c>
      <ns0:c r="E650" s="10" t="inlineStr">
        <ns0:is>
          <ns0:t>원문 작성자와 현대 공개 기관을 뒤바꿨어요.</ns0:t>
        </ns0:is>
      </ns0:c>
      <ns0:c r="F650" s="10" t="inlineStr">
        <ns0:is>
          <ns0:t>Original: ROK MOFA / translation: Japan’s Dajokan</ns0:t>
        </ns0:is>
      </ns0:c>
      <ns0:c r="G650" s="10" t="inlineStr">
        <ns0:is>
          <ns0:t>This reverses the historical author and modern publisher.</ns0:t>
        </ns0:is>
      </ns0:c>
    </ns0:row>
    <ns0:row r="651" ht="38" customHeight="1">
      <ns0:c r="A651" s="12" t="n">
        <ns0:v>920220</ns0:v>
      </ns0:c>
      <ns0:c r="B651" s="12" t="inlineStr">
        <ns0:is>
          <ns0:t>c</ns0:t>
        </ns0:is>
      </ns0:c>
      <ns0:c r="C651" s="12" t="inlineStr">
        <ns0:is>
          <ns0:t>원문과 현대 해설 모두 일본 내무성</ns0:t>
        </ns0:is>
      </ns0:c>
      <ns0:c r="D651" s="12" t="n">
        <ns0:v>0</ns0:v>
      </ns0:c>
      <ns0:c r="E651" s="12" t="inlineStr">
        <ns0:is>
          <ns0:t>내무성은 질의 기관이고 지시 작성자·현대 해설 기관과 같지 않아요.</ns0:t>
        </ns0:is>
      </ns0:c>
      <ns0:c r="F651" s="12" t="inlineStr">
        <ns0:is>
          <ns0:t>Both the original and modern commentary: Japan’s Home Ministry</ns0:t>
        </ns0:is>
      </ns0:c>
      <ns0:c r="G651" s="12" t="inlineStr">
        <ns0:is>
          <ns0:t>The Home Ministry was the inquirer, not both the author and modern commentator.</ns0:t>
        </ns0:is>
      </ns0:c>
    </ns0:row>
    <ns0:row r="652" ht="38" customHeight="1">
      <ns0:c r="A652" s="10" t="n">
        <ns0:v>920220</ns0:v>
      </ns0:c>
      <ns0:c r="B652" s="10" t="inlineStr">
        <ns0:is>
          <ns0:t>a</ns0:t>
        </ns0:is>
      </ns0:c>
      <ns0:c r="C652" s="10" t="inlineStr">
        <ns0:is>
          <ns0:t>원문: 일본 태정관 / 역문·해설: 대한민국 외교부</ns0:t>
        </ns0:is>
      </ns0:c>
      <ns0:c r="D652" s="10" t="n">
        <ns0:v>1</ns0:v>
      </ns0:c>
      <ns0:c r="E652" s="10" t="inlineStr">
        <ns0:is>
          <ns0:t>국가와 역할을 함께 밝히면 과거 지시와 현대 해석의 주체가 분명해져요.</ns0:t>
        </ns0:is>
      </ns0:c>
      <ns0:c r="F652" s="10" t="inlineStr">
        <ns0:is>
          <ns0:t>Original: Japan’s Dajokan / translation and commentary: ROK MOFA</ns0:t>
        </ns0:is>
      </ns0:c>
      <ns0:c r="G652" s="10" t="inlineStr">
        <ns0:is>
          <ns0:t>Giving both country and role distinguishes the historical instruction from modern interpretation.</ns0:t>
        </ns0:is>
      </ns0:c>
    </ns0:row>
    <ns0:row r="653" ht="33" customHeight="1">
      <ns0:c r="A653" s="12" t="n">
        <ns0:v>920221</ns0:v>
      </ns0:c>
      <ns0:c r="B653" s="12" t="inlineStr">
        <ns0:is>
          <ns0:t>a</ns0:t>
        </ns0:is>
      </ns0:c>
      <ns0:c r="C653" s="12" t="inlineStr">
        <ns0:is>
          <ns0:t>파도가 높게 이는 상태</ns0:t>
        </ns0:is>
      </ns0:c>
      <ns0:c r="D653" s="12" t="n">
        <ns0:v>1</ns0:v>
      </ns0:c>
      <ns0:c r="E653" s="12" t="inlineStr">
        <ns0:is>
          <ns0:t>높은 파도는 선박의 안전한 접안과 하선에 영향을 줄 수 있어요.</ns0:t>
        </ns0:is>
      </ns0:c>
      <ns0:c r="F653" s="12" t="inlineStr">
        <ns0:is>
          <ns0:t>High waves</ns0:t>
        </ns0:is>
      </ns0:c>
      <ns0:c r="G653" s="12" t="inlineStr">
        <ns0:is>
          <ns0:t>High waves can interfere with safe docking and disembarkation.</ns0:t>
        </ns0:is>
      </ns0:c>
    </ns0:row>
    <ns0:row r="654" ht="38" customHeight="1">
      <ns0:c r="A654" s="10" t="n">
        <ns0:v>920221</ns0:v>
      </ns0:c>
      <ns0:c r="B654" s="10" t="inlineStr">
        <ns0:is>
          <ns0:t>b</ns0:t>
        </ns0:is>
      </ns0:c>
      <ns0:c r="C654" s="10" t="inlineStr">
        <ns0:is>
          <ns0:t>바람이 약하고 수면이 잔잔한 상태</ns0:t>
        </ns0:is>
      </ns0:c>
      <ns0:c r="D654" s="10" t="n">
        <ns0:v>0</ns0:v>
      </ns0:c>
      <ns0:c r="E654" s="10" t="inlineStr">
        <ns0:is>
          <ns0:t>이 조건은 높은 파도에 비해 접안에 유리하지만 실제 결정은 운항 안내를 따라요.</ns0:t>
        </ns0:is>
      </ns0:c>
      <ns0:c r="F654" s="10" t="inlineStr">
        <ns0:is>
          <ns0:t>Light wind and calm water</ns0:t>
        </ns0:is>
      </ns0:c>
      <ns0:c r="G654" s="10" t="inlineStr">
        <ns0:is>
          <ns0:t>These conditions are more favourable than high waves, though actual decisions follow operator guidance.</ns0:t>
        </ns0:is>
      </ns0:c>
    </ns0:row>
    <ns0:row r="655" ht="33" customHeight="1">
      <ns0:c r="A655" s="12" t="n">
        <ns0:v>920221</ns0:v>
      </ns0:c>
      <ns0:c r="B655" s="12" t="inlineStr">
        <ns0:is>
          <ns0:t>c</ns0:t>
        </ns0:is>
      </ns0:c>
      <ns0:c r="C655" s="12" t="inlineStr">
        <ns0:is>
          <ns0:t>파도가 거의 없는 상태</ns0:t>
        </ns0:is>
      </ns0:c>
      <ns0:c r="D655" s="12" t="n">
        <ns0:v>0</ns0:v>
      </ns0:c>
      <ns0:c r="E655" s="12" t="inlineStr">
        <ns0:is>
          <ns0:t>파도가 거의 없다는 것 자체는 높은 파도로 인한 접안 곤란의 원인이 아니에요.</ns0:t>
        </ns0:is>
      </ns0:c>
      <ns0:c r="F655" s="12" t="inlineStr">
        <ns0:is>
          <ns0:t>Almost no waves</ns0:t>
        </ns0:is>
      </ns0:c>
      <ns0:c r="G655" s="12" t="inlineStr">
        <ns0:is>
          <ns0:t>Almost no wave action is not the high-wave condition described.</ns0:t>
        </ns0:is>
      </ns0:c>
    </ns0:row>
    <ns0:row r="656" ht="33" customHeight="1">
      <ns0:c r="A656" s="10" t="n">
        <ns0:v>920222</ns0:v>
      </ns0:c>
      <ns0:c r="B656" s="10" t="inlineStr">
        <ns0:is>
          <ns0:t>b</ns0:t>
        </ns0:is>
      </ns0:c>
      <ns0:c r="C656" s="10" t="inlineStr">
        <ns0:is>
          <ns0:t>도착하면 하선이 늘 보장되기 때문에</ns0:t>
        </ns0:is>
      </ns0:c>
      <ns0:c r="D656" s="10" t="n">
        <ns0:v>0</ns0:v>
      </ns0:c>
      <ns0:c r="E656" s="10" t="inlineStr">
        <ns0:is>
          <ns0:t>도착해도 안전 조건에 따라 하선이 제한될 수 있어요.</ns0:t>
        </ns0:is>
      </ns0:c>
      <ns0:c r="F656" s="10" t="inlineStr">
        <ns0:is>
          <ns0:t>Arrival always guarantees disembarkation.</ns0:t>
        </ns0:is>
      </ns0:c>
      <ns0:c r="G656" s="10" t="inlineStr">
        <ns0:is>
          <ns0:t>Disembarkation can still be restricted after arrival.</ns0:t>
        </ns0:is>
      </ns0:c>
    </ns0:row>
    <ns0:row r="657" ht="33" customHeight="1">
      <ns0:c r="A657" s="12" t="n">
        <ns0:v>920222</ns0:v>
      </ns0:c>
      <ns0:c r="B657" s="12" t="inlineStr">
        <ns0:is>
          <ns0:t>a</ns0:t>
        </ns0:is>
      </ns0:c>
      <ns0:c r="C657" s="12" t="inlineStr">
        <ns0:is>
          <ns0:t>날씨와 파도로 접안이 어려울 수 있어서</ns0:t>
        </ns0:is>
      </ns0:c>
      <ns0:c r="D657" s="12" t="n">
        <ns0:v>1</ns0:v>
      </ns0:c>
      <ns0:c r="E657" s="12" t="inlineStr">
        <ns0:is>
          <ns0:t>승선권 보유와 당일 접안 안전 판단은 별개예요.</ns0:t>
        </ns0:is>
      </ns0:c>
      <ns0:c r="F657" s="12" t="inlineStr">
        <ns0:is>
          <ns0:t>Weather and waves can prevent docking.</ns0:t>
        </ns0:is>
      </ns0:c>
      <ns0:c r="G657" s="12" t="inlineStr">
        <ns0:is>
          <ns0:t>Having a ticket and having safe docking conditions are separate.</ns0:t>
        </ns0:is>
      </ns0:c>
    </ns0:row>
    <ns0:row r="658" ht="33" customHeight="1">
      <ns0:c r="A658" s="10" t="n">
        <ns0:v>920222</ns0:v>
      </ns0:c>
      <ns0:c r="B658" s="10" t="inlineStr">
        <ns0:is>
          <ns0:t>c</ns0:t>
        </ns0:is>
      </ns0:c>
      <ns0:c r="C658" s="10" t="inlineStr">
        <ns0:is>
          <ns0:t>전날 입도 여부가 오늘을 보장하기 때문에</ns0:t>
        </ns0:is>
      </ns0:c>
      <ns0:c r="D658" s="10" t="n">
        <ns0:v>0</ns0:v>
      </ns0:c>
      <ns0:c r="E658" s="10" t="inlineStr">
        <ns0:is>
          <ns0:t>바다 상태는 날마다 달라질 수 있어 오늘 조건을 확인해야 해요.</ns0:t>
        </ns0:is>
      </ns0:c>
      <ns0:c r="F658" s="10" t="inlineStr">
        <ns0:is>
          <ns0:t>Yesterday’s landing guarantees today’s.</ns0:t>
        </ns0:is>
      </ns0:c>
      <ns0:c r="G658" s="10" t="inlineStr">
        <ns0:is>
          <ns0:t>Conditions may change, so today’s situation must be checked.</ns0:t>
        </ns0:is>
      </ns0:c>
    </ns0:row>
    <ns0:row r="659" ht="33" customHeight="1">
      <ns0:c r="A659" s="12" t="n">
        <ns0:v>920223</ns0:v>
      </ns0:c>
      <ns0:c r="B659" s="12" t="inlineStr">
        <ns0:is>
          <ns0:t>b</ns0:t>
        </ns0:is>
      </ns0:c>
      <ns0:c r="C659" s="12" t="inlineStr">
        <ns0:is>
          <ns0:t>표를 사면 파도와 무관하게 입도 가능</ns0:t>
        </ns0:is>
      </ns0:c>
      <ns0:c r="D659" s="12" t="n">
        <ns0:v>0</ns0:v>
      </ns0:c>
      <ns0:c r="E659" s="12" t="inlineStr">
        <ns0:is>
          <ns0:t>자료에서 기상에 따른 입도 제한을 명시하므로 보장할 수 없어요.</ns0:t>
        </ns0:is>
      </ns0:c>
      <ns0:c r="F659" s="12" t="inlineStr">
        <ns0:is>
          <ns0:t>A ticket guarantees landing regardless of waves</ns0:t>
        </ns0:is>
      </ns0:c>
      <ns0:c r="G659" s="12" t="inlineStr">
        <ns0:is>
          <ns0:t>The notice explicitly allows weather-related restrictions.</ns0:t>
        </ns0:is>
      </ns0:c>
    </ns0:row>
    <ns0:row r="660" ht="33" customHeight="1">
      <ns0:c r="A660" s="10" t="n">
        <ns0:v>920223</ns0:v>
      </ns0:c>
      <ns0:c r="B660" s="10" t="inlineStr">
        <ns0:is>
          <ns0:t>c</ns0:t>
        </ns0:is>
      </ns0:c>
      <ns0:c r="C660" s="10" t="inlineStr">
        <ns0:is>
          <ns0:t>입도 여부는 전날 사진으로 확정</ns0:t>
        </ns0:is>
      </ns0:c>
      <ns0:c r="D660" s="10" t="n">
        <ns0:v>0</ns0:v>
      </ns0:c>
      <ns0:c r="E660" s="10" t="inlineStr">
        <ns0:is>
          <ns0:t>과거 사진으로 당일 운항·접안 안전을 확정할 수 없어요.</ns0:t>
        </ns0:is>
      </ns0:c>
      <ns0:c r="F660" s="10" t="inlineStr">
        <ns0:is>
          <ns0:t>Yesterday’s photo determines today’s landing</ns0:t>
        </ns0:is>
      </ns0:c>
      <ns0:c r="G660" s="10" t="inlineStr">
        <ns0:is>
          <ns0:t>A previous photo cannot establish present berthing safety.</ns0:t>
        </ns0:is>
      </ns0:c>
    </ns0:row>
    <ns0:row r="661" ht="38" customHeight="1">
      <ns0:c r="A661" s="12" t="n">
        <ns0:v>920223</ns0:v>
      </ns0:c>
      <ns0:c r="B661" s="12" t="inlineStr">
        <ns0:is>
          <ns0:t>a</ns0:t>
        </ns0:is>
      </ns0:c>
      <ns0:c r="C661" s="12" t="inlineStr">
        <ns0:is>
          <ns0:t>당일 기상에 따라 입도가 취소될 수 있음</ns0:t>
        </ns0:is>
      </ns0:c>
      <ns0:c r="D661" s="12" t="n">
        <ns0:v>1</ns0:v>
      </ns0:c>
      <ns0:c r="E661" s="12" t="inlineStr">
        <ns0:is>
          <ns0:t>자료의 제한 가능성을 여행 계획에 반영해야 해요.</ns0:t>
        </ns0:is>
      </ns0:c>
      <ns0:c r="F661" s="12" t="inlineStr">
        <ns0:is>
          <ns0:t>Landing may be cancelled due to that day’s conditions</ns0:t>
        </ns0:is>
      </ns0:c>
      <ns0:c r="G661" s="12" t="inlineStr">
        <ns0:is>
          <ns0:t>The plan should account for the stated possibility of restrictions.</ns0:t>
        </ns0:is>
      </ns0:c>
    </ns0:row>
    <ns0:row r="662" ht="38" customHeight="1">
      <ns0:c r="A662" s="10" t="n">
        <ns0:v>920224</ns0:v>
      </ns0:c>
      <ns0:c r="B662" s="10" t="inlineStr">
        <ns0:is>
          <ns0:t>a</ns0:t>
        </ns0:is>
      </ns0:c>
      <ns0:c r="C662" s="10" t="inlineStr">
        <ns0:is>
          <ns0:t>당일 선사·관할 기관의 운항과 입도 안내</ns0:t>
        </ns0:is>
      </ns0:c>
      <ns0:c r="D662" s="10" t="n">
        <ns0:v>1</ns0:v>
      </ns0:c>
      <ns0:c r="E662" s="10" t="inlineStr">
        <ns0:is>
          <ns0:t>실시간에 가까운 안전·운항 안내가 실제 방문 판단에 필요해요.</ns0:t>
        </ns0:is>
      </ns0:c>
      <ns0:c r="F662" s="10" t="inlineStr">
        <ns0:is>
          <ns0:t>Current operator and authority notices on sailing and landing</ns0:t>
        </ns0:is>
      </ns0:c>
      <ns0:c r="G662" s="10" t="inlineStr">
        <ns0:is>
          <ns0:t>Current safety and service information is needed for an actual visit.</ns0:t>
        </ns0:is>
      </ns0:c>
    </ns0:row>
    <ns0:row r="663" ht="33" customHeight="1">
      <ns0:c r="A663" s="12" t="n">
        <ns0:v>920224</ns0:v>
      </ns0:c>
      <ns0:c r="B663" s="12" t="inlineStr">
        <ns0:is>
          <ns0:t>b</ns0:t>
        </ns0:is>
      </ns0:c>
      <ns0:c r="C663" s="12" t="inlineStr">
        <ns0:is>
          <ns0:t>몇 년 전 맑은 날의 여행 사진</ns0:t>
        </ns0:is>
      </ns0:c>
      <ns0:c r="D663" s="12" t="n">
        <ns0:v>0</ns0:v>
      </ns0:c>
      <ns0:c r="E663" s="12" t="inlineStr">
        <ns0:is>
          <ns0:t>사진은 당시 모습이며 오늘의 접안 가능성을 알려주지 않아요.</ns0:t>
        </ns0:is>
      </ns0:c>
      <ns0:c r="F663" s="12" t="inlineStr">
        <ns0:is>
          <ns0:t>Travel photos from a clear day years ago</ns0:t>
        </ns0:is>
      </ns0:c>
      <ns0:c r="G663" s="12" t="inlineStr">
        <ns0:is>
          <ns0:t>Historical photos do not establish today’s docking conditions.</ns0:t>
        </ns0:is>
      </ns0:c>
    </ns0:row>
    <ns0:row r="664" ht="33" customHeight="1">
      <ns0:c r="A664" s="10" t="n">
        <ns0:v>920224</ns0:v>
      </ns0:c>
      <ns0:c r="B664" s="10" t="inlineStr">
        <ns0:is>
          <ns0:t>c</ns0:t>
        </ns0:is>
      </ns0:c>
      <ns0:c r="C664" s="10" t="inlineStr">
        <ns0:is>
          <ns0:t>연평균 기온만</ns0:t>
        </ns0:is>
      </ns0:c>
      <ns0:c r="D664" s="10" t="n">
        <ns0:v>0</ns0:v>
      </ns0:c>
      <ns0:c r="E664" s="10" t="inlineStr">
        <ns0:is>
          <ns0:t>장기 평균은 당일 바람·파도와 실제 운항 안내를 대신하지 못해요.</ns0:t>
        </ns0:is>
      </ns0:c>
      <ns0:c r="F664" s="10" t="inlineStr">
        <ns0:is>
          <ns0:t>Only the annual mean temperature</ns0:t>
        </ns0:is>
      </ns0:c>
      <ns0:c r="G664" s="10" t="inlineStr">
        <ns0:is>
          <ns0:t>A long-term average cannot replace current wind, wave and service information.</ns0:t>
        </ns0:is>
      </ns0:c>
    </ns0:row>
    <ns0:row r="665" ht="33" customHeight="1">
      <ns0:c r="A665" s="12" t="n">
        <ns0:v>920225</ns0:v>
      </ns0:c>
      <ns0:c r="B665" s="12" t="inlineStr">
        <ns0:is>
          <ns0:t>b</ns0:t>
        </ns0:is>
      </ns0:c>
      <ns0:c r="C665" s="12" t="inlineStr">
        <ns0:is>
          <ns0:t>비</ns0:t>
        </ns0:is>
      </ns0:c>
      <ns0:c r="D665" s="12" t="n">
        <ns0:v>0</ns0:v>
      </ns0:c>
      <ns0:c r="E665" s="12" t="inlineStr">
        <ns0:is>
          <ns0:t>비도 강수이지만 이 지역 겨울철의 주된 형태는 눈으로 소개돼요.</ns0:t>
        </ns0:is>
      </ns0:c>
      <ns0:c r="F665" s="12" t="inlineStr">
        <ns0:is>
          <ns0:t>Rain</ns0:t>
        </ns0:is>
      </ns0:c>
      <ns0:c r="G665" s="12" t="inlineStr">
        <ns0:is>
          <ns0:t>Rain is precipitation too, but snow is identified as the main winter form.</ns0:t>
        </ns0:is>
      </ns0:c>
    </ns0:row>
    <ns0:row r="666" ht="33" customHeight="1">
      <ns0:c r="A666" s="10" t="n">
        <ns0:v>920225</ns0:v>
      </ns0:c>
      <ns0:c r="B666" s="10" t="inlineStr">
        <ns0:is>
          <ns0:t>a</ns0:t>
        </ns0:is>
      </ns0:c>
      <ns0:c r="C666" s="10" t="inlineStr">
        <ns0:is>
          <ns0:t>눈</ns0:t>
        </ns0:is>
      </ns0:c>
      <ns0:c r="D666" s="10" t="n">
        <ns0:v>1</ns0:v>
      </ns0:c>
      <ns0:c r="E666" s="10" t="inlineStr">
        <ns0:is>
          <ns0:t>지역 기후 안내는 겨울철 강수가 주로 눈의 형태라고 설명해요.</ns0:t>
        </ns0:is>
      </ns0:c>
      <ns0:c r="F666" s="10" t="inlineStr">
        <ns0:is>
          <ns0:t>Snow</ns0:t>
        </ns0:is>
      </ns0:c>
      <ns0:c r="G666" s="10" t="inlineStr">
        <ns0:is>
          <ns0:t>The regional climate account describes winter precipitation as mainly snow.</ns0:t>
        </ns0:is>
      </ns0:c>
    </ns0:row>
    <ns0:row r="667" ht="33" customHeight="1">
      <ns0:c r="A667" s="12" t="n">
        <ns0:v>920225</ns0:v>
      </ns0:c>
      <ns0:c r="B667" s="12" t="inlineStr">
        <ns0:is>
          <ns0:t>c</ns0:t>
        </ns0:is>
      </ns0:c>
      <ns0:c r="C667" s="12" t="inlineStr">
        <ns0:is>
          <ns0:t>우박</ns0:t>
        </ns0:is>
      </ns0:c>
      <ns0:c r="D667" s="12" t="n">
        <ns0:v>0</ns0:v>
      </ns0:c>
      <ns0:c r="E667" s="12" t="inlineStr">
        <ns0:is>
          <ns0:t>자료는 겨울 강수의 주된 형태를 우박이 아니라 눈으로 설명해요.</ns0:t>
        </ns0:is>
      </ns0:c>
      <ns0:c r="F667" s="12" t="inlineStr">
        <ns0:is>
          <ns0:t>Hail</ns0:t>
        </ns0:is>
      </ns0:c>
      <ns0:c r="G667" s="12" t="inlineStr">
        <ns0:is>
          <ns0:t>The account identifies snow, not hail, as predominant in winter.</ns0:t>
        </ns0:is>
      </ns0:c>
    </ns0:row>
    <ns0:row r="668" ht="38" customHeight="1">
      <ns0:c r="A668" s="10" t="n">
        <ns0:v>920225</ns0:v>
      </ns0:c>
      <ns0:c r="B668" s="10" t="inlineStr">
        <ns0:is>
          <ns0:t>d</ns0:t>
        </ns0:is>
      </ns0:c>
      <ns0:c r="C668" s="10" t="inlineStr">
        <ns0:is>
          <ns0:t>안개</ns0:t>
        </ns0:is>
      </ns0:c>
      <ns0:c r="D668" s="10" t="n">
        <ns0:v>0</ns0:v>
      </ns0:c>
      <ns0:c r="E668" s="10" t="inlineStr">
        <ns0:is>
          <ns0:t>안개가 잦다는 기후 특징은 있지만, 하늘에서 주로 내리는 겨울 강수의 답은 눈이에요.</ns0:t>
        </ns0:is>
      </ns0:c>
      <ns0:c r="F668" s="10" t="inlineStr">
        <ns0:is>
          <ns0:t>Fog</ns0:t>
        </ns0:is>
      </ns0:c>
      <ns0:c r="G668" s="10" t="inlineStr">
        <ns0:is>
          <ns0:t>Fog can be frequent, but the question asks about falling winter precipitation, identified as snow.</ns0:t>
        </ns0:is>
      </ns0:c>
    </ns0:row>
    <ns0:row r="669" ht="33" customHeight="1">
      <ns0:c r="A669" s="12" t="n">
        <ns0:v>920226</ns0:v>
      </ns0:c>
      <ns0:c r="B669" s="12" t="inlineStr">
        <ns0:is>
          <ns0:t>b</ns0:t>
        </ns0:is>
      </ns0:c>
      <ns0:c r="C669" s="12" t="inlineStr">
        <ns0:is>
          <ns0:t>사막 기후</ns0:t>
        </ns0:is>
      </ns0:c>
      <ns0:c r="D669" s="12" t="n">
        <ns0:v>0</ns0:v>
      </ns0:c>
      <ns0:c r="E669" s="12" t="inlineStr">
        <ns0:is>
          <ns0:t>자료는 건조한 사막 기후가 아니라 해양성 기후로 소개해요.</ns0:t>
        </ns0:is>
      </ns0:c>
      <ns0:c r="F669" s="12" t="inlineStr">
        <ns0:is>
          <ns0:t>Desert climate</ns0:t>
        </ns0:is>
      </ns0:c>
      <ns0:c r="G669" s="12" t="inlineStr">
        <ns0:is>
          <ns0:t>The account identifies a maritime rather than desert climate.</ns0:t>
        </ns0:is>
      </ns0:c>
    </ns0:row>
    <ns0:row r="670" ht="33" customHeight="1">
      <ns0:c r="A670" s="10" t="n">
        <ns0:v>920226</ns0:v>
      </ns0:c>
      <ns0:c r="B670" s="10" t="inlineStr">
        <ns0:is>
          <ns0:t>a</ns0:t>
        </ns0:is>
      </ns0:c>
      <ns0:c r="C670" s="10" t="inlineStr">
        <ns0:is>
          <ns0:t>해양성 기후</ns0:t>
        </ns0:is>
      </ns0:c>
      <ns0:c r="D670" s="10" t="n">
        <ns0:v>1</ns0:v>
      </ns0:c>
      <ns0:c r="E670" s="10" t="inlineStr">
        <ns0:is>
          <ns0:t>독도 부근은 바다와 난류 영향을 많이 받는 해양성 기후로 설명돼요.</ns0:t>
        </ns0:is>
      </ns0:c>
      <ns0:c r="F670" s="10" t="inlineStr">
        <ns0:is>
          <ns0:t>Maritime climate</ns0:t>
        </ns0:is>
      </ns0:c>
      <ns0:c r="G670" s="10" t="inlineStr">
        <ns0:is>
          <ns0:t>The region is described as maritime, strongly influenced by the sea and warm currents.</ns0:t>
        </ns0:is>
      </ns0:c>
    </ns0:row>
    <ns0:row r="671" ht="33" customHeight="1">
      <ns0:c r="A671" s="12" t="n">
        <ns0:v>920226</ns0:v>
      </ns0:c>
      <ns0:c r="B671" s="12" t="inlineStr">
        <ns0:is>
          <ns0:t>c</ns0:t>
        </ns0:is>
      </ns0:c>
      <ns0:c r="C671" s="12" t="inlineStr">
        <ns0:is>
          <ns0:t>내륙성 기후</ns0:t>
        </ns0:is>
      </ns0:c>
      <ns0:c r="D671" s="12" t="n">
        <ns0:v>0</ns0:v>
      </ns0:c>
      <ns0:c r="E671" s="12" t="inlineStr">
        <ns0:is>
          <ns0:t>바다에서 멀리 떨어진 내륙의 영향보다 바다의 영향을 강조한 설명이에요.</ns0:t>
        </ns0:is>
      </ns0:c>
      <ns0:c r="F671" s="12" t="inlineStr">
        <ns0:is>
          <ns0:t>Continental climate</ns0:t>
        </ns0:is>
      </ns0:c>
      <ns0:c r="G671" s="12" t="inlineStr">
        <ns0:is>
          <ns0:t>The account emphasises oceanic influence rather than an inland continental setting.</ns0:t>
        </ns0:is>
      </ns0:c>
    </ns0:row>
    <ns0:row r="672" ht="33" customHeight="1">
      <ns0:c r="A672" s="10" t="n">
        <ns0:v>920227</ns0:v>
      </ns0:c>
      <ns0:c r="B672" s="10" t="inlineStr">
        <ns0:is>
          <ns0:t>b</ns0:t>
        </ns0:is>
      </ns0:c>
      <ns0:c r="C672" s="10" t="inlineStr">
        <ns0:is>
          <ns0:t>겨울 강수는 주로 우박이고 안개는 없음</ns0:t>
        </ns0:is>
      </ns0:c>
      <ns0:c r="D672" s="10" t="n">
        <ns0:v>0</ns0:v>
      </ns0:c>
      <ns0:c r="E672" s="10" t="inlineStr">
        <ns0:is>
          <ns0:t>자료의 눈·잦은 안개 설명과 둘 다 어긋나요.</ns0:t>
        </ns0:is>
      </ns0:c>
      <ns0:c r="F672" s="10" t="inlineStr">
        <ns0:is>
          <ns0:t>Winter precipitation mainly hail and no fog</ns0:t>
        </ns0:is>
      </ns0:c>
      <ns0:c r="G672" s="10" t="inlineStr">
        <ns0:is>
          <ns0:t>Both parts conflict with snow and frequent fog.</ns0:t>
        </ns0:is>
      </ns0:c>
    </ns0:row>
    <ns0:row r="673" ht="33" customHeight="1">
      <ns0:c r="A673" s="12" t="n">
        <ns0:v>920227</ns0:v>
      </ns0:c>
      <ns0:c r="B673" s="12" t="inlineStr">
        <ns0:is>
          <ns0:t>c</ns0:t>
        </ns0:is>
      </ns0:c>
      <ns0:c r="C673" s="12" t="inlineStr">
        <ns0:is>
          <ns0:t>한 해 내내 건조하며 눈은 내리지 않음</ns0:t>
        </ns0:is>
      </ns0:c>
      <ns0:c r="D673" s="12" t="n">
        <ns0:v>0</ns0:v>
      </ns0:c>
      <ns0:c r="E673" s="12" t="inlineStr">
        <ns0:is>
          <ns0:t>자료는 안개와 강수가 있는 해양성 기후를 설명해요.</ns0:t>
        </ns0:is>
      </ns0:c>
      <ns0:c r="F673" s="12" t="inlineStr">
        <ns0:is>
          <ns0:t>Dry throughout the year with no snow</ns0:t>
        </ns0:is>
      </ns0:c>
      <ns0:c r="G673" s="12" t="inlineStr">
        <ns0:is>
          <ns0:t>The supplied account describes a maritime region with fog and precipitation.</ns0:t>
        </ns0:is>
      </ns0:c>
    </ns0:row>
    <ns0:row r="674" ht="38" customHeight="1">
      <ns0:c r="A674" s="10" t="n">
        <ns0:v>920227</ns0:v>
      </ns0:c>
      <ns0:c r="B674" s="10" t="inlineStr">
        <ns0:is>
          <ns0:t>a</ns0:t>
        </ns0:is>
      </ns0:c>
      <ns0:c r="C674" s="10" t="inlineStr">
        <ns0:is>
          <ns0:t>안개가 잦고 겨울 강수는 주로 눈</ns0:t>
        </ns0:is>
      </ns0:c>
      <ns0:c r="D674" s="10" t="n">
        <ns0:v>1</ns0:v>
      </ns0:c>
      <ns0:c r="E674" s="10" t="inlineStr">
        <ns0:is>
          <ns0:t>두 특징 모두 제시된 지역 기후 설명에 들어 있어요.</ns0:t>
        </ns0:is>
      </ns0:c>
      <ns0:c r="F674" s="10" t="inlineStr">
        <ns0:is>
          <ns0:t>Frequent fog and winter precipitation mainly as snow</ns0:t>
        </ns0:is>
      </ns0:c>
      <ns0:c r="G674" s="10" t="inlineStr">
        <ns0:is>
          <ns0:t>Both features are included in the regional climate description.</ns0:t>
        </ns0:is>
      </ns0:c>
    </ns0:row>
    <ns0:row r="675" ht="38" customHeight="1">
      <ns0:c r="A675" s="12" t="n">
        <ns0:v>920228</ns0:v>
      </ns0:c>
      <ns0:c r="B675" s="12" t="inlineStr">
        <ns0:is>
          <ns0:t>a</ns0:t>
        </ns0:is>
      </ns0:c>
      <ns0:c r="C675" s="12" t="inlineStr">
        <ns0:is>
          <ns0:t>주된 기후 특징을 오늘의 확정 예보로 바꾼 부분</ns0:t>
        </ns0:is>
      </ns0:c>
      <ns0:c r="D675" s="12" t="n">
        <ns0:v>1</ns0:v>
      </ns0:c>
      <ns0:c r="E675" s="12" t="inlineStr">
        <ns0:is>
          <ns0:t>겨울의 주된 형태와 특정 날짜의 날씨는 달라요. 오늘 날씨는 별도 관측·예보로 확인해요.</ns0:t>
        </ns0:is>
      </ns0:c>
      <ns0:c r="F675" s="12" t="inlineStr">
        <ns0:is>
          <ns0:t>Turning a typical climate feature into a definite forecast for today</ns0:t>
        </ns0:is>
      </ns0:c>
      <ns0:c r="G675" s="12" t="inlineStr">
        <ns0:is>
          <ns0:t>A seasonal tendency does not determine one day’s weather; current data are needed.</ns0:t>
        </ns0:is>
      </ns0:c>
    </ns0:row>
    <ns0:row r="676" ht="33" customHeight="1">
      <ns0:c r="A676" s="10" t="n">
        <ns0:v>920228</ns0:v>
      </ns0:c>
      <ns0:c r="B676" s="10" t="inlineStr">
        <ns0:is>
          <ns0:t>b</ns0:t>
        </ns0:is>
      </ns0:c>
      <ns0:c r="C676" s="10" t="inlineStr">
        <ns0:is>
          <ns0:t>겨울에 눈이 올 수 있다는 부분 자체</ns0:t>
        </ns0:is>
      </ns0:c>
      <ns0:c r="D676" s="10" t="n">
        <ns0:v>0</ns0:v>
      </ns0:c>
      <ns0:c r="E676" s="10" t="inlineStr">
        <ns0:is>
          <ns0:t>자료는 겨울 강수가 주로 눈이라고 설명하므로 그 사실을 지울 필요는 없어요.</ns0:t>
        </ns0:is>
      </ns0:c>
      <ns0:c r="F676" s="10" t="inlineStr">
        <ns0:is>
          <ns0:t>The possibility of winter snow itself</ns0:t>
        </ns0:is>
      </ns0:c>
      <ns0:c r="G676" s="10" t="inlineStr">
        <ns0:is>
          <ns0:t>The account supports winter snow; that fact is not the error.</ns0:t>
        </ns0:is>
      </ns0:c>
    </ns0:row>
    <ns0:row r="677" ht="33" customHeight="1">
      <ns0:c r="A677" s="12" t="n">
        <ns0:v>920228</ns0:v>
      </ns0:c>
      <ns0:c r="B677" s="12" t="inlineStr">
        <ns0:is>
          <ns0:t>c</ns0:t>
        </ns0:is>
      </ns0:c>
      <ns0:c r="C677" s="12" t="inlineStr">
        <ns0:is>
          <ns0:t>독도가 바다의 영향을 받는다는 부분</ns0:t>
        </ns0:is>
      </ns0:c>
      <ns0:c r="D677" s="12" t="n">
        <ns0:v>0</ns0:v>
      </ns0:c>
      <ns0:c r="E677" s="12" t="inlineStr">
        <ns0:is>
          <ns0:t>해양성 기후라는 설명은 자료와 맞아요.</ns0:t>
        </ns0:is>
      </ns0:c>
      <ns0:c r="F677" s="12" t="inlineStr">
        <ns0:is>
          <ns0:t>The statement that the sea influences Dokdo</ns0:t>
        </ns0:is>
      </ns0:c>
      <ns0:c r="G677" s="12" t="inlineStr">
        <ns0:is>
          <ns0:t>Maritime influence is supported by the account.</ns0:t>
        </ns0:is>
      </ns0:c>
    </ns0:row>
    <ns0:row r="678" ht="33" customHeight="1">
      <ns0:c r="A678" s="10" t="n">
        <ns0:v>920229</ns0:v>
      </ns0:c>
      <ns0:c r="B678" s="10" t="inlineStr">
        <ns0:is>
          <ns0:t>b</ns0:t>
        </ns0:is>
      </ns0:c>
      <ns0:c r="C678" s="10" t="inlineStr">
        <ns0:is>
          <ns0:t>동도 경비대</ns0:t>
        </ns0:is>
      </ns0:c>
      <ns0:c r="D678" s="10" t="n">
        <ns0:v>0</ns0:v>
      </ns0:c>
      <ns0:c r="E678" s="10" t="inlineStr">
        <ns0:is>
          <ns0:t>경비대의 주소는 독도이사부길 55예요.</ns0:t>
        </ns0:is>
      </ns0:c>
      <ns0:c r="F678" s="10" t="inlineStr">
        <ns0:is>
          <ns0:t>Dongdo guard facility</ns0:t>
        </ns0:is>
      </ns0:c>
      <ns0:c r="G678" s="10" t="inlineStr">
        <ns0:is>
          <ns0:t>The guard facility’s address is Dokdo Isabu-gil 55.</ns0:t>
        </ns0:is>
      </ns0:c>
    </ns0:row>
    <ns0:row r="679" ht="33" customHeight="1">
      <ns0:c r="A679" s="12" t="n">
        <ns0:v>920229</ns0:v>
      </ns0:c>
      <ns0:c r="B679" s="12" t="inlineStr">
        <ns0:is>
          <ns0:t>a</ns0:t>
        </ns0:is>
      </ns0:c>
      <ns0:c r="C679" s="12" t="inlineStr">
        <ns0:is>
          <ns0:t>서도 주민숙소</ns0:t>
        </ns0:is>
      </ns0:c>
      <ns0:c r="D679" s="12" t="n">
        <ns0:v>1</ns0:v>
      </ns0:c>
      <ns0:c r="E679" s="12" t="inlineStr">
        <ns0:is>
          <ns0:t>주소 안내에서 독도안용복길 3은 서도 주민숙소에 해당해요.</ns0:t>
        </ns0:is>
      </ns0:c>
      <ns0:c r="F679" s="12" t="inlineStr">
        <ns0:is>
          <ns0:t>Seodo residents’ accommodation</ns0:t>
        </ns0:is>
      </ns0:c>
      <ns0:c r="G679" s="12" t="inlineStr">
        <ns0:is>
          <ns0:t>The address guide associates An Yong-bok-gil 3 with Seodo’s accommodation.</ns0:t>
        </ns0:is>
      </ns0:c>
    </ns0:row>
    <ns0:row r="680" ht="33" customHeight="1">
      <ns0:c r="A680" s="10" t="n">
        <ns0:v>920229</ns0:v>
      </ns0:c>
      <ns0:c r="B680" s="10" t="inlineStr">
        <ns0:is>
          <ns0:t>c</ns0:t>
        </ns0:is>
      </ns0:c>
      <ns0:c r="C680" s="10" t="inlineStr">
        <ns0:is>
          <ns0:t>동도 등대</ns0:t>
        </ns0:is>
      </ns0:c>
      <ns0:c r="D680" s="10" t="n">
        <ns0:v>0</ns0:v>
      </ns0:c>
      <ns0:c r="E680" s="10" t="inlineStr">
        <ns0:is>
          <ns0:t>등대의 주소는 독도이사부길 63이에요.</ns0:t>
        </ns0:is>
      </ns0:c>
      <ns0:c r="F680" s="10" t="inlineStr">
        <ns0:is>
          <ns0:t>Dongdo lighthouse</ns0:t>
        </ns0:is>
      </ns0:c>
      <ns0:c r="G680" s="10" t="inlineStr">
        <ns0:is>
          <ns0:t>The lighthouse’s address is Dokdo Isabu-gil 63.</ns0:t>
        </ns0:is>
      </ns0:c>
    </ns0:row>
    <ns0:row r="681" ht="33" customHeight="1">
      <ns0:c r="A681" s="12" t="n">
        <ns0:v>920230</ns0:v>
      </ns0:c>
      <ns0:c r="B681" s="12" t="inlineStr">
        <ns0:is>
          <ns0:t>b</ns0:t>
        </ns0:is>
      </ns0:c>
      <ns0:c r="C681" s="12" t="inlineStr">
        <ns0:is>
          <ns0:t>독도안용복길</ns0:t>
        </ns0:is>
      </ns0:c>
      <ns0:c r="D681" s="12" t="n">
        <ns0:v>0</ns0:v>
      </ns0:c>
      <ns0:c r="E681" s="12" t="inlineStr">
        <ns0:is>
          <ns0:t>이 길 이름은 서도 주민숙소의 주소에 쓰여요.</ns0:t>
        </ns0:is>
      </ns0:c>
      <ns0:c r="F681" s="12" t="inlineStr">
        <ns0:is>
          <ns0:t>Dokdo An Yong-bok-gil</ns0:t>
        </ns0:is>
      </ns0:c>
      <ns0:c r="G681" s="12" t="inlineStr">
        <ns0:is>
          <ns0:t>This street name is used for the accommodation on Seodo.</ns0:t>
        </ns0:is>
      </ns0:c>
    </ns0:row>
    <ns0:row r="682" ht="33" customHeight="1">
      <ns0:c r="A682" s="10" t="n">
        <ns0:v>920230</ns0:v>
      </ns0:c>
      <ns0:c r="B682" s="10" t="inlineStr">
        <ns0:is>
          <ns0:t>c</ns0:t>
        </ns0:is>
      </ns0:c>
      <ns0:c r="C682" s="10" t="inlineStr">
        <ns0:is>
          <ns0:t>독도우산봉길</ns0:t>
        </ns0:is>
      </ns0:c>
      <ns0:c r="D682" s="10" t="n">
        <ns0:v>0</ns0:v>
      </ns0:c>
      <ns0:c r="E682" s="10" t="inlineStr">
        <ns0:is>
          <ns0:t>제시된 공식 시설 주소의 길 이름은 독도이사부길이에요.</ns0:t>
        </ns0:is>
      </ns0:c>
      <ns0:c r="F682" s="10" t="inlineStr">
        <ns0:is>
          <ns0:t>Dokdo Usanbong-gil</ns0:t>
        </ns0:is>
      </ns0:c>
      <ns0:c r="G682" s="10" t="inlineStr">
        <ns0:is>
          <ns0:t>The supplied official facility addresses use Dokdo Isabu-gil.</ns0:t>
        </ns0:is>
      </ns0:c>
    </ns0:row>
    <ns0:row r="683" ht="33" customHeight="1">
      <ns0:c r="A683" s="12" t="n">
        <ns0:v>920230</ns0:v>
      </ns0:c>
      <ns0:c r="B683" s="12" t="inlineStr">
        <ns0:is>
          <ns0:t>a</ns0:t>
        </ns0:is>
      </ns0:c>
      <ns0:c r="C683" s="12" t="inlineStr">
        <ns0:is>
          <ns0:t>독도이사부길</ns0:t>
        </ns0:is>
      </ns0:c>
      <ns0:c r="D683" s="12" t="n">
        <ns0:v>1</ns0:v>
      </ns0:c>
      <ns0:c r="E683" s="12" t="inlineStr">
        <ns0:is>
          <ns0:t>경비대 55번과 등대 63번은 모두 독도이사부길 주소예요.</ns0:t>
        </ns0:is>
      </ns0:c>
      <ns0:c r="F683" s="12" t="inlineStr">
        <ns0:is>
          <ns0:t>Dokdo Isabu-gil</ns0:t>
        </ns0:is>
      </ns0:c>
      <ns0:c r="G683" s="12" t="inlineStr">
        <ns0:is>
          <ns0:t>Both addresses use Isabu-gil: 55 for the guard facility and 63 for the lighthouse.</ns0:t>
        </ns0:is>
      </ns0:c>
    </ns0:row>
    <ns0:row r="684" ht="33" customHeight="1">
      <ns0:c r="A684" s="10" t="n">
        <ns0:v>920231</ns0:v>
      </ns0:c>
      <ns0:c r="B684" s="10" t="inlineStr">
        <ns0:is>
          <ns0:t>a</ns0:t>
        </ns0:is>
      </ns0:c>
      <ns0:c r="C684" s="10" t="inlineStr">
        <ns0:is>
          <ns0:t>동도 독도등대</ns0:t>
        </ns0:is>
      </ns0:c>
      <ns0:c r="D684" s="10" t="n">
        <ns0:v>1</ns0:v>
      </ns0:c>
      <ns0:c r="E684" s="10" t="inlineStr">
        <ns0:is>
          <ns0:t>표에서 이사부길 63은 등대에 연결돼요.</ns0:t>
        </ns0:is>
      </ns0:c>
      <ns0:c r="F684" s="10" t="inlineStr">
        <ns0:is>
          <ns0:t>Dokdo Lighthouse on Dongdo</ns0:t>
        </ns0:is>
      </ns0:c>
      <ns0:c r="G684" s="10" t="inlineStr">
        <ns0:is>
          <ns0:t>The table pairs Isabu-gil 63 with the lighthouse.</ns0:t>
        </ns0:is>
      </ns0:c>
    </ns0:row>
    <ns0:row r="685" ht="33" customHeight="1">
      <ns0:c r="A685" s="12" t="n">
        <ns0:v>920231</ns0:v>
      </ns0:c>
      <ns0:c r="B685" s="12" t="inlineStr">
        <ns0:is>
          <ns0:t>b</ns0:t>
        </ns0:is>
      </ns0:c>
      <ns0:c r="C685" s="12" t="inlineStr">
        <ns0:is>
          <ns0:t>동도 독도경비대</ns0:t>
        </ns0:is>
      </ns0:c>
      <ns0:c r="D685" s="12" t="n">
        <ns0:v>0</ns0:v>
      </ns0:c>
      <ns0:c r="E685" s="12" t="inlineStr">
        <ns0:is>
          <ns0:t>경비대는 같은 길이지만 번호가 55예요.</ns0:t>
        </ns0:is>
      </ns0:c>
      <ns0:c r="F685" s="12" t="inlineStr">
        <ns0:is>
          <ns0:t>Dokdo guard facility on Dongdo</ns0:t>
        </ns0:is>
      </ns0:c>
      <ns0:c r="G685" s="12" t="inlineStr">
        <ns0:is>
          <ns0:t>The guard facility uses the same street but number 55.</ns0:t>
        </ns0:is>
      </ns0:c>
    </ns0:row>
    <ns0:row r="686" ht="33" customHeight="1">
      <ns0:c r="A686" s="10" t="n">
        <ns0:v>920231</ns0:v>
      </ns0:c>
      <ns0:c r="B686" s="10" t="inlineStr">
        <ns0:is>
          <ns0:t>c</ns0:t>
        </ns0:is>
      </ns0:c>
      <ns0:c r="C686" s="10" t="inlineStr">
        <ns0:is>
          <ns0:t>서도 주민숙소</ns0:t>
        </ns0:is>
      </ns0:c>
      <ns0:c r="D686" s="10" t="n">
        <ns0:v>0</ns0:v>
      </ns0:c>
      <ns0:c r="E686" s="10" t="inlineStr">
        <ns0:is>
          <ns0:t>주민숙소는 안용복길 3으로 길 이름과 번호가 달라요.</ns0:t>
        </ns0:is>
      </ns0:c>
      <ns0:c r="F686" s="10" t="inlineStr">
        <ns0:is>
          <ns0:t>Seodo residents’ accommodation</ns0:t>
        </ns0:is>
      </ns0:c>
      <ns0:c r="G686" s="10" t="inlineStr">
        <ns0:is>
          <ns0:t>The accommodation has a different street and number: An Yong-bok-gil 3.</ns0:t>
        </ns0:is>
      </ns0:c>
    </ns0:row>
    <ns0:row r="687" ht="33" customHeight="1">
      <ns0:c r="A687" s="12" t="n">
        <ns0:v>920232</ns0:v>
      </ns0:c>
      <ns0:c r="B687" s="12" t="inlineStr">
        <ns0:is>
          <ns0:t>b</ns0:t>
        </ns0:is>
      </ns0:c>
      <ns0:c r="C687" s="12" t="inlineStr">
        <ns0:is>
          <ns0:t>독도이사부길 55 → 독도안용복길 3</ns0:t>
        </ns0:is>
      </ns0:c>
      <ns0:c r="D687" s="12" t="n">
        <ns0:v>0</ns0:v>
      </ns0:c>
      <ns0:c r="E687" s="12" t="inlineStr">
        <ns0:is>
          <ns0:t>첫 주소는 경비대, 둘째 주소는 주민숙소로 요청한 순서와 대상이 달라요.</ns0:t>
        </ns0:is>
      </ns0:c>
      <ns0:c r="F687" s="12" t="inlineStr">
        <ns0:is>
          <ns0:t>Isabu-gil 55 → An Yong-bok-gil 3</ns0:t>
        </ns0:is>
      </ns0:c>
      <ns0:c r="G687" s="12" t="inlineStr">
        <ns0:is>
          <ns0:t>These identify the guard facility and accommodation, not the requested pair.</ns0:t>
        </ns0:is>
      </ns0:c>
    </ns0:row>
    <ns0:row r="688" ht="33" customHeight="1">
      <ns0:c r="A688" s="10" t="n">
        <ns0:v>920232</ns0:v>
      </ns0:c>
      <ns0:c r="B688" s="10" t="inlineStr">
        <ns0:is>
          <ns0:t>a</ns0:t>
        </ns0:is>
      </ns0:c>
      <ns0:c r="C688" s="10" t="inlineStr">
        <ns0:is>
          <ns0:t>독도안용복길 3 → 독도이사부길 63</ns0:t>
        </ns0:is>
      </ns0:c>
      <ns0:c r="D688" s="10" t="n">
        <ns0:v>1</ns0:v>
      </ns0:c>
      <ns0:c r="E688" s="10" t="inlineStr">
        <ns0:is>
          <ns0:t>수신 시설의 섬과 길·번호를 각각 맞춘 조합이에요.</ns0:t>
        </ns0:is>
      </ns0:c>
      <ns0:c r="F688" s="10" t="inlineStr">
        <ns0:is>
          <ns0:t>An Yong-bok-gil 3 → Isabu-gil 63</ns0:t>
        </ns0:is>
      </ns0:c>
      <ns0:c r="G688" s="10" t="inlineStr">
        <ns0:is>
          <ns0:t>This matches each destination’s island, street and number.</ns0:t>
        </ns0:is>
      </ns0:c>
    </ns0:row>
    <ns0:row r="689" ht="33" customHeight="1">
      <ns0:c r="A689" s="12" t="n">
        <ns0:v>920232</ns0:v>
      </ns0:c>
      <ns0:c r="B689" s="12" t="inlineStr">
        <ns0:is>
          <ns0:t>c</ns0:t>
        </ns0:is>
      </ns0:c>
      <ns0:c r="C689" s="12" t="inlineStr">
        <ns0:is>
          <ns0:t>독도이사부길 63 → 독도이사부길 55</ns0:t>
        </ns0:is>
      </ns0:c>
      <ns0:c r="D689" s="12" t="n">
        <ns0:v>0</ns0:v>
      </ns0:c>
      <ns0:c r="E689" s="12" t="inlineStr">
        <ns0:is>
          <ns0:t>둘 다 동도 시설이며 서도 주민숙소 주소가 빠졌어요.</ns0:t>
        </ns0:is>
      </ns0:c>
      <ns0:c r="F689" s="12" t="inlineStr">
        <ns0:is>
          <ns0:t>Isabu-gil 63 → Isabu-gil 55</ns0:t>
        </ns0:is>
      </ns0:c>
      <ns0:c r="G689" s="12" t="inlineStr">
        <ns0:is>
          <ns0:t>Both are Dongdo facilities; the Seodo address is missing.</ns0:t>
        </ns0:is>
      </ns0:c>
    </ns0:row>
    <ns0:row r="690" ht="33" customHeight="1">
      <ns0:c r="A690" s="10" t="n">
        <ns0:v>920233</ns0:v>
      </ns0:c>
      <ns0:c r="B690" s="10" t="inlineStr">
        <ns0:is>
          <ns0:t>b</ns0:t>
        </ns0:is>
      </ns0:c>
      <ns0:c r="C690" s="10" t="inlineStr">
        <ns0:is>
          <ns0:t>서도 정상 전체</ns0:t>
        </ns0:is>
      </ns0:c>
      <ns0:c r="D690" s="10" t="n">
        <ns0:v>0</ns0:v>
      </ns0:c>
      <ns0:c r="E690" s="10" t="inlineStr">
        <ns0:is>
          <ns0:t>서도 정상까지 자유롭게 관람하도록 안내한 것은 아니에요.</ns0:t>
        </ns0:is>
      </ns0:c>
      <ns0:c r="F690" s="10" t="inlineStr">
        <ns0:is>
          <ns0:t>The whole summit of Seodo</ns0:t>
        </ns0:is>
      </ns0:c>
      <ns0:c r="G690" s="10" t="inlineStr">
        <ns0:is>
          <ns0:t>The guidance does not provide unrestricted access to Seodo’s summit.</ns0:t>
        </ns0:is>
      </ns0:c>
    </ns0:row>
    <ns0:row r="691" ht="33" customHeight="1">
      <ns0:c r="A691" s="12" t="n">
        <ns0:v>920233</ns0:v>
      </ns0:c>
      <ns0:c r="B691" s="12" t="inlineStr">
        <ns0:is>
          <ns0:t>c</ns0:t>
        </ns0:is>
      </ns0:c>
      <ns0:c r="C691" s="12" t="inlineStr">
        <ns0:is>
          <ns0:t>동도 경비대 내부</ns0:t>
        </ns0:is>
      </ns0:c>
      <ns0:c r="D691" s="12" t="n">
        <ns0:v>0</ns0:v>
      </ns0:c>
      <ns0:c r="E691" s="12" t="inlineStr">
        <ns0:is>
          <ns0:t>경비대 내부는 일반 관람 구역으로 안내되지 않아요.</ns0:t>
        </ns0:is>
      </ns0:c>
      <ns0:c r="F691" s="12" t="inlineStr">
        <ns0:is>
          <ns0:t>Inside the Dongdo guard facility</ns0:t>
        </ns0:is>
      </ns0:c>
      <ns0:c r="G691" s="12" t="inlineStr">
        <ns0:is>
          <ns0:t>The guard facility interior is not identified as an ordinary viewing area.</ns0:t>
        </ns0:is>
      </ns0:c>
    </ns0:row>
    <ns0:row r="692" ht="33" customHeight="1">
      <ns0:c r="A692" s="10" t="n">
        <ns0:v>920233</ns0:v>
      </ns0:c>
      <ns0:c r="B692" s="10" t="inlineStr">
        <ns0:is>
          <ns0:t>a</ns0:t>
        </ns0:is>
      </ns0:c>
      <ns0:c r="C692" s="10" t="inlineStr">
        <ns0:is>
          <ns0:t>동도 선착장</ns0:t>
        </ns0:is>
      </ns0:c>
      <ns0:c r="D692" s="10" t="n">
        <ns0:v>1</ns0:v>
      </ns0:c>
      <ns0:c r="E692" s="10" t="inlineStr">
        <ns0:is>
          <ns0:t>일반 입도 안내는 동도 선착장 구역의 관람을 기본으로 설명해요.</ns0:t>
        </ns0:is>
      </ns0:c>
      <ns0:c r="F692" s="10" t="inlineStr">
        <ns0:is>
          <ns0:t>Dongdo’s dock</ns0:t>
        </ns0:is>
      </ns0:c>
      <ns0:c r="G692" s="10" t="inlineStr">
        <ns0:is>
          <ns0:t>The guidance describes ordinary visits to the Dongdo dock area.</ns0:t>
        </ns0:is>
      </ns0:c>
    </ns0:row>
    <ns0:row r="693" ht="33" customHeight="1">
      <ns0:c r="A693" s="12" t="n">
        <ns0:v>920234</ns0:v>
      </ns0:c>
      <ns0:c r="B693" s="12" t="inlineStr">
        <ns0:is>
          <ns0:t>a</ns0:t>
        </ns0:is>
      </ns0:c>
      <ns0:c r="C693" s="12" t="inlineStr">
        <ns0:is>
          <ns0:t>아니요, 허용 구역을 확인해야 해요</ns0:t>
        </ns0:is>
      </ns0:c>
      <ns0:c r="D693" s="12" t="n">
        <ns0:v>1</ns0:v>
      </ns0:c>
      <ns0:c r="E693" s="12" t="inlineStr">
        <ns0:is>
          <ns0:t>승선과 특정 구역 출입은 다른 절차이므로 허가된 범위를 따라야 해요.</ns0:t>
        </ns0:is>
      </ns0:c>
      <ns0:c r="F693" s="12" t="inlineStr">
        <ns0:is>
          <ns0:t>No. Check the permitted areas.</ns0:t>
        </ns0:is>
      </ns0:c>
      <ns0:c r="G693" s="12" t="inlineStr">
        <ns0:is>
          <ns0:t>Boarding and area access are distinct; visitors must follow permitted limits.</ns0:t>
        </ns0:is>
      </ns0:c>
    </ns0:row>
    <ns0:row r="694" ht="33" customHeight="1">
      <ns0:c r="A694" s="10" t="n">
        <ns0:v>920234</ns0:v>
      </ns0:c>
      <ns0:c r="B694" s="10" t="inlineStr">
        <ns0:is>
          <ns0:t>b</ns0:t>
        </ns0:is>
      </ns0:c>
      <ns0:c r="C694" s="10" t="inlineStr">
        <ns0:is>
          <ns0:t>네, 모든 구역에 들어갈 수 있어요</ns0:t>
        </ns0:is>
      </ns0:c>
      <ns0:c r="D694" s="10" t="n">
        <ns0:v>0</ns0:v>
      </ns0:c>
      <ns0:c r="E694" s="10" t="inlineStr">
        <ns0:is>
          <ns0:t>일반 탐방은 지정된 관람 범위가 있으므로 모든 시설 출입이 허용되지는 않아요.</ns0:t>
        </ns0:is>
      </ns0:c>
      <ns0:c r="F694" s="10" t="inlineStr">
        <ns0:is>
          <ns0:t>Yes. It allows entry to every area.</ns0:t>
        </ns0:is>
      </ns0:c>
      <ns0:c r="G694" s="10" t="inlineStr">
        <ns0:is>
          <ns0:t>Ordinary visits have designated limits and do not allow entry everywhere.</ns0:t>
        </ns0:is>
      </ns0:c>
    </ns0:row>
    <ns0:row r="695" ht="38" customHeight="1">
      <ns0:c r="A695" s="12" t="n">
        <ns0:v>920235</ns0:v>
      </ns0:c>
      <ns0:c r="B695" s="12" t="inlineStr">
        <ns0:is>
          <ns0:t>a</ns0:t>
        </ns0:is>
      </ns0:c>
      <ns0:c r="C695" s="12" t="inlineStr">
        <ns0:is>
          <ns0:t>관할 기관의 별도 방문 허가와 조건</ns0:t>
        </ns0:is>
      </ns0:c>
      <ns0:c r="D695" s="12" t="n">
        <ns0:v>1</ns0:v>
      </ns0:c>
      <ns0:c r="E695" s="12" t="inlineStr">
        <ns0:is>
          <ns0:t>서도 방문은 일반 동도 선착장 관람과 구분해 안내돼요.</ns0:t>
        </ns0:is>
      </ns0:c>
      <ns0:c r="F695" s="12" t="inlineStr">
        <ns0:is>
          <ns0:t>Separate permission and conditions from the responsible authority</ns0:t>
        </ns0:is>
      </ns0:c>
      <ns0:c r="G695" s="12" t="inlineStr">
        <ns0:is>
          <ns0:t>Seodo access is distinguished from ordinary viewing at Dongdo’s dock.</ns0:t>
        </ns0:is>
      </ns0:c>
    </ns0:row>
    <ns0:row r="696" ht="38" customHeight="1">
      <ns0:c r="A696" s="10" t="n">
        <ns0:v>920235</ns0:v>
      </ns0:c>
      <ns0:c r="B696" s="10" t="inlineStr">
        <ns0:is>
          <ns0:t>b</ns0:t>
        </ns0:is>
      </ns0:c>
      <ns0:c r="C696" s="10" t="inlineStr">
        <ns0:is>
          <ns0:t>일반 동도 관람권만으로 서도도 허용된다는 가정</ns0:t>
        </ns0:is>
      </ns0:c>
      <ns0:c r="D696" s="10" t="n">
        <ns0:v>0</ns0:v>
      </ns0:c>
      <ns0:c r="E696" s="10" t="inlineStr">
        <ns0:is>
          <ns0:t>일반 관람과 다른 구역 출입을 같은 허가로 볼 수 없어요.</ns0:t>
        </ns0:is>
      </ns0:c>
      <ns0:c r="F696" s="10" t="inlineStr">
        <ns0:is>
          <ns0:t>Assume an ordinary Dongdo visit also authorises Seodo</ns0:t>
        </ns0:is>
      </ns0:c>
      <ns0:c r="G696" s="10" t="inlineStr">
        <ns0:is>
          <ns0:t>Ordinary viewing and access to another area need not share the same authorisation.</ns0:t>
        </ns0:is>
      </ns0:c>
    </ns0:row>
    <ns0:row r="697" ht="38" customHeight="1">
      <ns0:c r="A697" s="12" t="n">
        <ns0:v>920235</ns0:v>
      </ns0:c>
      <ns0:c r="B697" s="12" t="inlineStr">
        <ns0:is>
          <ns0:t>c</ns0:t>
        </ns0:is>
      </ns0:c>
      <ns0:c r="C697" s="12" t="inlineStr">
        <ns0:is>
          <ns0:t>예전 방문자의 허가가 자신에게도 적용된다는 가정</ns0:t>
        </ns0:is>
      </ns0:c>
      <ns0:c r="D697" s="12" t="n">
        <ns0:v>0</ns0:v>
      </ns0:c>
      <ns0:c r="E697" s="12" t="inlineStr">
        <ns0:is>
          <ns0:t>이전 다른 사람의 사례가 자신의 현재 허가를 대신하지 않아요.</ns0:t>
        </ns0:is>
      </ns0:c>
      <ns0:c r="F697" s="12" t="inlineStr">
        <ns0:is>
          <ns0:t>Assume another visitor’s old permission applies to you</ns0:t>
        </ns0:is>
      </ns0:c>
      <ns0:c r="G697" s="12" t="inlineStr">
        <ns0:is>
          <ns0:t>Another person’s past permission does not authorise your present visit.</ns0:t>
        </ns0:is>
      </ns0:c>
    </ns0:row>
    <ns0:row r="698" ht="38" customHeight="1">
      <ns0:c r="A698" s="10" t="n">
        <ns0:v>920236</ns0:v>
      </ns0:c>
      <ns0:c r="B698" s="10" t="inlineStr">
        <ns0:is>
          <ns0:t>b</ns0:t>
        </ns0:is>
      </ns0:c>
      <ns0:c r="C698" s="10" t="inlineStr">
        <ns0:is>
          <ns0:t>일반 관람 구역과 입도 조건을 확인</ns0:t>
        </ns0:is>
      </ns0:c>
      <ns0:c r="D698" s="10" t="n">
        <ns0:v>0</ns0:v>
      </ns0:c>
      <ns0:c r="E698" s="10" t="inlineStr">
        <ns0:is>
          <ns0:t>이는 안내에 맞는 방문 준비이며 잘못된 약속이 아니에요.</ns0:t>
        </ns0:is>
      </ns0:c>
      <ns0:c r="F698" s="10" t="inlineStr">
        <ns0:is>
          <ns0:t>Check the ordinary viewing area and landing conditions</ns0:t>
        </ns0:is>
      </ns0:c>
      <ns0:c r="G698" s="10" t="inlineStr">
        <ns0:is>
          <ns0:t>This is consistent with the guidance.</ns0:t>
        </ns0:is>
      </ns0:c>
    </ns0:row>
    <ns0:row r="699" ht="38" customHeight="1">
      <ns0:c r="A699" s="12" t="n">
        <ns0:v>920236</ns0:v>
      </ns0:c>
      <ns0:c r="B699" s="12" t="inlineStr">
        <ns0:is>
          <ns0:t>a</ns0:t>
        </ns0:is>
      </ns0:c>
      <ns0:c r="C699" s="12" t="inlineStr">
        <ns0:is>
          <ns0:t>배표를 사면 동도와 서도의 모든 시설에 자유롭게 입장</ns0:t>
        </ns0:is>
      </ns0:c>
      <ns0:c r="D699" s="12" t="n">
        <ns0:v>1</ns0:v>
      </ns0:c>
      <ns0:c r="E699" s="12" t="inlineStr">
        <ns0:is>
          <ns0:t>승선권만으로 출입 제한이 사라지지 않으며 실제 허가 범위를 따라야 해요.</ns0:t>
        </ns0:is>
      </ns0:c>
      <ns0:c r="F699" s="12" t="inlineStr">
        <ns0:is>
          <ns0:t>A ticket provides unrestricted entry to all facilities on both islands</ns0:t>
        </ns0:is>
      </ns0:c>
      <ns0:c r="G699" s="12" t="inlineStr">
        <ns0:is>
          <ns0:t>A ticket does not remove access restrictions; permissions still apply.</ns0:t>
        </ns0:is>
      </ns0:c>
    </ns0:row>
    <ns0:row r="700" ht="33" customHeight="1">
      <ns0:c r="A700" s="10" t="n">
        <ns0:v>920236</ns0:v>
      </ns0:c>
      <ns0:c r="B700" s="10" t="inlineStr">
        <ns0:is>
          <ns0:t>c</ns0:t>
        </ns0:is>
      </ns0:c>
      <ns0:c r="C700" s="10" t="inlineStr">
        <ns0:is>
          <ns0:t>날씨에 따라 입도가 제한될 수 있다고 안내</ns0:t>
        </ns0:is>
      </ns0:c>
      <ns0:c r="D700" s="10" t="n">
        <ns0:v>0</ns0:v>
      </ns0:c>
      <ns0:c r="E700" s="10" t="inlineStr">
        <ns0:is>
          <ns0:t>실제 안전 조건을 반영한 안내예요.</ns0:t>
        </ns0:is>
      </ns0:c>
      <ns0:c r="F700" s="10" t="inlineStr">
        <ns0:is>
          <ns0:t>Warn that weather can restrict landing</ns0:t>
        </ns0:is>
      </ns0:c>
      <ns0:c r="G700" s="10" t="inlineStr">
        <ns0:is>
          <ns0:t>This accurately reflects a safety condition.</ns0:t>
        </ns0:is>
      </ns0:c>
    </ns0:row>
    <ns0:row r="701" ht="33" customHeight="1">
      <ns0:c r="A701" s="12" t="n">
        <ns0:v>920237</ns0:v>
      </ns0:c>
      <ns0:c r="B701" s="12" t="inlineStr">
        <ns0:is>
          <ns0:t>b</ns0:t>
        </ns0:is>
      </ns0:c>
      <ns0:c r="C701" s="12" t="inlineStr">
        <ns0:is>
          <ns0:t>울릉도·죽도</ns0:t>
        </ns0:is>
      </ns0:c>
      <ns0:c r="D701" s="12" t="n">
        <ns0:v>0</ns0:v>
      </ns0:c>
      <ns0:c r="E701" s="12" t="inlineStr">
        <ns0:is>
          <ns0:t>울릉도·죽도는 독도의 큰 두 섬 이름과 달라요.</ns0:t>
        </ns0:is>
      </ns0:c>
      <ns0:c r="F701" s="12" t="inlineStr">
        <ns0:is>
          <ns0:t>Ulleungdo and Jukdo</ns0:t>
        </ns0:is>
      </ns0:c>
      <ns0:c r="G701" s="12" t="inlineStr">
        <ns0:is>
          <ns0:t>These are not the names of Dokdo’s two main islands.</ns0:t>
        </ns0:is>
      </ns0:c>
    </ns0:row>
    <ns0:row r="702" ht="33" customHeight="1">
      <ns0:c r="A702" s="10" t="n">
        <ns0:v>920237</ns0:v>
      </ns0:c>
      <ns0:c r="B702" s="10" t="inlineStr">
        <ns0:is>
          <ns0:t>c</ns0:t>
        </ns0:is>
      </ns0:c>
      <ns0:c r="C702" s="10" t="inlineStr">
        <ns0:is>
          <ns0:t>동도·오키섬</ns0:t>
        </ns0:is>
      </ns0:c>
      <ns0:c r="D702" s="10" t="n">
        <ns0:v>0</ns0:v>
      </ns0:c>
      <ns0:c r="E702" s="10" t="inlineStr">
        <ns0:is>
          <ns0:t>오키섬이 아니라 서도를 함께 골라야 해요.</ns0:t>
        </ns0:is>
      </ns0:c>
      <ns0:c r="F702" s="10" t="inlineStr">
        <ns0:is>
          <ns0:t>Dongdo and Oki</ns0:t>
        </ns0:is>
      </ns0:c>
      <ns0:c r="G702" s="10" t="inlineStr">
        <ns0:is>
          <ns0:t>Seodo, not Oki, is the other main island.</ns0:t>
        </ns0:is>
      </ns0:c>
    </ns0:row>
    <ns0:row r="703" ht="33" customHeight="1">
      <ns0:c r="A703" s="12" t="n">
        <ns0:v>920237</ns0:v>
      </ns0:c>
      <ns0:c r="B703" s="12" t="inlineStr">
        <ns0:is>
          <ns0:t>a</ns0:t>
        </ns0:is>
      </ns0:c>
      <ns0:c r="C703" s="12" t="inlineStr">
        <ns0:is>
          <ns0:t>동도·서도</ns0:t>
        </ns0:is>
      </ns0:c>
      <ns0:c r="D703" s="12" t="n">
        <ns0:v>1</ns0:v>
      </ns0:c>
      <ns0:c r="E703" s="12" t="inlineStr">
        <ns0:is>
          <ns0:t>두 큰 섬과 주변 부속 도서가 독도를 이루어요.</ns0:t>
        </ns0:is>
      </ns0:c>
      <ns0:c r="F703" s="12" t="inlineStr">
        <ns0:is>
          <ns0:t>Dongdo and Seodo</ns0:t>
        </ns0:is>
      </ns0:c>
      <ns0:c r="G703" s="12" t="inlineStr">
        <ns0:is>
          <ns0:t>The two main islands and associated islets form Dokdo.</ns0:t>
        </ns0:is>
      </ns0:c>
    </ns0:row>
    <ns0:row r="704" ht="33" customHeight="1">
      <ns0:c r="A704" s="10" t="n">
        <ns0:v>920238</ns0:v>
      </ns0:c>
      <ns0:c r="B704" s="10" t="inlineStr">
        <ns0:is>
          <ns0:t>a</ns0:t>
        </ns0:is>
      </ns0:c>
      <ns0:c r="C704" s="10" t="inlineStr">
        <ns0:is>
          <ns0:t>서도 → 동도</ns0:t>
        </ns0:is>
      </ns0:c>
      <ns0:c r="D704" s="10" t="n">
        <ns0:v>1</ns0:v>
      </ns0:c>
      <ns0:c r="E704" s="10" t="inlineStr">
        <ns0:is>
          <ns0:t>서도가 더 높고 등대는 동도에 있어요.</ns0:t>
        </ns0:is>
      </ns0:c>
      <ns0:c r="F704" s="10" t="inlineStr">
        <ns0:is>
          <ns0:t>Seodo → Dongdo</ns0:t>
        </ns0:is>
      </ns0:c>
      <ns0:c r="G704" s="10" t="inlineStr">
        <ns0:is>
          <ns0:t>Seodo is higher; the lighthouse is on Dongdo.</ns0:t>
        </ns0:is>
      </ns0:c>
    </ns0:row>
    <ns0:row r="705" ht="33" customHeight="1">
      <ns0:c r="A705" s="12" t="n">
        <ns0:v>920238</ns0:v>
      </ns0:c>
      <ns0:c r="B705" s="12" t="inlineStr">
        <ns0:is>
          <ns0:t>b</ns0:t>
        </ns0:is>
      </ns0:c>
      <ns0:c r="C705" s="12" t="inlineStr">
        <ns0:is>
          <ns0:t>동도 → 서도</ns0:t>
        </ns0:is>
      </ns0:c>
      <ns0:c r="D705" s="12" t="n">
        <ns0:v>0</ns0:v>
      </ns0:c>
      <ns0:c r="E705" s="12" t="inlineStr">
        <ns0:is>
          <ns0:t>높이 비교와 등대 위치를 모두 반대로 골랐어요.</ns0:t>
        </ns0:is>
      </ns0:c>
      <ns0:c r="F705" s="12" t="inlineStr">
        <ns0:is>
          <ns0:t>Dongdo → Seodo</ns0:t>
        </ns0:is>
      </ns0:c>
      <ns0:c r="G705" s="12" t="inlineStr">
        <ns0:is>
          <ns0:t>Both the height comparison and lighthouse location are reversed.</ns0:t>
        </ns0:is>
      </ns0:c>
    </ns0:row>
    <ns0:row r="706" ht="33" customHeight="1">
      <ns0:c r="A706" s="10" t="n">
        <ns0:v>920238</ns0:v>
      </ns0:c>
      <ns0:c r="B706" s="10" t="inlineStr">
        <ns0:is>
          <ns0:t>c</ns0:t>
        </ns0:is>
      </ns0:c>
      <ns0:c r="C706" s="10" t="inlineStr">
        <ns0:is>
          <ns0:t>서도 → 서도</ns0:t>
        </ns0:is>
      </ns0:c>
      <ns0:c r="D706" s="10" t="n">
        <ns0:v>0</ns0:v>
      </ns0:c>
      <ns0:c r="E706" s="10" t="inlineStr">
        <ns0:is>
          <ns0:t>더 높은 섬은 맞지만 등대는 동도에 있어요.</ns0:t>
        </ns0:is>
      </ns0:c>
      <ns0:c r="F706" s="10" t="inlineStr">
        <ns0:is>
          <ns0:t>Seodo → Seodo</ns0:t>
        </ns0:is>
      </ns0:c>
      <ns0:c r="G706" s="10" t="inlineStr">
        <ns0:is>
          <ns0:t>The higher island is correct, but the lighthouse is on Dongdo.</ns0:t>
        </ns0:is>
      </ns0:c>
    </ns0:row>
    <ns0:row r="707" ht="38" customHeight="1">
      <ns0:c r="A707" s="12" t="n">
        <ns0:v>920239</ns0:v>
      </ns0:c>
      <ns0:c r="B707" s="12" t="inlineStr">
        <ns0:is>
          <ns0:t>b</ns0:t>
        </ns0:is>
      </ns0:c>
      <ns0:c r="C707" s="12" t="inlineStr">
        <ns0:is>
          <ns0:t>서도 98.6m·등대 / 동도 168.5m·주민숙소</ns0:t>
        </ns0:is>
      </ns0:c>
      <ns0:c r="D707" s="12" t="n">
        <ns0:v>0</ns0:v>
      </ns0:c>
      <ns0:c r="E707" s="12" t="inlineStr">
        <ns0:is>
          <ns0:t>두 섬의 높이와 시설을 뒤바꿨어요.</ns0:t>
        </ns0:is>
      </ns0:c>
      <ns0:c r="F707" s="12" t="inlineStr">
        <ns0:is>
          <ns0:t>Seodo 98.6 m and lighthouse / Dongdo 168.5 m and accommodation</ns0:t>
        </ns0:is>
      </ns0:c>
      <ns0:c r="G707" s="12" t="inlineStr">
        <ns0:is>
          <ns0:t>The elevations and facilities have been swapped.</ns0:t>
        </ns0:is>
      </ns0:c>
    </ns0:row>
    <ns0:row r="708" ht="38" customHeight="1">
      <ns0:c r="A708" s="10" t="n">
        <ns0:v>920239</ns0:v>
      </ns0:c>
      <ns0:c r="B708" s="10" t="inlineStr">
        <ns0:is>
          <ns0:t>a</ns0:t>
        </ns0:is>
      </ns0:c>
      <ns0:c r="C708" s="10" t="inlineStr">
        <ns0:is>
          <ns0:t>서도 168.5m·주민숙소 / 동도 98.6m·등대</ns0:t>
        </ns0:is>
      </ns0:c>
      <ns0:c r="D708" s="10" t="n">
        <ns0:v>1</ns0:v>
      </ns0:c>
      <ns0:c r="E708" s="10" t="inlineStr">
        <ns0:is>
          <ns0:t>각 섬의 높이와 시설이 안내 카드와 모두 일치해요.</ns0:t>
        </ns0:is>
      </ns0:c>
      <ns0:c r="F708" s="10" t="inlineStr">
        <ns0:is>
          <ns0:t>Seodo 168.5 m and accommodation / Dongdo 98.6 m and lighthouse</ns0:t>
        </ns0:is>
      </ns0:c>
      <ns0:c r="G708" s="10" t="inlineStr">
        <ns0:is>
          <ns0:t>Both elevation and facility match each island’s card.</ns0:t>
        </ns0:is>
      </ns0:c>
    </ns0:row>
    <ns0:row r="709" ht="38" customHeight="1">
      <ns0:c r="A709" s="12" t="n">
        <ns0:v>920239</ns0:v>
      </ns0:c>
      <ns0:c r="B709" s="12" t="inlineStr">
        <ns0:is>
          <ns0:t>c</ns0:t>
        </ns0:is>
      </ns0:c>
      <ns0:c r="C709" s="12" t="inlineStr">
        <ns0:is>
          <ns0:t>서도 168.5m·등대 / 동도 98.6m·주민숙소</ns0:t>
        </ns0:is>
      </ns0:c>
      <ns0:c r="D709" s="12" t="n">
        <ns0:v>0</ns0:v>
      </ns0:c>
      <ns0:c r="E709" s="12" t="inlineStr">
        <ns0:is>
          <ns0:t>높이는 맞지만 시설의 섬이 뒤바뀌었어요.</ns0:t>
        </ns0:is>
      </ns0:c>
      <ns0:c r="F709" s="12" t="inlineStr">
        <ns0:is>
          <ns0:t>Seodo 168.5 m and lighthouse / Dongdo 98.6 m and accommodation</ns0:t>
        </ns0:is>
      </ns0:c>
      <ns0:c r="G709" s="12" t="inlineStr">
        <ns0:is>
          <ns0:t>The elevations are correct, but the facilities are reversed.</ns0:t>
        </ns0:is>
      </ns0:c>
    </ns0:row>
    <ns0:row r="710" ht="38" customHeight="1">
      <ns0:c r="A710" s="10" t="n">
        <ns0:v>920240</ns0:v>
      </ns0:c>
      <ns0:c r="B710" s="10" t="inlineStr">
        <ns0:is>
          <ns0:t>b</ns0:t>
        </ns0:is>
      </ns0:c>
      <ns0:c r="C710" s="10" t="inlineStr">
        <ns0:is>
          <ns0:t>동도 한 섬만 있으며 강 하구 모래가 쌓여 생겼다</ns0:t>
        </ns0:is>
      </ns0:c>
      <ns0:c r="D710" s="10" t="n">
        <ns0:v>0</ns0:v>
      </ns0:c>
      <ns0:c r="E710" s="10" t="inlineStr">
        <ns0:is>
          <ns0:t>서도·부속 도서를 빼고 화산 기원을 강 퇴적으로 바꾼 잘못된 설명이에요.</ns0:t>
        </ns0:is>
      </ns0:c>
      <ns0:c r="F710" s="10" t="inlineStr">
        <ns0:is>
          <ns0:t>It is only Dongdo and formed from river-mouth sand</ns0:t>
        </ns0:is>
      </ns0:c>
      <ns0:c r="G710" s="10" t="inlineStr">
        <ns0:is>
          <ns0:t>This omits Seodo and islets and substitutes a depositional origin for volcanism.</ns0:t>
        </ns0:is>
      </ns0:c>
    </ns0:row>
    <ns0:row r="711" ht="38" customHeight="1">
      <ns0:c r="A711" s="12" t="n">
        <ns0:v>920240</ns0:v>
      </ns0:c>
      <ns0:c r="B711" s="12" t="inlineStr">
        <ns0:is>
          <ns0:t>c</ns0:t>
        </ns0:is>
      </ns0:c>
      <ns0:c r="C711" s="12" t="inlineStr">
        <ns0:is>
          <ns0:t>두 큰 섬은 있지만 모두 산호가 자라 만들어졌다</ns0:t>
        </ns0:is>
      </ns0:c>
      <ns0:c r="D711" s="12" t="n">
        <ns0:v>0</ns0:v>
      </ns0:c>
      <ns0:c r="E711" s="12" t="inlineStr">
        <ns0:is>
          <ns0:t>두 큰 섬이라는 부분은 맞지만 독도는 산호섬이 아니라 화산섬이에요.</ns0:t>
        </ns0:is>
      </ns0:c>
      <ns0:c r="F711" s="12" t="inlineStr">
        <ns0:is>
          <ns0:t>It has two main islands, both formed entirely by coral growth</ns0:t>
        </ns0:is>
      </ns0:c>
      <ns0:c r="G711" s="12" t="inlineStr">
        <ns0:is>
          <ns0:t>The two-island composition is right, but Dokdo is volcanic rather than coral-built.</ns0:t>
        </ns0:is>
      </ns0:c>
    </ns0:row>
    <ns0:row r="712" ht="38" customHeight="1">
      <ns0:c r="A712" s="10" t="n">
        <ns0:v>920240</ns0:v>
      </ns0:c>
      <ns0:c r="B712" s="10" t="inlineStr">
        <ns0:is>
          <ns0:t>a</ns0:t>
        </ns0:is>
      </ns0:c>
      <ns0:c r="C712" s="10" t="inlineStr">
        <ns0:is>
          <ns0:t>두 큰 섬과 부속 도서가 있고, 해저 화산활동으로 형성되었다</ns0:t>
        </ns0:is>
      </ns0:c>
      <ns0:c r="D712" s="10" t="n">
        <ns0:v>1</ns0:v>
      </ns0:c>
      <ns0:c r="E712" s="10" t="inlineStr">
        <ns0:is>
          <ns0:t>구성과 형성 원인이 모두 자료와 맞아요.</ns0:t>
        </ns0:is>
      </ns0:c>
      <ns0:c r="F712" s="10" t="inlineStr">
        <ns0:is>
          <ns0:t>It has two main islands and associated islets and formed through submarine volcanism</ns0:t>
        </ns0:is>
      </ns0:c>
      <ns0:c r="G712" s="10" t="inlineStr">
        <ns0:is>
          <ns0:t>Both the composition and origin match the sources.</ns0:t>
        </ns0:is>
      </ns0:c>
    </ns0:row>
  </ns0:sheetData>
  <ns0:autoFilter ref="A1:G712"/>
  <ns0:pageMargins left="0.75" right="0.75" top="1" bottom="1" header="0.5" footer="0.5"/>
  <ns0:pageSetup orientation="landscape" paperSize="8" fitToHeight="0" fitToWidth="1"/>
</ns0:worksheet>
</file>

<file path=xl/worksheets/sheet4.xml><?xml version="1.0" encoding="utf-8"?>
<ns0:worksheet xmlns:ns0="http://schemas.openxmlformats.org/spreadsheetml/2006/main">
  <ns0:sheetPr>
    <ns0:outlinePr summaryBelow="1" summaryRight="1"/>
    <ns0:pageSetUpPr fitToPage="1"/>
  </ns0:sheetPr>
  <ns0:dimension ref="A1:H241"/>
  <ns0:sheetViews>
    <ns0:sheetView showGridLines="0" workbookViewId="0">
      <ns0:pane xSplit="2" ySplit="1" topLeftCell="C2" activePane="bottomRight" state="frozen"/>
      <ns0:selection pane="topRight"/>
      <ns0:selection pane="bottomLeft"/>
      <ns0:selection pane="bottomRight" activeCell="A1" sqref="A1"/>
    </ns0:sheetView>
  </ns0:sheetViews>
  <ns0:sheetFormatPr baseColWidth="8" defaultRowHeight="15"/>
  <ns0:cols>
    <ns0:col width="12" customWidth="1" min="1" max="1"/>
    <ns0:col width="65" customWidth="1" min="2" max="2"/>
    <ns0:col width="12" customWidth="1" min="3" max="3"/>
    <ns0:col width="75" customWidth="1" min="4" max="4"/>
    <ns0:col width="98" customWidth="1" min="5" max="5"/>
    <ns0:col width="75" customWidth="1" min="6" max="6"/>
    <ns0:col width="85" customWidth="1" min="7" max="7"/>
    <ns0:col width="80" customWidth="1" min="8" max="8"/>
  </ns0:cols>
  <ns0:sheetData>
    <ns0:row r="1" ht="34" customHeight="1">
      <ns0:c r="A1" s="9" t="inlineStr">
        <ns0:is>
          <ns0:t>ID</ns0:t>
        </ns0:is>
      </ns0:c>
      <ns0:c r="B1" s="9" t="inlineStr">
        <ns0:is>
          <ns0:t>질문</ns0:t>
        </ns0:is>
      </ns0:c>
      <ns0:c r="C1" s="9" t="inlineStr">
        <ns0:is>
          <ns0:t>자료 필수</ns0:t>
        </ns0:is>
      </ns0:c>
      <ns0:c r="D1" s="9" t="inlineStr">
        <ns0:is>
          <ns0:t>먼저 알아둘 배경</ns0:t>
        </ns0:is>
      </ns0:c>
      <ns0:c r="E1" s="9" t="inlineStr">
        <ns0:is>
          <ns0:t>문항에 보이는 자료</ns0:t>
        </ns0:is>
      </ns0:c>
      <ns0:c r="F1" s="9" t="inlineStr">
        <ns0:is>
          <ns0:t>자료 범위·해석 표시</ns0:t>
        </ns0:is>
      </ns0:c>
      <ns0:c r="G1" s="9" t="inlineStr">
        <ns0:is>
          <ns0:t>근거 위치</ns0:t>
        </ns0:is>
      </ns0:c>
      <ns0:c r="H1" s="9" t="inlineStr">
        <ns0:is>
          <ns0:t>출처</ns0:t>
        </ns0:is>
      </ns0:c>
    </ns0:row>
    <ns0:row r="2" ht="53" customHeight="1">
      <ns0:c r="A2" s="10" t="n">
        <ns0:v>920001</ns0:v>
      </ns0:c>
      <ns0:c r="B2" s="10" t="inlineStr">
        <ns0:is>
          <ns0:t>독도를 이루는 두 큰 섬의 이름은 무엇인가요?</ns0:t>
        </ns0:is>
      </ns0:c>
      <ns0:c r="C2" s="10" t="n">
        <ns0:v>0</ns0:v>
      </ns0:c>
      <ns0:c r="D2" s="10" t="inlineStr"/>
      <ns0:c r="E2" s="10" t="inlineStr"/>
      <ns0:c r="F2" s="10" t="inlineStr"/>
      <ns0:c r="G2" s="10" t="inlineStr">
        <ns0:is>
          <ns0:t>location: 두 큰 섬·부속 도서 / 높이·면적 / 울릉도·오키섬 거리</ns0:t>
        </ns0:is>
      </ns0:c>
      <ns0:c r="H2" s="10" t="inlineStr">
        <ns0:is>
          <ns0:t>대한민국 외교부 · 독도의 구성 및 위치
https://dokdo.mofa.go.kr/kor/introduce/location.jsp</ns0:t>
        </ns0:is>
      </ns0:c>
    </ns0:row>
    <ns0:row r="3" ht="53" customHeight="1">
      <ns0:c r="A3" s="12" t="n">
        <ns0:v>920002</ns0:v>
      </ns0:c>
      <ns0:c r="B3" s="12" t="inlineStr">
        <ns0:is>
          <ns0:t>독도의 두 큰 섬 주위에는 어떤 땅이 더 있나요?</ns0:t>
        </ns0:is>
      </ns0:c>
      <ns0:c r="C3" s="12" t="n">
        <ns0:v>0</ns0:v>
      </ns0:c>
      <ns0:c r="D3" s="12" t="inlineStr"/>
      <ns0:c r="E3" s="12" t="inlineStr"/>
      <ns0:c r="F3" s="12" t="inlineStr"/>
      <ns0:c r="G3" s="12" t="inlineStr">
        <ns0:is>
          <ns0:t>location: 두 큰 섬·부속 도서 / 높이·면적 / 울릉도·오키섬 거리</ns0:t>
        </ns0:is>
      </ns0:c>
      <ns0:c r="H3" s="12" t="inlineStr">
        <ns0:is>
          <ns0:t>대한민국 외교부 · 독도의 구성 및 위치
https://dokdo.mofa.go.kr/kor/introduce/location.jsp</ns0:t>
        </ns0:is>
      </ns0:c>
    </ns0:row>
    <ns0:row r="4" ht="53" customHeight="1">
      <ns0:c r="A4" s="10" t="n">
        <ns0:v>920003</ns0:v>
      </ns0:c>
      <ns0:c r="B4" s="10" t="inlineStr">
        <ns0:is>
          <ns0:t>독도 안내판에 두 큰 섬만 그렸다면 어떤 땅을 추가해야 하나요?</ns0:t>
        </ns0:is>
      </ns0:c>
      <ns0:c r="C4" s="10" t="n">
        <ns0:v>1</ns0:v>
      </ns0:c>
      <ns0:c r="D4" s="10" t="inlineStr"/>
      <ns0:c r="E4" s="10" t="inlineStr">
        <ns0:is>
          <ns0:t>독도의 구성: 동도 + 서도 + 주변 부속 도서 89개. 부속 도서는 두 큰 섬 주변의 작은 섬들이에요.</ns0:t>
        </ns0:is>
      </ns0:c>
      <ns0:c r="F4" s="10" t="inlineStr"/>
      <ns0:c r="G4" s="10" t="inlineStr">
        <ns0:is>
          <ns0:t>location: 두 큰 섬·부속 도서 / 높이·면적 / 울릉도·오키섬 거리</ns0:t>
        </ns0:is>
      </ns0:c>
      <ns0:c r="H4" s="10" t="inlineStr">
        <ns0:is>
          <ns0:t>대한민국 외교부 · 독도의 구성 및 위치
https://dokdo.mofa.go.kr/kor/introduce/location.jsp</ns0:t>
        </ns0:is>
      </ns0:c>
    </ns0:row>
    <ns0:row r="5" ht="53" customHeight="1">
      <ns0:c r="A5" s="12" t="n">
        <ns0:v>920004</ns0:v>
      </ns0:c>
      <ns0:c r="B5" s="12" t="inlineStr">
        <ns0:is>
          <ns0:t>독도를 ‘동도 한 섬의 이름’이라고 쓴 문장을 어떻게 고쳐야 하나요?</ns0:t>
        </ns0:is>
      </ns0:c>
      <ns0:c r="C5" s="12" t="n">
        <ns0:v>1</ns0:v>
      </ns0:c>
      <ns0:c r="D5" s="12" t="inlineStr"/>
      <ns0:c r="E5" s="12" t="inlineStr">
        <ns0:is>
          <ns0:t>구성 자료에는 동도·서도와 89개 부속 도서가 모두 독도에 포함된다고 나와 있어요.</ns0:t>
        </ns0:is>
      </ns0:c>
      <ns0:c r="F5" s="12" t="inlineStr"/>
      <ns0:c r="G5" s="12" t="inlineStr">
        <ns0:is>
          <ns0:t>location: 두 큰 섬·부속 도서 / 높이·면적 / 울릉도·오키섬 거리</ns0:t>
        </ns0:is>
      </ns0:c>
      <ns0:c r="H5" s="12" t="inlineStr">
        <ns0:is>
          <ns0:t>대한민국 외교부 · 독도의 구성 및 위치
https://dokdo.mofa.go.kr/kor/introduce/location.jsp</ns0:t>
        </ns0:is>
      </ns0:c>
    </ns0:row>
    <ns0:row r="6" ht="98" customHeight="1">
      <ns0:c r="A6" s="10" t="n">
        <ns0:v>920005</ns0:v>
      </ns0:c>
      <ns0:c r="B6" s="10" t="inlineStr">
        <ns0:is>
          <ns0:t>독도는 울릉도에서 어느 방향에 있나요?</ns0:t>
        </ns0:is>
      </ns0:c>
      <ns0:c r="C6" s="10" t="n">
        <ns0:v>0</ns0:v>
      </ns0:c>
      <ns0:c r="D6" s="10" t="inlineStr"/>
      <ns0:c r="E6" s="10" t="inlineStr"/>
      <ns0:c r="F6" s="10" t="inlineStr"/>
      <ns0:c r="G6" s="10" t="inlineStr">
        <ns0:is>
          <ns0:t>address: 동도·서도의 도로명 주소와 위치; 2018년 등록 자료, 2026-09-11 대조
location: 두 큰 섬·부속 도서 / 높이·면적 / 울릉도·오키섬 거리</ns0:t>
        </ns0:is>
      </ns0:c>
      <ns0:c r="H6" s="10" t="inlineStr">
        <ns0:is>
          <ns0:t>대한민국 해양수산부 · 독도의 주소와 위치
https://www.mof.go.kr/doc/ko/selectDoc.do?bbsSeq=27&amp;docSeq=20937&amp;menuSeq=929
대한민국 외교부 · 독도의 구성 및 위치
https://dokdo.mofa.go.kr/kor/introduce/location.jsp</ns0:t>
        </ns0:is>
      </ns0:c>
    </ns0:row>
    <ns0:row r="7" ht="98" customHeight="1">
      <ns0:c r="A7" s="12" t="n">
        <ns0:v>920006</ns0:v>
      </ns0:c>
      <ns0:c r="B7" s="12" t="inlineStr">
        <ns0:is>
          <ns0:t>울릉도와 독도 사이의 거리는 약 얼마인가요?</ns0:t>
        </ns0:is>
      </ns0:c>
      <ns0:c r="C7" s="12" t="n">
        <ns0:v>0</ns0:v>
      </ns0:c>
      <ns0:c r="D7" s="12" t="inlineStr"/>
      <ns0:c r="E7" s="12" t="inlineStr"/>
      <ns0:c r="F7" s="12" t="inlineStr"/>
      <ns0:c r="G7" s="12" t="inlineStr">
        <ns0:is>
          <ns0:t>address: 동도·서도의 도로명 주소와 위치; 2018년 등록 자료, 2026-09-11 대조
location: 두 큰 섬·부속 도서 / 높이·면적 / 울릉도·오키섬 거리</ns0:t>
        </ns0:is>
      </ns0:c>
      <ns0:c r="H7" s="12" t="inlineStr">
        <ns0:is>
          <ns0:t>대한민국 해양수산부 · 독도의 주소와 위치
https://www.mof.go.kr/doc/ko/selectDoc.do?bbsSeq=27&amp;docSeq=20937&amp;menuSeq=929
대한민국 외교부 · 독도의 구성 및 위치
https://dokdo.mofa.go.kr/kor/introduce/location.jsp</ns0:t>
        </ns0:is>
      </ns0:c>
    </ns0:row>
    <ns0:row r="8" ht="98" customHeight="1">
      <ns0:c r="A8" s="10" t="n">
        <ns0:v>920007</ns0:v>
      </ns0:c>
      <ns0:c r="B8" s="10" t="inlineStr">
        <ns0:is>
          <ns0:t>거리표에서 독도에 더 가까운 곳은 어디인가요?</ns0:t>
        </ns0:is>
      </ns0:c>
      <ns0:c r="C8" s="10" t="n">
        <ns0:v>1</ns0:v>
      </ns0:c>
      <ns0:c r="D8" s="10" t="inlineStr"/>
      <ns0:c r="E8" s="10" t="inlineStr">
        <ns0:is>
          <ns0:t>독도에서 울릉도: 87.4km
독도에서 일본 오키섬: 157.5km</ns0:t>
        </ns0:is>
      </ns0:c>
      <ns0:c r="F8" s="10" t="inlineStr"/>
      <ns0:c r="G8" s="10" t="inlineStr">
        <ns0:is>
          <ns0:t>address: 동도·서도의 도로명 주소와 위치; 2018년 등록 자료, 2026-09-11 대조
location: 두 큰 섬·부속 도서 / 높이·면적 / 울릉도·오키섬 거리</ns0:t>
        </ns0:is>
      </ns0:c>
      <ns0:c r="H8" s="10" t="inlineStr">
        <ns0:is>
          <ns0:t>대한민국 해양수산부 · 독도의 주소와 위치
https://www.mof.go.kr/doc/ko/selectDoc.do?bbsSeq=27&amp;docSeq=20937&amp;menuSeq=929
대한민국 외교부 · 독도의 구성 및 위치
https://dokdo.mofa.go.kr/kor/introduce/location.jsp</ns0:t>
        </ns0:is>
      </ns0:c>
    </ns0:row>
    <ns0:row r="9" ht="98" customHeight="1">
      <ns0:c r="A9" s="12" t="n">
        <ns0:v>920008</ns0:v>
      </ns0:c>
      <ns0:c r="B9" s="12" t="inlineStr">
        <ns0:is>
          <ns0:t>독도에서 울릉도까지는 오키섬까지보다 몇 km 더 가까운가요?</ns0:t>
        </ns0:is>
      </ns0:c>
      <ns0:c r="C9" s="12" t="n">
        <ns0:v>1</ns0:v>
      </ns0:c>
      <ns0:c r="D9" s="12" t="inlineStr"/>
      <ns0:c r="E9" s="12" t="inlineStr">
        <ns0:is>
          <ns0:t>독도–울릉도 87.4km, 독도–일본 오키섬 157.5km. 이 수치로 거리의 차이를 계산하세요.</ns0:t>
        </ns0:is>
      </ns0:c>
      <ns0:c r="F9" s="12" t="inlineStr"/>
      <ns0:c r="G9" s="12" t="inlineStr">
        <ns0:is>
          <ns0:t>address: 동도·서도의 도로명 주소와 위치; 2018년 등록 자료, 2026-09-11 대조
location: 두 큰 섬·부속 도서 / 높이·면적 / 울릉도·오키섬 거리</ns0:t>
        </ns0:is>
      </ns0:c>
      <ns0:c r="H9" s="12" t="inlineStr">
        <ns0:is>
          <ns0:t>대한민국 해양수산부 · 독도의 주소와 위치
https://www.mof.go.kr/doc/ko/selectDoc.do?bbsSeq=27&amp;docSeq=20937&amp;menuSeq=929
대한민국 외교부 · 독도의 구성 및 위치
https://dokdo.mofa.go.kr/kor/introduce/location.jsp</ns0:t>
        </ns0:is>
      </ns0:c>
    </ns0:row>
    <ns0:row r="10" ht="53" customHeight="1">
      <ns0:c r="A10" s="10" t="n">
        <ns0:v>920009</ns0:v>
      </ns0:c>
      <ns0:c r="B10" s="10" t="inlineStr">
        <ns0:is>
          <ns0:t>독도의 동쪽에 있는 큰 섬은 무엇인가요?</ns0:t>
        </ns0:is>
      </ns0:c>
      <ns0:c r="C10" s="10" t="n">
        <ns0:v>0</ns0:v>
      </ns0:c>
      <ns0:c r="D10" s="10" t="inlineStr"/>
      <ns0:c r="E10" s="10" t="inlineStr"/>
      <ns0:c r="F10" s="10" t="inlineStr">
        <ns0:is>
          <ns0:t>방향을 단순화한 위치 관계이며 두 섬의 실제 해안선을 그린 지도가 아니에요.</ns0:t>
        </ns0:is>
      </ns0:c>
      <ns0:c r="G10" s="10" t="inlineStr">
        <ns0:is>
          <ns0:t>location: 두 큰 섬·부속 도서 / 높이·면적 / 울릉도·오키섬 거리</ns0:t>
        </ns0:is>
      </ns0:c>
      <ns0:c r="H10" s="10" t="inlineStr">
        <ns0:is>
          <ns0:t>대한민국 외교부 · 독도의 구성 및 위치
https://dokdo.mofa.go.kr/kor/introduce/location.jsp</ns0:t>
        </ns0:is>
      </ns0:c>
    </ns0:row>
    <ns0:row r="11" ht="53" customHeight="1">
      <ns0:c r="A11" s="12" t="n">
        <ns0:v>920010</ns0:v>
      </ns0:c>
      <ns0:c r="B11" s="12" t="inlineStr">
        <ns0:is>
          <ns0:t>독도의 서쪽 큰 섬을 지도에 표시하려면 어떤 이름을 쓰나요?</ns0:t>
        </ns0:is>
      </ns0:c>
      <ns0:c r="C11" s="12" t="n">
        <ns0:v>0</ns0:v>
      </ns0:c>
      <ns0:c r="D11" s="12" t="inlineStr"/>
      <ns0:c r="E11" s="12" t="inlineStr"/>
      <ns0:c r="F11" s="12" t="inlineStr">
        <ns0:is>
          <ns0:t>방향을 단순화한 위치 관계이며 두 섬의 실제 해안선을 그린 지도가 아니에요.</ns0:t>
        </ns0:is>
      </ns0:c>
      <ns0:c r="G11" s="12" t="inlineStr">
        <ns0:is>
          <ns0:t>location: 두 큰 섬·부속 도서 / 높이·면적 / 울릉도·오키섬 거리</ns0:t>
        </ns0:is>
      </ns0:c>
      <ns0:c r="H11" s="12" t="inlineStr">
        <ns0:is>
          <ns0:t>대한민국 외교부 · 독도의 구성 및 위치
https://dokdo.mofa.go.kr/kor/introduce/location.jsp</ns0:t>
        </ns0:is>
      </ns0:c>
    </ns0:row>
    <ns0:row r="12" ht="53" customHeight="1">
      <ns0:c r="A12" s="10" t="n">
        <ns0:v>920011</ns0:v>
      </ns0:c>
      <ns0:c r="B12" s="10" t="inlineStr">
        <ns0:is>
          <ns0:t>위치표에서 A에 넣을 섬 이름은 무엇인가요?</ns0:t>
        </ns0:is>
      </ns0:c>
      <ns0:c r="C12" s="10" t="n">
        <ns0:v>1</ns0:v>
      </ns0:c>
      <ns0:c r="D12" s="10" t="inlineStr"/>
      <ns0:c r="E12" s="10" t="inlineStr">
        <ns0:is>
          <ns0:t>서쪽 ← [ A ] ··· [ 동도 ] → 동쪽
동도와 서도의 방향 관계만 간단히 나타냈어요.</ns0:t>
        </ns0:is>
      </ns0:c>
      <ns0:c r="F12" s="10" t="inlineStr">
        <ns0:is>
          <ns0:t>방향을 단순화한 위치 관계이며 두 섬의 실제 해안선을 그린 지도가 아니에요.</ns0:t>
        </ns0:is>
      </ns0:c>
      <ns0:c r="G12" s="10" t="inlineStr">
        <ns0:is>
          <ns0:t>location: 두 큰 섬·부속 도서 / 높이·면적 / 울릉도·오키섬 거리</ns0:t>
        </ns0:is>
      </ns0:c>
      <ns0:c r="H12" s="10" t="inlineStr">
        <ns0:is>
          <ns0:t>대한민국 외교부 · 독도의 구성 및 위치
https://dokdo.mofa.go.kr/kor/introduce/location.jsp</ns0:t>
        </ns0:is>
      </ns0:c>
    </ns0:row>
    <ns0:row r="13" ht="53" customHeight="1">
      <ns0:c r="A13" s="12" t="n">
        <ns0:v>920012</ns0:v>
      </ns0:c>
      <ns0:c r="B13" s="12" t="inlineStr">
        <ns0:is>
          <ns0:t>동쪽 화살표가 왼쪽을 가리키는 위치표에서 동도는 어느 쪽에 놓이나요?</ns0:t>
        </ns0:is>
      </ns0:c>
      <ns0:c r="C13" s="12" t="n">
        <ns0:v>1</ns0:v>
      </ns0:c>
      <ns0:c r="D13" s="12" t="inlineStr"/>
      <ns0:c r="E13" s="12" t="inlineStr">
        <ns0:is>
          <ns0:t>동쪽 ← [ A ] ··· [ B ] → 서쪽
동도는 동쪽 섬, 서도는 서쪽 섬이에요. 글자 방향이 아니라 화살표를 따라 읽으세요.</ns0:t>
        </ns0:is>
      </ns0:c>
      <ns0:c r="F13" s="12" t="inlineStr">
        <ns0:is>
          <ns0:t>방향을 단순화한 위치 관계이며 두 섬의 실제 해안선을 그린 지도가 아니에요.</ns0:t>
        </ns0:is>
      </ns0:c>
      <ns0:c r="G13" s="12" t="inlineStr">
        <ns0:is>
          <ns0:t>location: 두 큰 섬·부속 도서 / 높이·면적 / 울릉도·오키섬 거리</ns0:t>
        </ns0:is>
      </ns0:c>
      <ns0:c r="H13" s="12" t="inlineStr">
        <ns0:is>
          <ns0:t>대한민국 외교부 · 독도의 구성 및 위치
https://dokdo.mofa.go.kr/kor/introduce/location.jsp</ns0:t>
        </ns0:is>
      </ns0:c>
    </ns0:row>
    <ns0:row r="14" ht="98" customHeight="1">
      <ns0:c r="A14" s="10" t="n">
        <ns0:v>920013</ns0:v>
      </ns0:c>
      <ns0:c r="B14" s="10" t="inlineStr">
        <ns0:is>
          <ns0:t>울릉도에서 독도를 보기 좋은 날씨는 무엇인가요?</ns0:t>
        </ns0:is>
      </ns0:c>
      <ns0:c r="C14" s="10" t="n">
        <ns0:v>0</ns0:v>
      </ns0:c>
      <ns0:c r="D14" s="10" t="inlineStr"/>
      <ns0:c r="E14" s="10" t="inlineStr"/>
      <ns0:c r="F14" s="10" t="inlineStr"/>
      <ns0:c r="G14" s="10" t="inlineStr">
        <ns0:is>
          <ns0:t>sejong: 우산·무릉과 맑은 날의 가시성; 괄호 안 현대 지명은 외교부 해석
location: 두 큰 섬·부속 도서 / 높이·면적 / 울릉도·오키섬 거리</ns0:t>
        </ns0:is>
      </ns0:c>
      <ns0:c r="H14" s="10" t="inlineStr">
        <ns0:is>
          <ns0:t>대한민국 외교부 자료실 · 세종실록 지리지(1454)
https://dokdo.mofa.go.kr/kor/pds/part06_view02.jsp
대한민국 외교부 · 독도의 구성 및 위치
https://dokdo.mofa.go.kr/kor/introduce/location.jsp</ns0:t>
        </ns0:is>
      </ns0:c>
    </ns0:row>
    <ns0:row r="15" ht="98" customHeight="1">
      <ns0:c r="A15" s="12" t="n">
        <ns0:v>920014</ns0:v>
      </ns0:c>
      <ns0:c r="B15" s="12" t="inlineStr">
        <ns0:is>
          <ns0:t>울릉도에서 먼 독도를 보려면 어떤 대기 조건이 필요한가요?</ns0:t>
        </ns0:is>
      </ns0:c>
      <ns0:c r="C15" s="12" t="n">
        <ns0:v>0</ns0:v>
      </ns0:c>
      <ns0:c r="D15" s="12" t="inlineStr"/>
      <ns0:c r="E15" s="12" t="inlineStr"/>
      <ns0:c r="F15" s="12" t="inlineStr"/>
      <ns0:c r="G15" s="12" t="inlineStr">
        <ns0:is>
          <ns0:t>sejong: 우산·무릉과 맑은 날의 가시성; 괄호 안 현대 지명은 외교부 해석
location: 두 큰 섬·부속 도서 / 높이·면적 / 울릉도·오키섬 거리</ns0:t>
        </ns0:is>
      </ns0:c>
      <ns0:c r="H15" s="12" t="inlineStr">
        <ns0:is>
          <ns0:t>대한민국 외교부 자료실 · 세종실록 지리지(1454)
https://dokdo.mofa.go.kr/kor/pds/part06_view02.jsp
대한민국 외교부 · 독도의 구성 및 위치
https://dokdo.mofa.go.kr/kor/introduce/location.jsp</ns0:t>
        </ns0:is>
      </ns0:c>
    </ns0:row>
    <ns0:row r="16" ht="98" customHeight="1">
      <ns0:c r="A16" s="10" t="n">
        <ns0:v>920015</ns0:v>
      </ns0:c>
      <ns0:c r="B16" s="10" t="inlineStr">
        <ns0:is>
          <ns0:t>세종실록 지리지는 두 섬이 보이는 날씨를 어떻게 설명하나요?</ns0:t>
        </ns0:is>
      </ns0:c>
      <ns0:c r="C16" s="10" t="n">
        <ns0:v>1</ns0:v>
      </ns0:c>
      <ns0:c r="D16" s="10" t="inlineStr"/>
      <ns0:c r="E16" s="10" t="inlineStr">
        <ns0:is>
          <ns0:t>1454년 『세종실록』 지리지의 역문 요약: 우산과 무릉 두 섬은 멀리 떨어져 있지 않아 날씨가 맑으면 바라볼 수 있다. 우산·무릉은 아래 출처의 해설에서 독도·울릉도로 풀이해요.</ns0:t>
        </ns0:is>
      </ns0:c>
      <ns0:c r="F16" s="10" t="inlineStr"/>
      <ns0:c r="G16" s="10" t="inlineStr">
        <ns0:is>
          <ns0:t>sejong: 우산·무릉과 맑은 날의 가시성; 괄호 안 현대 지명은 외교부 해석
location: 두 큰 섬·부속 도서 / 높이·면적 / 울릉도·오키섬 거리</ns0:t>
        </ns0:is>
      </ns0:c>
      <ns0:c r="H16" s="10" t="inlineStr">
        <ns0:is>
          <ns0:t>대한민국 외교부 자료실 · 세종실록 지리지(1454)
https://dokdo.mofa.go.kr/kor/pds/part06_view02.jsp
대한민국 외교부 · 독도의 구성 및 위치
https://dokdo.mofa.go.kr/kor/introduce/location.jsp</ns0:t>
        </ns0:is>
      </ns0:c>
    </ns0:row>
    <ns0:row r="17" ht="98" customHeight="1">
      <ns0:c r="A17" s="12" t="n">
        <ns0:v>920016</ns0:v>
      </ns0:c>
      <ns0:c r="B17" s="12" t="inlineStr">
        <ns0:is>
          <ns0:t>두 관찰일 중 울릉도에서 독도를 보기 더 좋은 날은 언제인가요?</ns0:t>
        </ns0:is>
      </ns0:c>
      <ns0:c r="C17" s="12" t="n">
        <ns0:v>1</ns0:v>
      </ns0:c>
      <ns0:c r="D17" s="12" t="inlineStr"/>
      <ns0:c r="E17" s="12" t="inlineStr">
        <ns0:is>
          <ns0:t>관찰 계획을 위한 예시: A일은 안개 없이 시야가 맑다. B일은 짙은 안개로 먼 바다가 보이지 않는다. 같은 울릉도 관찰 지점에서 볼 예정이다.</ns0:t>
        </ns0:is>
      </ns0:c>
      <ns0:c r="F17" s="12" t="inlineStr"/>
      <ns0:c r="G17" s="12" t="inlineStr">
        <ns0:is>
          <ns0:t>sejong: 우산·무릉과 맑은 날의 가시성; 괄호 안 현대 지명은 외교부 해석
location: 두 큰 섬·부속 도서 / 높이·면적 / 울릉도·오키섬 거리</ns0:t>
        </ns0:is>
      </ns0:c>
      <ns0:c r="H17" s="12" t="inlineStr">
        <ns0:is>
          <ns0:t>대한민국 외교부 자료실 · 세종실록 지리지(1454)
https://dokdo.mofa.go.kr/kor/pds/part06_view02.jsp
대한민국 외교부 · 독도의 구성 및 위치
https://dokdo.mofa.go.kr/kor/introduce/location.jsp</ns0:t>
        </ns0:is>
      </ns0:c>
    </ns0:row>
    <ns0:row r="18" ht="98" customHeight="1">
      <ns0:c r="A18" s="10" t="n">
        <ns0:v>920017</ns0:v>
      </ns0:c>
      <ns0:c r="B18" s="10" t="inlineStr">
        <ns0:is>
          <ns0:t>독도의 부속 도서 89개를 셀 때 따로 구분하는 두 큰 섬은 무엇인가요?</ns0:t>
        </ns0:is>
      </ns0:c>
      <ns0:c r="C18" s="10" t="n">
        <ns0:v>0</ns0:v>
      </ns0:c>
      <ns0:c r="D18" s="10" t="inlineStr"/>
      <ns0:c r="E18" s="10" t="inlineStr"/>
      <ns0:c r="F18" s="10" t="inlineStr"/>
      <ns0:c r="G18" s="10" t="inlineStr">
        <ns0:is>
          <ns0:t>location: 두 큰 섬·부속 도서 / 높이·면적 / 울릉도·오키섬 거리
size: 동도 73,297㎡ / 서도 88,740㎡ / 부속 도서 25,517㎡ / 전체 187,554㎡</ns0:t>
        </ns0:is>
      </ns0:c>
      <ns0:c r="H18" s="10" t="inlineStr">
        <ns0:is>
          <ns0:t>대한민국 외교부 · 독도의 구성 및 위치
https://dokdo.mofa.go.kr/kor/introduce/location.jsp
대한민국 한국해양과학기술원 · 독도 위치 및 규모
https://www.dokdo.re.kr/home/cms/cmsCont.do?cntnts_sn=64</ns0:t>
        </ns0:is>
      </ns0:c>
    </ns0:row>
    <ns0:row r="19" ht="98" customHeight="1">
      <ns0:c r="A19" s="12" t="n">
        <ns0:v>920018</ns0:v>
      </ns0:c>
      <ns0:c r="B19" s="12" t="inlineStr">
        <ns0:is>
          <ns0:t>동도·서도와 부속 도서 89개를 합하면 몇 개인가요?</ns0:t>
        </ns0:is>
      </ns0:c>
      <ns0:c r="C19" s="12" t="n">
        <ns0:v>0</ns0:v>
      </ns0:c>
      <ns0:c r="D19" s="12" t="inlineStr"/>
      <ns0:c r="E19" s="12" t="inlineStr"/>
      <ns0:c r="F19" s="12" t="inlineStr"/>
      <ns0:c r="G19" s="12" t="inlineStr">
        <ns0:is>
          <ns0:t>location: 두 큰 섬·부속 도서 / 높이·면적 / 울릉도·오키섬 거리
size: 동도 73,297㎡ / 서도 88,740㎡ / 부속 도서 25,517㎡ / 전체 187,554㎡</ns0:t>
        </ns0:is>
      </ns0:c>
      <ns0:c r="H19" s="12" t="inlineStr">
        <ns0:is>
          <ns0:t>대한민국 외교부 · 독도의 구성 및 위치
https://dokdo.mofa.go.kr/kor/introduce/location.jsp
대한민국 한국해양과학기술원 · 독도 위치 및 규모
https://www.dokdo.re.kr/home/cms/cmsCont.do?cntnts_sn=64</ns0:t>
        </ns0:is>
      </ns0:c>
    </ns0:row>
    <ns0:row r="20" ht="98" customHeight="1">
      <ns0:c r="A20" s="10" t="n">
        <ns0:v>920019</ns0:v>
      </ns0:c>
      <ns0:c r="B20" s="10" t="inlineStr">
        <ns0:is>
          <ns0:t>면적표에서 부속 도서 전체의 넓이는 얼마인가요?</ns0:t>
        </ns0:is>
      </ns0:c>
      <ns0:c r="C20" s="10" t="n">
        <ns0:v>1</ns0:v>
      </ns0:c>
      <ns0:c r="D20" s="10" t="inlineStr"/>
      <ns0:c r="E20" s="10" t="inlineStr">
        <ns0:is>
          <ns0:t>동도 73,297㎡
서도 88,740㎡
부속 도서 89개 25,517㎡
합계 187,554㎡</ns0:t>
        </ns0:is>
      </ns0:c>
      <ns0:c r="F20" s="10" t="inlineStr"/>
      <ns0:c r="G20" s="10" t="inlineStr">
        <ns0:is>
          <ns0:t>location: 두 큰 섬·부속 도서 / 높이·면적 / 울릉도·오키섬 거리
size: 동도 73,297㎡ / 서도 88,740㎡ / 부속 도서 25,517㎡ / 전체 187,554㎡</ns0:t>
        </ns0:is>
      </ns0:c>
      <ns0:c r="H20" s="10" t="inlineStr">
        <ns0:is>
          <ns0:t>대한민국 외교부 · 독도의 구성 및 위치
https://dokdo.mofa.go.kr/kor/introduce/location.jsp
대한민국 한국해양과학기술원 · 독도 위치 및 규모
https://www.dokdo.re.kr/home/cms/cmsCont.do?cntnts_sn=64</ns0:t>
        </ns0:is>
      </ns0:c>
    </ns0:row>
    <ns0:row r="21" ht="98" customHeight="1">
      <ns0:c r="A21" s="12" t="n">
        <ns0:v>920020</ns0:v>
      </ns0:c>
      <ns0:c r="B21" s="12" t="inlineStr">
        <ns0:is>
          <ns0:t>독도 전체 면적을 동도와 서도 면적만 더해 계산하면 무엇이 빠지나요?</ns0:t>
        </ns0:is>
      </ns0:c>
      <ns0:c r="C21" s="12" t="n">
        <ns0:v>1</ns0:v>
      </ns0:c>
      <ns0:c r="D21" s="12" t="inlineStr"/>
      <ns0:c r="E21" s="12" t="inlineStr">
        <ns0:is>
          <ns0:t>독도 전체 땅 면적 187,554㎡ / 동도 73,297㎡ / 서도 88,740㎡. 부속 도서도 독도를 이루는 땅이에요.</ns0:t>
        </ns0:is>
      </ns0:c>
      <ns0:c r="F21" s="12" t="inlineStr"/>
      <ns0:c r="G21" s="12" t="inlineStr">
        <ns0:is>
          <ns0:t>location: 두 큰 섬·부속 도서 / 높이·면적 / 울릉도·오키섬 거리
size: 동도 73,297㎡ / 서도 88,740㎡ / 부속 도서 25,517㎡ / 전체 187,554㎡</ns0:t>
        </ns0:is>
      </ns0:c>
      <ns0:c r="H21" s="12" t="inlineStr">
        <ns0:is>
          <ns0:t>대한민국 외교부 · 독도의 구성 및 위치
https://dokdo.mofa.go.kr/kor/introduce/location.jsp
대한민국 한국해양과학기술원 · 독도 위치 및 규모
https://www.dokdo.re.kr/home/cms/cmsCont.do?cntnts_sn=64</ns0:t>
        </ns0:is>
      </ns0:c>
    </ns0:row>
    <ns0:row r="22" ht="98" customHeight="1">
      <ns0:c r="A22" s="10" t="n">
        <ns0:v>920021</ns0:v>
      </ns0:c>
      <ns0:c r="B22" s="10" t="inlineStr">
        <ns0:is>
          <ns0:t>독도의 두 큰 섬 중 더 높은 섬은 무엇인가요?</ns0:t>
        </ns0:is>
      </ns0:c>
      <ns0:c r="C22" s="10" t="n">
        <ns0:v>0</ns0:v>
      </ns0:c>
      <ns0:c r="D22" s="10" t="inlineStr"/>
      <ns0:c r="E22" s="10" t="inlineStr"/>
      <ns0:c r="F22" s="10" t="inlineStr"/>
      <ns0:c r="G22" s="10" t="inlineStr">
        <ns0:is>
          <ns0:t>location: 두 큰 섬·부속 도서 / 높이·면적 / 울릉도·오키섬 거리
size: 동도 73,297㎡ / 서도 88,740㎡ / 부속 도서 25,517㎡ / 전체 187,554㎡</ns0:t>
        </ns0:is>
      </ns0:c>
      <ns0:c r="H22" s="10" t="inlineStr">
        <ns0:is>
          <ns0:t>대한민국 외교부 · 독도의 구성 및 위치
https://dokdo.mofa.go.kr/kor/introduce/location.jsp
대한민국 한국해양과학기술원 · 독도 위치 및 규모
https://www.dokdo.re.kr/home/cms/cmsCont.do?cntnts_sn=64</ns0:t>
        </ns0:is>
      </ns0:c>
    </ns0:row>
    <ns0:row r="23" ht="98" customHeight="1">
      <ns0:c r="A23" s="12" t="n">
        <ns0:v>920022</ns0:v>
      </ns0:c>
      <ns0:c r="B23" s="12" t="inlineStr">
        <ns0:is>
          <ns0:t>독도에서 최고 높이가 98.6m인 큰 섬은 무엇인가요?</ns0:t>
        </ns0:is>
      </ns0:c>
      <ns0:c r="C23" s="12" t="n">
        <ns0:v>0</ns0:v>
      </ns0:c>
      <ns0:c r="D23" s="12" t="inlineStr"/>
      <ns0:c r="E23" s="12" t="inlineStr"/>
      <ns0:c r="F23" s="12" t="inlineStr"/>
      <ns0:c r="G23" s="12" t="inlineStr">
        <ns0:is>
          <ns0:t>location: 두 큰 섬·부속 도서 / 높이·면적 / 울릉도·오키섬 거리
size: 동도 73,297㎡ / 서도 88,740㎡ / 부속 도서 25,517㎡ / 전체 187,554㎡</ns0:t>
        </ns0:is>
      </ns0:c>
      <ns0:c r="H23" s="12" t="inlineStr">
        <ns0:is>
          <ns0:t>대한민국 외교부 · 독도의 구성 및 위치
https://dokdo.mofa.go.kr/kor/introduce/location.jsp
대한민국 한국해양과학기술원 · 독도 위치 및 규모
https://www.dokdo.re.kr/home/cms/cmsCont.do?cntnts_sn=64</ns0:t>
        </ns0:is>
      </ns0:c>
    </ns0:row>
    <ns0:row r="24" ht="98" customHeight="1">
      <ns0:c r="A24" s="10" t="n">
        <ns0:v>920023</ns0:v>
      </ns0:c>
      <ns0:c r="B24" s="10" t="inlineStr">
        <ns0:is>
          <ns0:t>높이표에 따르면 서도는 동도보다 몇 m 더 높은가요?</ns0:t>
        </ns0:is>
      </ns0:c>
      <ns0:c r="C24" s="10" t="n">
        <ns0:v>1</ns0:v>
      </ns0:c>
      <ns0:c r="D24" s="10" t="inlineStr"/>
      <ns0:c r="E24" s="10" t="inlineStr">
        <ns0:is>
          <ns0:t>서도 최고 높이 168.5m
동도 최고 높이 98.6m
두 값은 해수면을 기준으로 한 높이예요.</ns0:t>
        </ns0:is>
      </ns0:c>
      <ns0:c r="F24" s="10" t="inlineStr"/>
      <ns0:c r="G24" s="10" t="inlineStr">
        <ns0:is>
          <ns0:t>location: 두 큰 섬·부속 도서 / 높이·면적 / 울릉도·오키섬 거리
size: 동도 73,297㎡ / 서도 88,740㎡ / 부속 도서 25,517㎡ / 전체 187,554㎡</ns0:t>
        </ns0:is>
      </ns0:c>
      <ns0:c r="H24" s="10" t="inlineStr">
        <ns0:is>
          <ns0:t>대한민국 외교부 · 독도의 구성 및 위치
https://dokdo.mofa.go.kr/kor/introduce/location.jsp
대한민국 한국해양과학기술원 · 독도 위치 및 규모
https://www.dokdo.re.kr/home/cms/cmsCont.do?cntnts_sn=64</ns0:t>
        </ns0:is>
      </ns0:c>
    </ns0:row>
    <ns0:row r="25" ht="98" customHeight="1">
      <ns0:c r="A25" s="12" t="n">
        <ns0:v>920024</ns0:v>
      </ns0:c>
      <ns0:c r="B25" s="12" t="inlineStr">
        <ns0:is>
          <ns0:t>표의 높이를 기준으로 100m보다 높은 곳이 있는 섬은 어디인가요?</ns0:t>
        </ns0:is>
      </ns0:c>
      <ns0:c r="C25" s="12" t="n">
        <ns0:v>1</ns0:v>
      </ns0:c>
      <ns0:c r="D25" s="12" t="inlineStr"/>
      <ns0:c r="E25" s="12" t="inlineStr">
        <ns0:is>
          <ns0:t>서도 168.5m / 동도 98.6m. 지형도의 100m 높이선을 넣을 수 있는 섬을 판단하려고 해요.</ns0:t>
        </ns0:is>
      </ns0:c>
      <ns0:c r="F25" s="12" t="inlineStr"/>
      <ns0:c r="G25" s="12" t="inlineStr">
        <ns0:is>
          <ns0:t>location: 두 큰 섬·부속 도서 / 높이·면적 / 울릉도·오키섬 거리
size: 동도 73,297㎡ / 서도 88,740㎡ / 부속 도서 25,517㎡ / 전체 187,554㎡</ns0:t>
        </ns0:is>
      </ns0:c>
      <ns0:c r="H25" s="12" t="inlineStr">
        <ns0:is>
          <ns0:t>대한민국 외교부 · 독도의 구성 및 위치
https://dokdo.mofa.go.kr/kor/introduce/location.jsp
대한민국 한국해양과학기술원 · 독도 위치 및 규모
https://www.dokdo.re.kr/home/cms/cmsCont.do?cntnts_sn=64</ns0:t>
        </ns0:is>
      </ns0:c>
    </ns0:row>
    <ns0:row r="26" ht="98" customHeight="1">
      <ns0:c r="A26" s="10" t="n">
        <ns0:v>920025</ns0:v>
      </ns0:c>
      <ns0:c r="B26" s="10" t="inlineStr">
        <ns0:is>
          <ns0:t>독도의 두 큰 섬 중 땅의 넓이가 더 넓은 섬은 무엇인가요?</ns0:t>
        </ns0:is>
      </ns0:c>
      <ns0:c r="C26" s="10" t="n">
        <ns0:v>0</ns0:v>
      </ns0:c>
      <ns0:c r="D26" s="10" t="inlineStr"/>
      <ns0:c r="E26" s="10" t="inlineStr"/>
      <ns0:c r="F26" s="10" t="inlineStr"/>
      <ns0:c r="G26" s="10" t="inlineStr">
        <ns0:is>
          <ns0:t>location: 두 큰 섬·부속 도서 / 높이·면적 / 울릉도·오키섬 거리
size: 동도 73,297㎡ / 서도 88,740㎡ / 부속 도서 25,517㎡ / 전체 187,554㎡</ns0:t>
        </ns0:is>
      </ns0:c>
      <ns0:c r="H26" s="10" t="inlineStr">
        <ns0:is>
          <ns0:t>대한민국 외교부 · 독도의 구성 및 위치
https://dokdo.mofa.go.kr/kor/introduce/location.jsp
대한민국 한국해양과학기술원 · 독도 위치 및 규모
https://www.dokdo.re.kr/home/cms/cmsCont.do?cntnts_sn=64</ns0:t>
        </ns0:is>
      </ns0:c>
    </ns0:row>
    <ns0:row r="27" ht="98" customHeight="1">
      <ns0:c r="A27" s="12" t="n">
        <ns0:v>920026</ns0:v>
      </ns0:c>
      <ns0:c r="B27" s="12" t="inlineStr">
        <ns0:is>
          <ns0:t>독도 면적표의 ㎡는 무엇을 나타내는 단위인가요?</ns0:t>
        </ns0:is>
      </ns0:c>
      <ns0:c r="C27" s="12" t="n">
        <ns0:v>1</ns0:v>
      </ns0:c>
      <ns0:c r="D27" s="12" t="inlineStr"/>
      <ns0:c r="E27" s="12" t="inlineStr">
        <ns0:is>
          <ns0:t>서도: 88,740㎡ / 동도: 73,297㎡</ns0:t>
        </ns0:is>
      </ns0:c>
      <ns0:c r="F27" s="12" t="inlineStr"/>
      <ns0:c r="G27" s="12" t="inlineStr">
        <ns0:is>
          <ns0:t>location: 두 큰 섬·부속 도서 / 높이·면적 / 울릉도·오키섬 거리
size: 동도 73,297㎡ / 서도 88,740㎡ / 부속 도서 25,517㎡ / 전체 187,554㎡</ns0:t>
        </ns0:is>
      </ns0:c>
      <ns0:c r="H27" s="12" t="inlineStr">
        <ns0:is>
          <ns0:t>대한민국 외교부 · 독도의 구성 및 위치
https://dokdo.mofa.go.kr/kor/introduce/location.jsp
대한민국 한국해양과학기술원 · 독도 위치 및 규모
https://www.dokdo.re.kr/home/cms/cmsCont.do?cntnts_sn=64</ns0:t>
        </ns0:is>
      </ns0:c>
    </ns0:row>
    <ns0:row r="28" ht="98" customHeight="1">
      <ns0:c r="A28" s="10" t="n">
        <ns0:v>920027</ns0:v>
      </ns0:c>
      <ns0:c r="B28" s="10" t="inlineStr">
        <ns0:is>
          <ns0:t>표에서 해안선의 둘레가 더 긴 큰 섬은 어디인가요?</ns0:t>
        </ns0:is>
      </ns0:c>
      <ns0:c r="C28" s="10" t="n">
        <ns0:v>1</ns0:v>
      </ns0:c>
      <ns0:c r="D28" s="10" t="inlineStr"/>
      <ns0:c r="E28" s="10" t="inlineStr">
        <ns0:is>
          <ns0:t>동도: 면적 73,297㎡, 둘레 2.8km
서도: 면적 88,740㎡, 둘레 2.6km</ns0:t>
        </ns0:is>
      </ns0:c>
      <ns0:c r="F28" s="10" t="inlineStr"/>
      <ns0:c r="G28" s="10" t="inlineStr">
        <ns0:is>
          <ns0:t>location: 두 큰 섬·부속 도서 / 높이·면적 / 울릉도·오키섬 거리
size: 동도 73,297㎡ / 서도 88,740㎡ / 부속 도서 25,517㎡ / 전체 187,554㎡</ns0:t>
        </ns0:is>
      </ns0:c>
      <ns0:c r="H28" s="10" t="inlineStr">
        <ns0:is>
          <ns0:t>대한민국 외교부 · 독도의 구성 및 위치
https://dokdo.mofa.go.kr/kor/introduce/location.jsp
대한민국 한국해양과학기술원 · 독도 위치 및 규모
https://www.dokdo.re.kr/home/cms/cmsCont.do?cntnts_sn=64</ns0:t>
        </ns0:is>
      </ns0:c>
    </ns0:row>
    <ns0:row r="29" ht="98" customHeight="1">
      <ns0:c r="A29" s="12" t="n">
        <ns0:v>920028</ns0:v>
      </ns0:c>
      <ns0:c r="B29" s="12" t="inlineStr">
        <ns0:is>
          <ns0:t>표에 맞게 서도와 동도의 면적·둘레를 함께 비교한 것은 무엇인가요?</ns0:t>
        </ns0:is>
      </ns0:c>
      <ns0:c r="C29" s="12" t="n">
        <ns0:v>1</ns0:v>
      </ns0:c>
      <ns0:c r="D29" s="12" t="inlineStr"/>
      <ns0:c r="E29" s="12" t="inlineStr">
        <ns0:is>
          <ns0:t>동도 73,297㎡ / 둘레 2.8km
서도 88,740㎡ / 둘레 2.6km
면적은 땅의 넓이, 둘레는 해안선을 따라 잰 길이예요.</ns0:t>
        </ns0:is>
      </ns0:c>
      <ns0:c r="F29" s="12" t="inlineStr"/>
      <ns0:c r="G29" s="12" t="inlineStr">
        <ns0:is>
          <ns0:t>location: 두 큰 섬·부속 도서 / 높이·면적 / 울릉도·오키섬 거리
size: 동도 73,297㎡ / 서도 88,740㎡ / 부속 도서 25,517㎡ / 전체 187,554㎡</ns0:t>
        </ns0:is>
      </ns0:c>
      <ns0:c r="H29" s="12" t="inlineStr">
        <ns0:is>
          <ns0:t>대한민국 외교부 · 독도의 구성 및 위치
https://dokdo.mofa.go.kr/kor/introduce/location.jsp
대한민국 한국해양과학기술원 · 독도 위치 및 규모
https://www.dokdo.re.kr/home/cms/cmsCont.do?cntnts_sn=64</ns0:t>
        </ns0:is>
      </ns0:c>
    </ns0:row>
    <ns0:row r="30" ht="113" customHeight="1">
      <ns0:c r="A30" s="10" t="n">
        <ns0:v>920029</ns0:v>
      </ns0:c>
      <ns0:c r="B30" s="10" t="inlineStr">
        <ns0:is>
          <ns0:t>동도와 서도는 무엇을 사이에 두고 떨어져 있나요?</ns0:t>
        </ns0:is>
      </ns0:c>
      <ns0:c r="C30" s="10" t="n">
        <ns0:v>0</ns0:v>
      </ns0:c>
      <ns0:c r="D30" s="10" t="inlineStr"/>
      <ns0:c r="E30" s="10" t="inlineStr"/>
      <ns0:c r="F30" s="10" t="inlineStr">
        <ns0:is>
          <ns0:t>해안 사이의 간격이지 두 정상 사이 거리나 걷는 길의 길이가 아니에요.</ns0:t>
        </ns0:is>
      </ns0:c>
      <ns0:c r="G30" s="10" t="inlineStr">
        <ns0:is>
          <ns0:t>geology: 해저 화산의 형성 / 해안 침식 지형 / 물골 / 지형 변화
reserve: 해안지형·조류 번식지·식생 보호; 지정 날짜를 묻는 문항은 제외</ns0:t>
        </ns0:is>
      </ns0:c>
      <ns0:c r="H30" s="10" t="inlineStr">
        <ns0:is>
          <ns0:t>대한민국 한국해양과학기술원 · 독도 지형 및 지질
https://www.dokdo.re.kr/home/cms/cmsCont.do?cntnts_sn=66
대한민국 국가유산청 · 독도 천연보호구역
https://www.heritage.go.kr/heri/cul/culSelectDetail.do?VdkVgwKey=16%2C03360000%2C37&amp;pageNo=1_1_2_0</ns0:t>
        </ns0:is>
      </ns0:c>
    </ns0:row>
    <ns0:row r="31" ht="113" customHeight="1">
      <ns0:c r="A31" s="12" t="n">
        <ns0:v>920030</ns0:v>
      </ns0:c>
      <ns0:c r="B31" s="12" t="inlineStr">
        <ns0:is>
          <ns0:t>동도와 서도의 가장 가까운 해안 사이 거리는 약 얼마인가요?</ns0:t>
        </ns0:is>
      </ns0:c>
      <ns0:c r="C31" s="12" t="n">
        <ns0:v>0</ns0:v>
      </ns0:c>
      <ns0:c r="D31" s="12" t="inlineStr"/>
      <ns0:c r="E31" s="12" t="inlineStr"/>
      <ns0:c r="F31" s="12" t="inlineStr">
        <ns0:is>
          <ns0:t>해안 사이의 간격이지 두 정상 사이 거리나 걷는 길의 길이가 아니에요.</ns0:t>
        </ns0:is>
      </ns0:c>
      <ns0:c r="G31" s="12" t="inlineStr">
        <ns0:is>
          <ns0:t>geology: 해저 화산의 형성 / 해안 침식 지형 / 물골 / 지형 변화
reserve: 해안지형·조류 번식지·식생 보호; 지정 날짜를 묻는 문항은 제외</ns0:t>
        </ns0:is>
      </ns0:c>
      <ns0:c r="H31" s="12" t="inlineStr">
        <ns0:is>
          <ns0:t>대한민국 한국해양과학기술원 · 독도 지형 및 지질
https://www.dokdo.re.kr/home/cms/cmsCont.do?cntnts_sn=66
대한민국 국가유산청 · 독도 천연보호구역
https://www.heritage.go.kr/heri/cul/culSelectDetail.do?VdkVgwKey=16%2C03360000%2C37&amp;pageNo=1_1_2_0</ns0:t>
        </ns0:is>
      </ns0:c>
    </ns0:row>
    <ns0:row r="32" ht="113" customHeight="1">
      <ns0:c r="A32" s="10" t="n">
        <ns0:v>920031</ns0:v>
      </ns0:c>
      <ns0:c r="B32" s="10" t="inlineStr">
        <ns0:is>
          <ns0:t>151m라는 간격을 지도에 표시할 때 양 끝은 어디에 두어야 하나요?</ns0:t>
        </ns0:is>
      </ns0:c>
      <ns0:c r="C32" s="10" t="n">
        <ns0:v>1</ns0:v>
      </ns0:c>
      <ns0:c r="D32" s="10" t="inlineStr"/>
      <ns0:c r="E32" s="10" t="inlineStr">
        <ns0:is>
          <ns0:t>거리 설명: 동도와 서도가 가장 가까이 마주한 해안 사이의 간격은 약 151m이다.</ns0:t>
        </ns0:is>
      </ns0:c>
      <ns0:c r="F32" s="10" t="inlineStr">
        <ns0:is>
          <ns0:t>해안 사이의 간격이지 두 정상 사이 거리나 걷는 길의 길이가 아니에요.</ns0:t>
        </ns0:is>
      </ns0:c>
      <ns0:c r="G32" s="10" t="inlineStr">
        <ns0:is>
          <ns0:t>geology: 해저 화산의 형성 / 해안 침식 지형 / 물골 / 지형 변화
reserve: 해안지형·조류 번식지·식생 보호; 지정 날짜를 묻는 문항은 제외</ns0:t>
        </ns0:is>
      </ns0:c>
      <ns0:c r="H32" s="10" t="inlineStr">
        <ns0:is>
          <ns0:t>대한민국 한국해양과학기술원 · 독도 지형 및 지질
https://www.dokdo.re.kr/home/cms/cmsCont.do?cntnts_sn=66
대한민국 국가유산청 · 독도 천연보호구역
https://www.heritage.go.kr/heri/cul/culSelectDetail.do?VdkVgwKey=16%2C03360000%2C37&amp;pageNo=1_1_2_0</ns0:t>
        </ns0:is>
      </ns0:c>
    </ns0:row>
    <ns0:row r="33" ht="113" customHeight="1">
      <ns0:c r="A33" s="12" t="n">
        <ns0:v>920032</ns0:v>
      </ns0:c>
      <ns0:c r="B33" s="12" t="inlineStr">
        <ns0:is>
          <ns0:t>축척이 1cm당 50m인 지도에서 151m 간격은 약 몇 cm인가요?</ns0:t>
        </ns0:is>
      </ns0:c>
      <ns0:c r="C33" s="12" t="n">
        <ns0:v>1</ns0:v>
      </ns0:c>
      <ns0:c r="D33" s="12" t="inlineStr"/>
      <ns0:c r="E33" s="12" t="inlineStr">
        <ns0:is>
          <ns0:t>실제 해안 간격: 약 151m
학습용 지도 축척: 1cm가 실제 50m를 나타냄
이 축척은 계산 연습을 위해 정한 값이에요.</ns0:t>
        </ns0:is>
      </ns0:c>
      <ns0:c r="F33" s="12" t="inlineStr">
        <ns0:is>
          <ns0:t>해안 사이의 간격이지 두 정상 사이 거리나 걷는 길의 길이가 아니에요.</ns0:t>
        </ns0:is>
      </ns0:c>
      <ns0:c r="G33" s="12" t="inlineStr">
        <ns0:is>
          <ns0:t>geology: 해저 화산의 형성 / 해안 침식 지형 / 물골 / 지형 변화
reserve: 해안지형·조류 번식지·식생 보호; 지정 날짜를 묻는 문항은 제외</ns0:t>
        </ns0:is>
      </ns0:c>
      <ns0:c r="H33" s="12" t="inlineStr">
        <ns0:is>
          <ns0:t>대한민국 한국해양과학기술원 · 독도 지형 및 지질
https://www.dokdo.re.kr/home/cms/cmsCont.do?cntnts_sn=66
대한민국 국가유산청 · 독도 천연보호구역
https://www.heritage.go.kr/heri/cul/culSelectDetail.do?VdkVgwKey=16%2C03360000%2C37&amp;pageNo=1_1_2_0</ns0:t>
        </ns0:is>
      </ns0:c>
    </ns0:row>
    <ns0:row r="34" ht="98" customHeight="1">
      <ns0:c r="A34" s="10" t="n">
        <ns0:v>920033</ns0:v>
      </ns0:c>
      <ns0:c r="B34" s="10" t="inlineStr">
        <ns0:is>
          <ns0:t>독도에서 가파른 봉우리가 두드러지는 큰 섬은 무엇인가요?</ns0:t>
        </ns0:is>
      </ns0:c>
      <ns0:c r="C34" s="10" t="n">
        <ns0:v>0</ns0:v>
      </ns0:c>
      <ns0:c r="D34" s="10" t="inlineStr"/>
      <ns0:c r="E34" s="10" t="inlineStr"/>
      <ns0:c r="F34" s="10" t="inlineStr"/>
      <ns0:c r="G34" s="10" t="inlineStr">
        <ns0:is>
          <ns0:t>reserve: 해안지형·조류 번식지·식생 보호; 지정 날짜를 묻는 문항은 제외
photos: 두 섬·선착장·등대로 가는 길·바위의 사진 설명; 사진 파일은 재배포하지 않음</ns0:t>
        </ns0:is>
      </ns0:c>
      <ns0:c r="H34" s="10" t="inlineStr">
        <ns0:is>
          <ns0:t>대한민국 국가유산청 · 독도 천연보호구역
https://www.heritage.go.kr/heri/cul/culSelectDetail.do?VdkVgwKey=16%2C03360000%2C37&amp;pageNo=1_1_2_0
대한민국 전북교육청 · 독도 사진 자료
https://www.jbe.go.kr/dokdo/assets/sub/picture.html</ns0:t>
        </ns0:is>
      </ns0:c>
    </ns0:row>
    <ns0:row r="35" ht="98" customHeight="1">
      <ns0:c r="A35" s="12" t="n">
        <ns0:v>920034</ns0:v>
      </ns0:c>
      <ns0:c r="B35" s="12" t="inlineStr">
        <ns0:is>
          <ns0:t>독도의 헬기장 등 시설이 자리한 비교적 평탄한 상부는 어느 섬에 있나요?</ns0:t>
        </ns0:is>
      </ns0:c>
      <ns0:c r="C35" s="12" t="n">
        <ns0:v>0</ns0:v>
      </ns0:c>
      <ns0:c r="D35" s="12" t="inlineStr"/>
      <ns0:c r="E35" s="12" t="inlineStr"/>
      <ns0:c r="F35" s="12" t="inlineStr"/>
      <ns0:c r="G35" s="12" t="inlineStr">
        <ns0:is>
          <ns0:t>reserve: 해안지형·조류 번식지·식생 보호; 지정 날짜를 묻는 문항은 제외
photos: 두 섬·선착장·등대로 가는 길·바위의 사진 설명; 사진 파일은 재배포하지 않음</ns0:t>
        </ns0:is>
      </ns0:c>
      <ns0:c r="H35" s="12" t="inlineStr">
        <ns0:is>
          <ns0:t>대한민국 국가유산청 · 독도 천연보호구역
https://www.heritage.go.kr/heri/cul/culSelectDetail.do?VdkVgwKey=16%2C03360000%2C37&amp;pageNo=1_1_2_0
대한민국 전북교육청 · 독도 사진 자료
https://www.jbe.go.kr/dokdo/assets/sub/picture.html</ns0:t>
        </ns0:is>
      </ns0:c>
    </ns0:row>
    <ns0:row r="36" ht="98" customHeight="1">
      <ns0:c r="A36" s="10" t="n">
        <ns0:v>920035</ns0:v>
      </ns0:c>
      <ns0:c r="B36" s="10" t="inlineStr">
        <ns0:is>
          <ns0:t>지형 설명 A는 동도와 서도 중 어느 섬인가요?</ns0:t>
        </ns0:is>
      </ns0:c>
      <ns0:c r="C36" s="10" t="n">
        <ns0:v>1</ns0:v>
      </ns0:c>
      <ns0:c r="D36" s="10" t="inlineStr"/>
      <ns0:c r="E36" s="10" t="inlineStr">
        <ns0:is>
          <ns0:t>A: 해안에는 절벽이 있고, 정상 부근은 비교적 평탄하여 헬기장과 시설이 있다.
B: 높고 가파른 봉우리가 두드러진다.</ns0:t>
        </ns0:is>
      </ns0:c>
      <ns0:c r="F36" s="10" t="inlineStr"/>
      <ns0:c r="G36" s="10" t="inlineStr">
        <ns0:is>
          <ns0:t>reserve: 해안지형·조류 번식지·식생 보호; 지정 날짜를 묻는 문항은 제외
photos: 두 섬·선착장·등대로 가는 길·바위의 사진 설명; 사진 파일은 재배포하지 않음</ns0:t>
        </ns0:is>
      </ns0:c>
      <ns0:c r="H36" s="10" t="inlineStr">
        <ns0:is>
          <ns0:t>대한민국 국가유산청 · 독도 천연보호구역
https://www.heritage.go.kr/heri/cul/culSelectDetail.do?VdkVgwKey=16%2C03360000%2C37&amp;pageNo=1_1_2_0
대한민국 전북교육청 · 독도 사진 자료
https://www.jbe.go.kr/dokdo/assets/sub/picture.html</ns0:t>
        </ns0:is>
      </ns0:c>
    </ns0:row>
    <ns0:row r="37" ht="98" customHeight="1">
      <ns0:c r="A37" s="12" t="n">
        <ns0:v>920036</ns0:v>
      </ns0:c>
      <ns0:c r="B37" s="12" t="inlineStr">
        <ns0:is>
          <ns0:t>독도 모형에서 동도를 서도와 똑같은 뾰족한 산으로 만들었다면 무엇을 고쳐야 하나요?</ns0:t>
        </ns0:is>
      </ns0:c>
      <ns0:c r="C37" s="12" t="n">
        <ns0:v>1</ns0:v>
      </ns0:c>
      <ns0:c r="D37" s="12" t="inlineStr"/>
      <ns0:c r="E37" s="12" t="inlineStr">
        <ns0:is>
          <ns0:t>지형 자료: 서도 168.5m, 가파른 봉우리 / 동도 98.6m, 해안 절벽과 비교적 평탄한 정상 부근.
수정할 모형: 두 섬을 높이만 다른 똑같은 뾰족한 산으로 만듦.</ns0:t>
        </ns0:is>
      </ns0:c>
      <ns0:c r="F37" s="12" t="inlineStr"/>
      <ns0:c r="G37" s="12" t="inlineStr">
        <ns0:is>
          <ns0:t>reserve: 해안지형·조류 번식지·식생 보호; 지정 날짜를 묻는 문항은 제외
photos: 두 섬·선착장·등대로 가는 길·바위의 사진 설명; 사진 파일은 재배포하지 않음</ns0:t>
        </ns0:is>
      </ns0:c>
      <ns0:c r="H37" s="12" t="inlineStr">
        <ns0:is>
          <ns0:t>대한민국 국가유산청 · 독도 천연보호구역
https://www.heritage.go.kr/heri/cul/culSelectDetail.do?VdkVgwKey=16%2C03360000%2C37&amp;pageNo=1_1_2_0
대한민국 전북교육청 · 독도 사진 자료
https://www.jbe.go.kr/dokdo/assets/sub/picture.html</ns0:t>
        </ns0:is>
      </ns0:c>
    </ns0:row>
    <ns0:row r="38" ht="53" customHeight="1">
      <ns0:c r="A38" s="10" t="n">
        <ns0:v>920037</ns0:v>
      </ns0:c>
      <ns0:c r="B38" s="10" t="inlineStr">
        <ns0:is>
          <ns0:t>동도와 서도 아래 바닷속에도 독도의 지형이 이어지나요?</ns0:t>
        </ns0:is>
      </ns0:c>
      <ns0:c r="C38" s="10" t="n">
        <ns0:v>0</ns0:v>
      </ns0:c>
      <ns0:c r="D38" s="10" t="inlineStr"/>
      <ns0:c r="E38" s="10" t="inlineStr"/>
      <ns0:c r="F38" s="10" t="inlineStr"/>
      <ns0:c r="G38" s="10" t="inlineStr">
        <ns0:is>
          <ns0:t>geology: 해저 화산의 형성 / 해안 침식 지형 / 물골 / 지형 변화</ns0:t>
        </ns0:is>
      </ns0:c>
      <ns0:c r="H38" s="10" t="inlineStr">
        <ns0:is>
          <ns0:t>대한민국 한국해양과학기술원 · 독도 지형 및 지질
https://www.dokdo.re.kr/home/cms/cmsCont.do?cntnts_sn=66</ns0:t>
        </ns0:is>
      </ns0:c>
    </ns0:row>
    <ns0:row r="39" ht="53" customHeight="1">
      <ns0:c r="A39" s="12" t="n">
        <ns0:v>920038</ns0:v>
      </ns0:c>
      <ns0:c r="B39" s="12" t="inlineStr">
        <ns0:is>
          <ns0:t>독도의 두 큰 섬은 무엇의 일부가 바다 위로 드러난 것인가요?</ns0:t>
        </ns0:is>
      </ns0:c>
      <ns0:c r="C39" s="12" t="n">
        <ns0:v>0</ns0:v>
      </ns0:c>
      <ns0:c r="D39" s="12" t="inlineStr"/>
      <ns0:c r="E39" s="12" t="inlineStr"/>
      <ns0:c r="F39" s="12" t="inlineStr"/>
      <ns0:c r="G39" s="12" t="inlineStr">
        <ns0:is>
          <ns0:t>geology: 해저 화산의 형성 / 해안 침식 지형 / 물골 / 지형 변화</ns0:t>
        </ns0:is>
      </ns0:c>
      <ns0:c r="H39" s="12" t="inlineStr">
        <ns0:is>
          <ns0:t>대한민국 한국해양과학기술원 · 독도 지형 및 지질
https://www.dokdo.re.kr/home/cms/cmsCont.do?cntnts_sn=66</ns0:t>
        </ns0:is>
      </ns0:c>
    </ns0:row>
    <ns0:row r="40" ht="68" customHeight="1">
      <ns0:c r="A40" s="10" t="n">
        <ns0:v>920039</ns0:v>
      </ns0:c>
      <ns0:c r="B40" s="10" t="inlineStr">
        <ns0:is>
          <ns0:t>독도 설명의 약 2,300m는 어디서부터 잰 규모인가요?</ns0:t>
        </ns0:is>
      </ns0:c>
      <ns0:c r="C40" s="10" t="n">
        <ns0:v>1</ns0:v>
      </ns0:c>
      <ns0:c r="D40" s="10" t="inlineStr"/>
      <ns0:c r="E40" s="10" t="inlineStr">
        <ns0:is>
          <ns0:t>서도의 해발 높이: 168.5m.
독도 화산체의 전체 높이: 해저 기저부부터 약 2,300m.
높이를 비교할 때 출발 기준을 확인하세요.</ns0:t>
        </ns0:is>
      </ns0:c>
      <ns0:c r="F40" s="10" t="inlineStr"/>
      <ns0:c r="G40" s="10" t="inlineStr">
        <ns0:is>
          <ns0:t>geology: 해저 화산의 형성 / 해안 침식 지형 / 물골 / 지형 변화</ns0:t>
        </ns0:is>
      </ns0:c>
      <ns0:c r="H40" s="10" t="inlineStr">
        <ns0:is>
          <ns0:t>대한민국 한국해양과학기술원 · 독도 지형 및 지질
https://www.dokdo.re.kr/home/cms/cmsCont.do?cntnts_sn=66</ns0:t>
        </ns0:is>
      </ns0:c>
    </ns0:row>
    <ns0:row r="41" ht="53" customHeight="1">
      <ns0:c r="A41" s="12" t="n">
        <ns0:v>920040</ns0:v>
      </ns0:c>
      <ns0:c r="B41" s="12" t="inlineStr">
        <ns0:is>
          <ns0:t>168.5m와 약 2,300m를 함께 독도의 높이라고 쓰는 까닭은 무엇인가요?</ns0:t>
        </ns0:is>
      </ns0:c>
      <ns0:c r="C41" s="12" t="n">
        <ns0:v>1</ns0:v>
      </ns0:c>
      <ns0:c r="D41" s="12" t="inlineStr"/>
      <ns0:c r="E41" s="12" t="inlineStr">
        <ns0:is>
          <ns0:t>해수면 → 서도 정상: 168.5m
해저 화산체 기저부 → 화산체 상부: 약 2,300m</ns0:t>
        </ns0:is>
      </ns0:c>
      <ns0:c r="F41" s="12" t="inlineStr"/>
      <ns0:c r="G41" s="12" t="inlineStr">
        <ns0:is>
          <ns0:t>geology: 해저 화산의 형성 / 해안 침식 지형 / 물골 / 지형 변화</ns0:t>
        </ns0:is>
      </ns0:c>
      <ns0:c r="H41" s="12" t="inlineStr">
        <ns0:is>
          <ns0:t>대한민국 한국해양과학기술원 · 독도 지형 및 지질
https://www.dokdo.re.kr/home/cms/cmsCont.do?cntnts_sn=66</ns0:t>
        </ns0:is>
      </ns0:c>
    </ns0:row>
    <ns0:row r="42" ht="53" customHeight="1">
      <ns0:c r="A42" s="10" t="n">
        <ns0:v>920041</ns0:v>
      </ns0:c>
      <ns0:c r="B42" s="10" t="inlineStr">
        <ns0:is>
          <ns0:t>독도를 처음 만든 자연 현상은 무엇인가요?</ns0:t>
        </ns0:is>
      </ns0:c>
      <ns0:c r="C42" s="10" t="n">
        <ns0:v>0</ns0:v>
      </ns0:c>
      <ns0:c r="D42" s="10" t="inlineStr"/>
      <ns0:c r="E42" s="10" t="inlineStr"/>
      <ns0:c r="F42" s="10" t="inlineStr"/>
      <ns0:c r="G42" s="10" t="inlineStr">
        <ns0:is>
          <ns0:t>geology: 해저 화산의 형성 / 해안 침식 지형 / 물골 / 지형 변화</ns0:t>
        </ns0:is>
      </ns0:c>
      <ns0:c r="H42" s="10" t="inlineStr">
        <ns0:is>
          <ns0:t>대한민국 한국해양과학기술원 · 독도 지형 및 지질
https://www.dokdo.re.kr/home/cms/cmsCont.do?cntnts_sn=66</ns0:t>
        </ns0:is>
      </ns0:c>
    </ns0:row>
    <ns0:row r="43" ht="53" customHeight="1">
      <ns0:c r="A43" s="12" t="n">
        <ns0:v>920042</ns0:v>
      </ns0:c>
      <ns0:c r="B43" s="12" t="inlineStr">
        <ns0:is>
          <ns0:t>독도의 화산활동이 시작된 곳은 어디인가요?</ns0:t>
        </ns0:is>
      </ns0:c>
      <ns0:c r="C43" s="12" t="n">
        <ns0:v>0</ns0:v>
      </ns0:c>
      <ns0:c r="D43" s="12" t="inlineStr"/>
      <ns0:c r="E43" s="12" t="inlineStr"/>
      <ns0:c r="F43" s="12" t="inlineStr"/>
      <ns0:c r="G43" s="12" t="inlineStr">
        <ns0:is>
          <ns0:t>geology: 해저 화산의 형성 / 해안 침식 지형 / 물골 / 지형 변화</ns0:t>
        </ns0:is>
      </ns0:c>
      <ns0:c r="H43" s="12" t="inlineStr">
        <ns0:is>
          <ns0:t>대한민국 한국해양과학기술원 · 독도 지형 및 지질
https://www.dokdo.re.kr/home/cms/cmsCont.do?cntnts_sn=66</ns0:t>
        </ns0:is>
      </ns0:c>
    </ns0:row>
    <ns0:row r="44" ht="53" customHeight="1">
      <ns0:c r="A44" s="10" t="n">
        <ns0:v>920043</ns0:v>
      </ns0:c>
      <ns0:c r="B44" s="10" t="inlineStr">
        <ns0:is>
          <ns0:t>독도의 형성 과정을 순서대로 놓으면 무엇인가요?</ns0:t>
        </ns0:is>
      </ns0:c>
      <ns0:c r="C44" s="10" t="n">
        <ns0:v>1</ns0:v>
      </ns0:c>
      <ns0:c r="D44" s="10" t="inlineStr"/>
      <ns0:c r="E44" s="10" t="inlineStr">
        <ns0:is>
          <ns0:t>해저에서 화산 물질이 분출했다. 분출물이 쌓여 화산체가 자랐다. 화산체 일부가 바다 위로 드러났다.</ns0:t>
        </ns0:is>
      </ns0:c>
      <ns0:c r="F44" s="10" t="inlineStr"/>
      <ns0:c r="G44" s="10" t="inlineStr">
        <ns0:is>
          <ns0:t>geology: 해저 화산의 형성 / 해안 침식 지형 / 물골 / 지형 변화</ns0:t>
        </ns0:is>
      </ns0:c>
      <ns0:c r="H44" s="10" t="inlineStr">
        <ns0:is>
          <ns0:t>대한민국 한국해양과학기술원 · 독도 지형 및 지질
https://www.dokdo.re.kr/home/cms/cmsCont.do?cntnts_sn=66</ns0:t>
        </ns0:is>
      </ns0:c>
    </ns0:row>
    <ns0:row r="45" ht="53" customHeight="1">
      <ns0:c r="A45" s="12" t="n">
        <ns0:v>920044</ns0:v>
      </ns0:c>
      <ns0:c r="B45" s="12" t="inlineStr">
        <ns0:is>
          <ns0:t>독도 해안이 파도에 깎인다는 사실과 화산 기원을 함께 설명한 것은 무엇인가요?</ns0:t>
        </ns0:is>
      </ns0:c>
      <ns0:c r="C45" s="12" t="n">
        <ns0:v>1</ns0:v>
      </ns0:c>
      <ns0:c r="D45" s="12" t="inlineStr"/>
      <ns0:c r="E45" s="12" t="inlineStr">
        <ns0:is>
          <ns0:t>독도는 해저 화산활동으로 만들어졌다. 수면 위로 드러난 뒤 침식이 우세해져, 처음 드러났던 화산체의 일부가 남은 것으로 설명된다.</ns0:t>
        </ns0:is>
      </ns0:c>
      <ns0:c r="F45" s="12" t="inlineStr"/>
      <ns0:c r="G45" s="12" t="inlineStr">
        <ns0:is>
          <ns0:t>geology: 해저 화산의 형성 / 해안 침식 지형 / 물골 / 지형 변화</ns0:t>
        </ns0:is>
      </ns0:c>
      <ns0:c r="H45" s="12" t="inlineStr">
        <ns0:is>
          <ns0:t>대한민국 한국해양과학기술원 · 독도 지형 및 지질
https://www.dokdo.re.kr/home/cms/cmsCont.do?cntnts_sn=66</ns0:t>
        </ns0:is>
      </ns0:c>
    </ns0:row>
    <ns0:row r="46" ht="53" customHeight="1">
      <ns0:c r="A46" s="10" t="n">
        <ns0:v>920045</ns0:v>
      </ns0:c>
      <ns0:c r="B46" s="10" t="inlineStr">
        <ns0:is>
          <ns0:t>독도는 먼저 어디에서 자란 뒤 물 위로 드러났나요?</ns0:t>
        </ns0:is>
      </ns0:c>
      <ns0:c r="C46" s="10" t="n">
        <ns0:v>0</ns0:v>
      </ns0:c>
      <ns0:c r="D46" s="10" t="inlineStr"/>
      <ns0:c r="E46" s="10" t="inlineStr"/>
      <ns0:c r="F46" s="10" t="inlineStr">
        <ns0:is>
          <ns0:t>형성 시기는 연구 자료의 대략적인 추정값이며 정확한 하루를 뜻하지 않아요.</ns0:t>
        </ns0:is>
      </ns0:c>
      <ns0:c r="G46" s="10" t="inlineStr">
        <ns0:is>
          <ns0:t>geology: 해저 화산의 형성 / 해안 침식 지형 / 물골 / 지형 변화</ns0:t>
        </ns0:is>
      </ns0:c>
      <ns0:c r="H46" s="10" t="inlineStr">
        <ns0:is>
          <ns0:t>대한민국 한국해양과학기술원 · 독도 지형 및 지질
https://www.dokdo.re.kr/home/cms/cmsCont.do?cntnts_sn=66</ns0:t>
        </ns0:is>
      </ns0:c>
    </ns0:row>
    <ns0:row r="47" ht="53" customHeight="1">
      <ns0:c r="A47" s="12" t="n">
        <ns0:v>920046</ns0:v>
      </ns0:c>
      <ns0:c r="B47" s="12" t="inlineStr">
        <ns0:is>
          <ns0:t>독도가 생긴 뒤 해안을 깎아 온 작용은 무엇인가요?</ns0:t>
        </ns0:is>
      </ns0:c>
      <ns0:c r="C47" s="12" t="n">
        <ns0:v>0</ns0:v>
      </ns0:c>
      <ns0:c r="D47" s="12" t="inlineStr"/>
      <ns0:c r="E47" s="12" t="inlineStr"/>
      <ns0:c r="F47" s="12" t="inlineStr">
        <ns0:is>
          <ns0:t>형성 시기는 연구 자료의 대략적인 추정값이며 정확한 하루를 뜻하지 않아요.</ns0:t>
        </ns0:is>
      </ns0:c>
      <ns0:c r="G47" s="12" t="inlineStr">
        <ns0:is>
          <ns0:t>geology: 해저 화산의 형성 / 해안 침식 지형 / 물골 / 지형 변화</ns0:t>
        </ns0:is>
      </ns0:c>
      <ns0:c r="H47" s="12" t="inlineStr">
        <ns0:is>
          <ns0:t>대한민국 한국해양과학기술원 · 독도 지형 및 지질
https://www.dokdo.re.kr/home/cms/cmsCont.do?cntnts_sn=66</ns0:t>
        </ns0:is>
      </ns0:c>
    </ns0:row>
    <ns0:row r="48" ht="53" customHeight="1">
      <ns0:c r="A48" s="10" t="n">
        <ns0:v>920047</ns0:v>
      </ns0:c>
      <ns0:c r="B48" s="10" t="inlineStr">
        <ns0:is>
          <ns0:t>제시된 독도 형성 연표에서 먼저 일어난 일은 무엇인가요?</ns0:t>
        </ns0:is>
      </ns0:c>
      <ns0:c r="C48" s="10" t="n">
        <ns0:v>1</ns0:v>
      </ns0:c>
      <ns0:c r="D48" s="10" t="inlineStr"/>
      <ns0:c r="E48" s="10" t="inlineStr">
        <ns0:is>
          <ns0:t>형성 자료 요약: 최소 약 460만 년 전 해저 화산활동으로 형성되기 시작했고, 약 250만 년 전부터 수면 위로 드러났다.</ns0:t>
        </ns0:is>
      </ns0:c>
      <ns0:c r="F48" s="10" t="inlineStr">
        <ns0:is>
          <ns0:t>형성 시기는 연구 자료의 대략적인 추정값이며 정확한 하루를 뜻하지 않아요.</ns0:t>
        </ns0:is>
      </ns0:c>
      <ns0:c r="G48" s="10" t="inlineStr">
        <ns0:is>
          <ns0:t>geology: 해저 화산의 형성 / 해안 침식 지형 / 물골 / 지형 변화</ns0:t>
        </ns0:is>
      </ns0:c>
      <ns0:c r="H48" s="10" t="inlineStr">
        <ns0:is>
          <ns0:t>대한민국 한국해양과학기술원 · 독도 지형 및 지질
https://www.dokdo.re.kr/home/cms/cmsCont.do?cntnts_sn=66</ns0:t>
        </ns0:is>
      </ns0:c>
    </ns0:row>
    <ns0:row r="49" ht="53" customHeight="1">
      <ns0:c r="A49" s="12" t="n">
        <ns0:v>920048</ns0:v>
      </ns0:c>
      <ns0:c r="B49" s="12" t="inlineStr">
        <ns0:is>
          <ns0:t>형성 연표에서 460만 년 전과 250만 년 전의 차이는 약 몇 년인가요?</ns0:t>
        </ns0:is>
      </ns0:c>
      <ns0:c r="C49" s="12" t="n">
        <ns0:v>1</ns0:v>
      </ns0:c>
      <ns0:c r="D49" s="12" t="inlineStr"/>
      <ns0:c r="E49" s="12" t="inlineStr">
        <ns0:is>
          <ns0:t>계산에 사용할 대략적인 시점: 해저 화산활동 460만 년 전 / 수면 위 출현 250만 년 전. 실제 형성은 오랜 과정이며 이 계산이 정확한 형성 기간을 확정하지는 않아요.</ns0:t>
        </ns0:is>
      </ns0:c>
      <ns0:c r="F49" s="12" t="inlineStr">
        <ns0:is>
          <ns0:t>형성 시기는 연구 자료의 대략적인 추정값이며 정확한 하루를 뜻하지 않아요.</ns0:t>
        </ns0:is>
      </ns0:c>
      <ns0:c r="G49" s="12" t="inlineStr">
        <ns0:is>
          <ns0:t>geology: 해저 화산의 형성 / 해안 침식 지형 / 물골 / 지형 변화</ns0:t>
        </ns0:is>
      </ns0:c>
      <ns0:c r="H49" s="12" t="inlineStr">
        <ns0:is>
          <ns0:t>대한민국 한국해양과학기술원 · 독도 지형 및 지질
https://www.dokdo.re.kr/home/cms/cmsCont.do?cntnts_sn=66</ns0:t>
        </ns0:is>
      </ns0:c>
    </ns0:row>
    <ns0:row r="50" ht="113" customHeight="1">
      <ns0:c r="A50" s="10" t="n">
        <ns0:v>920049</ns0:v>
      </ns0:c>
      <ns0:c r="B50" s="10" t="inlineStr">
        <ns0:is>
          <ns0:t>독도 해안의 바위를 깎는 바닷물의 움직임은 무엇인가요?</ns0:t>
        </ns0:is>
      </ns0:c>
      <ns0:c r="C50" s="10" t="n">
        <ns0:v>0</ns0:v>
      </ns0:c>
      <ns0:c r="D50" s="10" t="inlineStr"/>
      <ns0:c r="E50" s="10" t="inlineStr"/>
      <ns0:c r="F50" s="10" t="inlineStr"/>
      <ns0:c r="G50" s="10" t="inlineStr">
        <ns0:is>
          <ns0:t>geology: 해저 화산의 형성 / 해안 침식 지형 / 물골 / 지형 변화
arch: 동도 해식아치의 형태와 형성</ns0:t>
        </ns0:is>
      </ns0:c>
      <ns0:c r="H50" s="10" t="inlineStr">
        <ns0:is>
          <ns0:t>대한민국 한국해양과학기술원 · 독도 지형 및 지질
https://www.dokdo.re.kr/home/cms/cmsCont.do?cntnts_sn=66
대한민국 한국관광공사 · 독립문바위
https://korean.visitkorea.or.kr/detail/ms_detail.do?cotid=0fe4eeb6-3f6a-48b1-ab75-c8d4ab6b43be</ns0:t>
        </ns0:is>
      </ns0:c>
    </ns0:row>
    <ns0:row r="51" ht="113" customHeight="1">
      <ns0:c r="A51" s="12" t="n">
        <ns0:v>920050</ns0:v>
      </ns0:c>
      <ns0:c r="B51" s="12" t="inlineStr">
        <ns0:is>
          <ns0:t>독도 해안의 바위가 파도에 깎이는 작용을 무엇이라고 하나요?</ns0:t>
        </ns0:is>
      </ns0:c>
      <ns0:c r="C51" s="12" t="n">
        <ns0:v>0</ns0:v>
      </ns0:c>
      <ns0:c r="D51" s="12" t="inlineStr"/>
      <ns0:c r="E51" s="12" t="inlineStr"/>
      <ns0:c r="F51" s="12" t="inlineStr"/>
      <ns0:c r="G51" s="12" t="inlineStr">
        <ns0:is>
          <ns0:t>geology: 해저 화산의 형성 / 해안 침식 지형 / 물골 / 지형 변화
arch: 동도 해식아치의 형태와 형성</ns0:t>
        </ns0:is>
      </ns0:c>
      <ns0:c r="H51" s="12" t="inlineStr">
        <ns0:is>
          <ns0:t>대한민국 한국해양과학기술원 · 독도 지형 및 지질
https://www.dokdo.re.kr/home/cms/cmsCont.do?cntnts_sn=66
대한민국 한국관광공사 · 독립문바위
https://korean.visitkorea.or.kr/detail/ms_detail.do?cotid=0fe4eeb6-3f6a-48b1-ab75-c8d4ab6b43be</ns0:t>
        </ns0:is>
      </ns0:c>
    </ns0:row>
    <ns0:row r="52" ht="113" customHeight="1">
      <ns0:c r="A52" s="10" t="n">
        <ns0:v>920051</ns0:v>
      </ns0:c>
      <ns0:c r="B52" s="10" t="inlineStr">
        <ns0:is>
          <ns0:t>설명된 독립문바위의 아치 구멍을 만드는 데 영향을 준 작용은 무엇인가요?</ns0:t>
        </ns0:is>
      </ns0:c>
      <ns0:c r="C52" s="10" t="n">
        <ns0:v>1</ns0:v>
      </ns0:c>
      <ns0:c r="D52" s="10" t="inlineStr"/>
      <ns0:c r="E52" s="10" t="inlineStr">
        <ns0:is>
          <ns0:t>독립문바위는 동도에 있는 해식아치예요. 해식아치는 해안의 바위가 깎여 아치 모양으로 남은 지형이에요.</ns0:t>
        </ns0:is>
      </ns0:c>
      <ns0:c r="F52" s="10" t="inlineStr"/>
      <ns0:c r="G52" s="10" t="inlineStr">
        <ns0:is>
          <ns0:t>geology: 해저 화산의 형성 / 해안 침식 지형 / 물골 / 지형 변화
arch: 동도 해식아치의 형태와 형성</ns0:t>
        </ns0:is>
      </ns0:c>
      <ns0:c r="H52" s="10" t="inlineStr">
        <ns0:is>
          <ns0:t>대한민국 한국해양과학기술원 · 독도 지형 및 지질
https://www.dokdo.re.kr/home/cms/cmsCont.do?cntnts_sn=66
대한민국 한국관광공사 · 독립문바위
https://korean.visitkorea.or.kr/detail/ms_detail.do?cotid=0fe4eeb6-3f6a-48b1-ab75-c8d4ab6b43be</ns0:t>
        </ns0:is>
      </ns0:c>
    </ns0:row>
    <ns0:row r="53" ht="113" customHeight="1">
      <ns0:c r="A53" s="12" t="n">
        <ns0:v>920052</ns0:v>
      </ns0:c>
      <ns0:c r="B53" s="12" t="inlineStr">
        <ns0:is>
          <ns0:t>독도 바위를 관찰해 해식 지형으로 분류할 수 있는 설명은 무엇인가요?</ns0:t>
        </ns0:is>
      </ns0:c>
      <ns0:c r="C53" s="12" t="n">
        <ns0:v>1</ns0:v>
      </ns0:c>
      <ns0:c r="D53" s="12" t="inlineStr"/>
      <ns0:c r="E53" s="12" t="inlineStr">
        <ns0:is>
          <ns0:t>분류 기준: 해식은 파도 등에 의해 해안 바위가 깎이는 과정이다. 독도의 해식동굴·해식아치는 이 과정과 관련된다.</ns0:t>
        </ns0:is>
      </ns0:c>
      <ns0:c r="F53" s="12" t="inlineStr"/>
      <ns0:c r="G53" s="12" t="inlineStr">
        <ns0:is>
          <ns0:t>geology: 해저 화산의 형성 / 해안 침식 지형 / 물골 / 지형 변화
arch: 동도 해식아치의 형태와 형성</ns0:t>
        </ns0:is>
      </ns0:c>
      <ns0:c r="H53" s="12" t="inlineStr">
        <ns0:is>
          <ns0:t>대한민국 한국해양과학기술원 · 독도 지형 및 지질
https://www.dokdo.re.kr/home/cms/cmsCont.do?cntnts_sn=66
대한민국 한국관광공사 · 독립문바위
https://korean.visitkorea.or.kr/detail/ms_detail.do?cotid=0fe4eeb6-3f6a-48b1-ab75-c8d4ab6b43be</ns0:t>
        </ns0:is>
      </ns0:c>
    </ns0:row>
    <ns0:row r="54" ht="53" customHeight="1">
      <ns0:c r="A54" s="10" t="n">
        <ns0:v>920053</ns0:v>
      </ns0:c>
      <ns0:c r="B54" s="10" t="inlineStr">
        <ns0:is>
          <ns0:t>독도의 바위가 바람과 추위 등에 오래 노출되어 약해지는 과정을 무엇이라고 하나요?</ns0:t>
        </ns0:is>
      </ns0:c>
      <ns0:c r="C54" s="10" t="n">
        <ns0:v>0</ns0:v>
      </ns0:c>
      <ns0:c r="D54" s="10" t="inlineStr"/>
      <ns0:c r="E54" s="10" t="inlineStr"/>
      <ns0:c r="F54" s="10" t="inlineStr"/>
      <ns0:c r="G54" s="10" t="inlineStr">
        <ns0:is>
          <ns0:t>geology: 해저 화산의 형성 / 해안 침식 지형 / 물골 / 지형 변화</ns0:t>
        </ns0:is>
      </ns0:c>
      <ns0:c r="H54" s="10" t="inlineStr">
        <ns0:is>
          <ns0:t>대한민국 한국해양과학기술원 · 독도 지형 및 지질
https://www.dokdo.re.kr/home/cms/cmsCont.do?cntnts_sn=66</ns0:t>
        </ns0:is>
      </ns0:c>
    </ns0:row>
    <ns0:row r="55" ht="53" customHeight="1">
      <ns0:c r="A55" s="12" t="n">
        <ns0:v>920054</ns0:v>
      </ns0:c>
      <ns0:c r="B55" s="12" t="inlineStr">
        <ns0:is>
          <ns0:t>독도 해안에서 깎인 바위 조각이 다른 곳에 쌓이는 과정은 무엇인가요?</ns0:t>
        </ns0:is>
      </ns0:c>
      <ns0:c r="C55" s="12" t="n">
        <ns0:v>0</ns0:v>
      </ns0:c>
      <ns0:c r="D55" s="12" t="inlineStr"/>
      <ns0:c r="E55" s="12" t="inlineStr"/>
      <ns0:c r="F55" s="12" t="inlineStr"/>
      <ns0:c r="G55" s="12" t="inlineStr">
        <ns0:is>
          <ns0:t>geology: 해저 화산의 형성 / 해안 침식 지형 / 물골 / 지형 변화</ns0:t>
        </ns0:is>
      </ns0:c>
      <ns0:c r="H55" s="12" t="inlineStr">
        <ns0:is>
          <ns0:t>대한민국 한국해양과학기술원 · 독도 지형 및 지질
https://www.dokdo.re.kr/home/cms/cmsCont.do?cntnts_sn=66</ns0:t>
        </ns0:is>
      </ns0:c>
    </ns0:row>
    <ns0:row r="56" ht="53" customHeight="1">
      <ns0:c r="A56" s="10" t="n">
        <ns0:v>920055</ns0:v>
      </ns0:c>
      <ns0:c r="B56" s="10" t="inlineStr">
        <ns0:is>
          <ns0:t>독도 바위가 약해진 뒤 파도에 깎였다는 설명의 과정 순서는 무엇인가요?</ns0:t>
        </ns0:is>
      </ns0:c>
      <ns0:c r="C56" s="10" t="n">
        <ns0:v>1</ns0:v>
      </ns0:c>
      <ns0:c r="D56" s="10" t="inlineStr"/>
      <ns0:c r="E56" s="10" t="inlineStr">
        <ns0:is>
          <ns0:t>관찰 예시: 독도 해안 바위에 틈이 커졌다. 약해진 부분을 파도가 깎아 바위 조각을 옮겼다. 실제 특정 날짜의 조사값이 아닌 과정 설명이에요.</ns0:t>
        </ns0:is>
      </ns0:c>
      <ns0:c r="F56" s="10" t="inlineStr"/>
      <ns0:c r="G56" s="10" t="inlineStr">
        <ns0:is>
          <ns0:t>geology: 해저 화산의 형성 / 해안 침식 지형 / 물골 / 지형 변화</ns0:t>
        </ns0:is>
      </ns0:c>
      <ns0:c r="H56" s="10" t="inlineStr">
        <ns0:is>
          <ns0:t>대한민국 한국해양과학기술원 · 독도 지형 및 지질
https://www.dokdo.re.kr/home/cms/cmsCont.do?cntnts_sn=66</ns0:t>
        </ns0:is>
      </ns0:c>
    </ns0:row>
    <ns0:row r="57" ht="53" customHeight="1">
      <ns0:c r="A57" s="12" t="n">
        <ns0:v>920056</ns0:v>
      </ns0:c>
      <ns0:c r="B57" s="12" t="inlineStr">
        <ns0:is>
          <ns0:t>독도 해안선의 변화를 비교하려면 어느 자료 묶음이 적합한가요?</ns0:t>
        </ns0:is>
      </ns0:c>
      <ns0:c r="C57" s="12" t="n">
        <ns0:v>1</ns0:v>
      </ns0:c>
      <ns0:c r="D57" s="12" t="inlineStr"/>
      <ns0:c r="E57" s="12" t="inlineStr">
        <ns0:is>
          <ns0:t>독도 해안에서는 풍화·침식으로 작은 지형 변화가 생길 수 있어요. 조사에서는 같은 구간의 과거 모습과 새 측정 결과를 대조하려고 해요.</ns0:t>
        </ns0:is>
      </ns0:c>
      <ns0:c r="F57" s="12" t="inlineStr"/>
      <ns0:c r="G57" s="12" t="inlineStr">
        <ns0:is>
          <ns0:t>geology: 해저 화산의 형성 / 해안 침식 지형 / 물골 / 지형 변화</ns0:t>
        </ns0:is>
      </ns0:c>
      <ns0:c r="H57" s="12" t="inlineStr">
        <ns0:is>
          <ns0:t>대한민국 한국해양과학기술원 · 독도 지형 및 지질
https://www.dokdo.re.kr/home/cms/cmsCont.do?cntnts_sn=66</ns0:t>
        </ns0:is>
      </ns0:c>
    </ns0:row>
    <ns0:row r="58" ht="98" customHeight="1">
      <ns0:c r="A58" s="10" t="n">
        <ns0:v>920057</ns0:v>
      </ns0:c>
      <ns0:c r="B58" s="10" t="inlineStr">
        <ns0:is>
          <ns0:t>독도의 물골은 어느 큰 섬에 있나요?</ns0:t>
        </ns0:is>
      </ns0:c>
      <ns0:c r="C58" s="10" t="n">
        <ns0:v>0</ns0:v>
      </ns0:c>
      <ns0:c r="D58" s="10" t="inlineStr"/>
      <ns0:c r="E58" s="10" t="inlineStr"/>
      <ns0:c r="F58" s="10" t="inlineStr"/>
      <ns0:c r="G58" s="10" t="inlineStr">
        <ns0:is>
          <ns0:t>geology: 해저 화산의 형성 / 해안 침식 지형 / 물골 / 지형 변화
facility: 서도 주민숙소 / 동도 접안시설·등대·경비대 / 담수시설</ns0:t>
        </ns0:is>
      </ns0:c>
      <ns0:c r="H58" s="10" t="inlineStr">
        <ns0:is>
          <ns0:t>대한민국 한국해양과학기술원 · 독도 지형 및 지질
https://www.dokdo.re.kr/home/cms/cmsCont.do?cntnts_sn=66
대한민국 외교부 · 독도 주요시설물
https://dokdo.mofa.go.kr/kor/introduce/facility.jsp</ns0:t>
        </ns0:is>
      </ns0:c>
    </ns0:row>
    <ns0:row r="59" ht="98" customHeight="1">
      <ns0:c r="A59" s="12" t="n">
        <ns0:v>920058</ns0:v>
      </ns0:c>
      <ns0:c r="B59" s="12" t="inlineStr">
        <ns0:is>
          <ns0:t>담수화 시설이 생기기 전, 독도의 물골은 주로 무엇에 쓰였나요?</ns0:t>
        </ns0:is>
      </ns0:c>
      <ns0:c r="C59" s="12" t="n">
        <ns0:v>0</ns0:v>
      </ns0:c>
      <ns0:c r="D59" s="12" t="inlineStr"/>
      <ns0:c r="E59" s="12" t="inlineStr"/>
      <ns0:c r="F59" s="12" t="inlineStr"/>
      <ns0:c r="G59" s="12" t="inlineStr">
        <ns0:is>
          <ns0:t>geology: 해저 화산의 형성 / 해안 침식 지형 / 물골 / 지형 변화
facility: 서도 주민숙소 / 동도 접안시설·등대·경비대 / 담수시설</ns0:t>
        </ns0:is>
      </ns0:c>
      <ns0:c r="H59" s="12" t="inlineStr">
        <ns0:is>
          <ns0:t>대한민국 한국해양과학기술원 · 독도 지형 및 지질
https://www.dokdo.re.kr/home/cms/cmsCont.do?cntnts_sn=66
대한민국 외교부 · 독도 주요시설물
https://dokdo.mofa.go.kr/kor/introduce/facility.jsp</ns0:t>
        </ns0:is>
      </ns0:c>
    </ns0:row>
    <ns0:row r="60" ht="98" customHeight="1">
      <ns0:c r="A60" s="10" t="n">
        <ns0:v>920059</ns0:v>
      </ns0:c>
      <ns0:c r="B60" s="10" t="inlineStr">
        <ns0:is>
          <ns0:t>설명의 빈칸에 들어갈 지명은 무엇인가요?</ns0:t>
        </ns0:is>
      </ns0:c>
      <ns0:c r="C60" s="10" t="n">
        <ns0:v>1</ns0:v>
      </ns0:c>
      <ns0:c r="D60" s="10" t="inlineStr"/>
      <ns0:c r="E60" s="10" t="inlineStr">
        <ns0:is>
          <ns0:t>서도의 [   ]에서는 바위에서 물이 조금씩 떨어진다. 바닷물을 담수로 바꾸는 시설이 설치되기 전 식수원으로 이용되었다.</ns0:t>
        </ns0:is>
      </ns0:c>
      <ns0:c r="F60" s="10" t="inlineStr"/>
      <ns0:c r="G60" s="10" t="inlineStr">
        <ns0:is>
          <ns0:t>geology: 해저 화산의 형성 / 해안 침식 지형 / 물골 / 지형 변화
facility: 서도 주민숙소 / 동도 접안시설·등대·경비대 / 담수시설</ns0:t>
        </ns0:is>
      </ns0:c>
      <ns0:c r="H60" s="10" t="inlineStr">
        <ns0:is>
          <ns0:t>대한민국 한국해양과학기술원 · 독도 지형 및 지질
https://www.dokdo.re.kr/home/cms/cmsCont.do?cntnts_sn=66
대한민국 외교부 · 독도 주요시설물
https://dokdo.mofa.go.kr/kor/introduce/facility.jsp</ns0:t>
        </ns0:is>
      </ns0:c>
    </ns0:row>
    <ns0:row r="61" ht="98" customHeight="1">
      <ns0:c r="A61" s="12" t="n">
        <ns0:v>920060</ns0:v>
      </ns0:c>
      <ns0:c r="B61" s="12" t="inlineStr">
        <ns0:is>
          <ns0:t>물골과 담수화 시설의 물 공급 방식을 바르게 짝지은 것은 무엇인가요?</ns0:t>
        </ns0:is>
      </ns0:c>
      <ns0:c r="C61" s="12" t="n">
        <ns0:v>1</ns0:v>
      </ns0:c>
      <ns0:c r="D61" s="12" t="inlineStr"/>
      <ns0:c r="E61" s="12" t="inlineStr">
        <ns0:is>
          <ns0:t>물골: 서도 바위에서 물이 떨어져 과거 식수원으로 이용됨.
담수화 시설: 바닷물의 소금을 줄여 생활에 쓸 물을 만듦.</ns0:t>
        </ns0:is>
      </ns0:c>
      <ns0:c r="F61" s="12" t="inlineStr"/>
      <ns0:c r="G61" s="12" t="inlineStr">
        <ns0:is>
          <ns0:t>geology: 해저 화산의 형성 / 해안 침식 지형 / 물골 / 지형 변화
facility: 서도 주민숙소 / 동도 접안시설·등대·경비대 / 담수시설</ns0:t>
        </ns0:is>
      </ns0:c>
      <ns0:c r="H61" s="12" t="inlineStr">
        <ns0:is>
          <ns0:t>대한민국 한국해양과학기술원 · 독도 지형 및 지질
https://www.dokdo.re.kr/home/cms/cmsCont.do?cntnts_sn=66
대한민국 외교부 · 독도 주요시설물
https://dokdo.mofa.go.kr/kor/introduce/facility.jsp</ns0:t>
        </ns0:is>
      </ns0:c>
    </ns0:row>
    <ns0:row r="62" ht="53" customHeight="1">
      <ns0:c r="A62" s="10" t="n">
        <ns0:v>920061</ns0:v>
      </ns0:c>
      <ns0:c r="B62" s="10" t="inlineStr">
        <ns0:is>
          <ns0:t>먼 거리를 이동하는 철새에게 독도는 어떤 곳인가요?</ns0:t>
        </ns0:is>
      </ns0:c>
      <ns0:c r="C62" s="10" t="n">
        <ns0:v>0</ns0:v>
      </ns0:c>
      <ns0:c r="D62" s="10" t="inlineStr"/>
      <ns0:c r="E62" s="10" t="inlineStr"/>
      <ns0:c r="F62" s="10" t="inlineStr"/>
      <ns0:c r="G62" s="10" t="inlineStr">
        <ns0:is>
          <ns0:t>nature: 독도 식물·조류·해양생물 / 철새 이동경로의 휴식처</ns0:t>
        </ns0:is>
      </ns0:c>
      <ns0:c r="H62" s="10" t="inlineStr">
        <ns0:is>
          <ns0:t>대한민국 외교부 · 독도의 자연환경
https://dokdo.mofa.go.kr/kor/introduce/nature.jsp</ns0:t>
        </ns0:is>
      </ns0:c>
    </ns0:row>
    <ns0:row r="63" ht="53" customHeight="1">
      <ns0:c r="A63" s="12" t="n">
        <ns0:v>920062</ns0:v>
      </ns0:c>
      <ns0:c r="B63" s="12" t="inlineStr">
        <ns0:is>
          <ns0:t>철새가 이동하다 독도처럼 잠시 들러 쉬는 곳을 무엇이라고 하나요?</ns0:t>
        </ns0:is>
      </ns0:c>
      <ns0:c r="C63" s="12" t="n">
        <ns0:v>0</ns0:v>
      </ns0:c>
      <ns0:c r="D63" s="12" t="inlineStr"/>
      <ns0:c r="E63" s="12" t="inlineStr"/>
      <ns0:c r="F63" s="12" t="inlineStr"/>
      <ns0:c r="G63" s="12" t="inlineStr">
        <ns0:is>
          <ns0:t>nature: 독도 식물·조류·해양생물 / 철새 이동경로의 휴식처</ns0:t>
        </ns0:is>
      </ns0:c>
      <ns0:c r="H63" s="12" t="inlineStr">
        <ns0:is>
          <ns0:t>대한민국 외교부 · 독도의 자연환경
https://dokdo.mofa.go.kr/kor/introduce/nature.jsp</ns0:t>
        </ns0:is>
      </ns0:c>
    </ns0:row>
    <ns0:row r="64" ht="53" customHeight="1">
      <ns0:c r="A64" s="10" t="n">
        <ns0:v>920063</ns0:v>
      </ns0:c>
      <ns0:c r="B64" s="10" t="inlineStr">
        <ns0:is>
          <ns0:t>이동 경로가 ‘출발지 → 독도에서 휴식 → 목적지’라면 독도의 역할은 무엇인가요?</ns0:t>
        </ns0:is>
      </ns0:c>
      <ns0:c r="C64" s="10" t="n">
        <ns0:v>1</ns0:v>
      </ns0:c>
      <ns0:c r="D64" s="10" t="inlineStr"/>
      <ns0:c r="E64" s="10" t="inlineStr">
        <ns0:is>
          <ns0:t>철새 이동을 나타낸 학습용 경로: 출발지 → 독도에서 잠시 휴식 → 목적지. 특정 새의 실제 추적 자료는 아니에요.</ns0:t>
        </ns0:is>
      </ns0:c>
      <ns0:c r="F64" s="10" t="inlineStr"/>
      <ns0:c r="G64" s="10" t="inlineStr">
        <ns0:is>
          <ns0:t>nature: 독도 식물·조류·해양생물 / 철새 이동경로의 휴식처</ns0:t>
        </ns0:is>
      </ns0:c>
      <ns0:c r="H64" s="10" t="inlineStr">
        <ns0:is>
          <ns0:t>대한민국 외교부 · 독도의 자연환경
https://dokdo.mofa.go.kr/kor/introduce/nature.jsp</ns0:t>
        </ns0:is>
      </ns0:c>
    </ns0:row>
    <ns0:row r="65" ht="53" customHeight="1">
      <ns0:c r="A65" s="12" t="n">
        <ns0:v>920064</ns0:v>
      </ns0:c>
      <ns0:c r="B65" s="12" t="inlineStr">
        <ns0:is>
          <ns0:t>독도의 두 새 관찰에서 ‘중간 기착’에 해당하는 것은 무엇인가요?</ns0:t>
        </ns0:is>
      </ns0:c>
      <ns0:c r="C65" s="12" t="n">
        <ns0:v>1</ns0:v>
      </ns0:c>
      <ns0:c r="D65" s="12" t="inlineStr"/>
      <ns0:c r="E65" s="12" t="inlineStr">
        <ns0:is>
          <ns0:t>독도는 철새의 휴식처이면서 일부 바닷새의 번식지예요. 관찰 예시 A: 이동 중 쉬고 떠남. B: 둥지에서 새끼를 기름.</ns0:t>
        </ns0:is>
      </ns0:c>
      <ns0:c r="F65" s="12" t="inlineStr"/>
      <ns0:c r="G65" s="12" t="inlineStr">
        <ns0:is>
          <ns0:t>nature: 독도 식물·조류·해양생물 / 철새 이동경로의 휴식처</ns0:t>
        </ns0:is>
      </ns0:c>
      <ns0:c r="H65" s="12" t="inlineStr">
        <ns0:is>
          <ns0:t>대한민국 외교부 · 독도의 자연환경
https://dokdo.mofa.go.kr/kor/introduce/nature.jsp</ns0:t>
        </ns0:is>
      </ns0:c>
    </ns0:row>
    <ns0:row r="66" ht="98" customHeight="1">
      <ns0:c r="A66" s="10" t="n">
        <ns0:v>920065</ns0:v>
      </ns0:c>
      <ns0:c r="B66" s="10" t="inlineStr">
        <ns0:is>
          <ns0:t>독도에서 번식하는 바닷새는 어느 것인가요?</ns0:t>
        </ns0:is>
      </ns0:c>
      <ns0:c r="C66" s="10" t="n">
        <ns0:v>0</ns0:v>
      </ns0:c>
      <ns0:c r="D66" s="10" t="inlineStr"/>
      <ns0:c r="E66" s="10" t="inlineStr"/>
      <ns0:c r="F66" s="10" t="inlineStr"/>
      <ns0:c r="G66" s="10" t="inlineStr">
        <ns0:is>
          <ns0:t>reserve: 해안지형·조류 번식지·식생 보호; 지정 날짜를 묻는 문항은 제외
nature: 독도 식물·조류·해양생물 / 철새 이동경로의 휴식처</ns0:t>
        </ns0:is>
      </ns0:c>
      <ns0:c r="H66" s="10"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67" ht="98" customHeight="1">
      <ns0:c r="A67" s="12" t="n">
        <ns0:v>920066</ns0:v>
      </ns0:c>
      <ns0:c r="B67" s="12" t="inlineStr">
        <ns0:is>
          <ns0:t>괭이갈매기가 독도에서 번식한다는 뜻은 무엇인가요?</ns0:t>
        </ns0:is>
      </ns0:c>
      <ns0:c r="C67" s="12" t="n">
        <ns0:v>0</ns0:v>
      </ns0:c>
      <ns0:c r="D67" s="12" t="inlineStr"/>
      <ns0:c r="E67" s="12" t="inlineStr"/>
      <ns0:c r="F67" s="12" t="inlineStr"/>
      <ns0:c r="G67" s="12" t="inlineStr">
        <ns0:is>
          <ns0:t>reserve: 해안지형·조류 번식지·식생 보호; 지정 날짜를 묻는 문항은 제외
nature: 독도 식물·조류·해양생물 / 철새 이동경로의 휴식처</ns0:t>
        </ns0:is>
      </ns0:c>
      <ns0:c r="H67" s="12"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68" ht="98" customHeight="1">
      <ns0:c r="A68" s="10" t="n">
        <ns0:v>920067</ns0:v>
      </ns0:c>
      <ns0:c r="B68" s="10" t="inlineStr">
        <ns0:is>
          <ns0:t>독도에서 번식한다고 소개된 새만 모은 것은 무엇인가요?</ns0:t>
        </ns0:is>
      </ns0:c>
      <ns0:c r="C68" s="10" t="n">
        <ns0:v>1</ns0:v>
      </ns0:c>
      <ns0:c r="D68" s="10" t="inlineStr"/>
      <ns0:c r="E68" s="10" t="inlineStr">
        <ns0:is>
          <ns0:t>독도 천연보호구역 안내의 번식 조류: 바다제비, 슴새, 괭이갈매기.</ns0:t>
        </ns0:is>
      </ns0:c>
      <ns0:c r="F68" s="10" t="inlineStr"/>
      <ns0:c r="G68" s="10" t="inlineStr">
        <ns0:is>
          <ns0:t>reserve: 해안지형·조류 번식지·식생 보호; 지정 날짜를 묻는 문항은 제외
nature: 독도 식물·조류·해양생물 / 철새 이동경로의 휴식처</ns0:t>
        </ns0:is>
      </ns0:c>
      <ns0:c r="H68" s="10"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69" ht="98" customHeight="1">
      <ns0:c r="A69" s="12" t="n">
        <ns0:v>920068</ns0:v>
      </ns0:c>
      <ns0:c r="B69" s="12" t="inlineStr">
        <ns0:is>
          <ns0:t>독도의 ‘번식지’ 기능을 보여 주는 관찰은 무엇인가요?</ns0:t>
        </ns0:is>
      </ns0:c>
      <ns0:c r="C69" s="12" t="n">
        <ns0:v>1</ns0:v>
      </ns0:c>
      <ns0:c r="D69" s="12" t="inlineStr"/>
      <ns0:c r="E69" s="12" t="inlineStr">
        <ns0:is>
          <ns0:t>활동 구분: 번식은 알을 낳고 새끼를 기르는 일, 기착은 이동 중 잠시 들르는 일이에요. 아래 관찰은 구분 연습을 위한 예시예요.</ns0:t>
        </ns0:is>
      </ns0:c>
      <ns0:c r="F69" s="12" t="inlineStr"/>
      <ns0:c r="G69" s="12" t="inlineStr">
        <ns0:is>
          <ns0:t>reserve: 해안지형·조류 번식지·식생 보호; 지정 날짜를 묻는 문항은 제외
nature: 독도 식물·조류·해양생물 / 철새 이동경로의 휴식처</ns0:t>
        </ns0:is>
      </ns0:c>
      <ns0:c r="H69" s="12"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70" ht="98" customHeight="1">
      <ns0:c r="A70" s="10" t="n">
        <ns0:v>920069</ns0:v>
      </ns0:c>
      <ns0:c r="B70" s="10" t="inlineStr">
        <ns0:is>
          <ns0:t>독도 바닷속에서 자라는 바닷말은 어느 것인가요?</ns0:t>
        </ns0:is>
      </ns0:c>
      <ns0:c r="C70" s="10" t="n">
        <ns0:v>0</ns0:v>
      </ns0:c>
      <ns0:c r="D70" s="10" t="inlineStr"/>
      <ns0:c r="E70" s="10" t="inlineStr"/>
      <ns0:c r="F70" s="10" t="inlineStr"/>
      <ns0:c r="G70" s="10" t="inlineStr">
        <ns0:is>
          <ns0:t>nature: 독도 식물·조류·해양생물 / 철새 이동경로의 휴식처
reserve: 해안지형·조류 번식지·식생 보호; 지정 날짜를 묻는 문항은 제외</ns0:t>
        </ns0:is>
      </ns0:c>
      <ns0:c r="H70" s="10" t="inlineStr">
        <ns0:is>
          <ns0:t>대한민국 외교부 · 독도의 자연환경
https://dokdo.mofa.go.kr/kor/introduce/nature.jsp
대한민국 국가유산청 · 독도 천연보호구역
https://www.heritage.go.kr/heri/cul/culSelectDetail.do?VdkVgwKey=16%2C03360000%2C37&amp;pageNo=1_1_2_0</ns0:t>
        </ns0:is>
      </ns0:c>
    </ns0:row>
    <ns0:row r="71" ht="98" customHeight="1">
      <ns0:c r="A71" s="12" t="n">
        <ns0:v>920070</ns0:v>
      </ns0:c>
      <ns0:c r="B71" s="12" t="inlineStr">
        <ns0:is>
          <ns0:t>독도의 괭이갈매기와 미역을 종류별로 짝지으면 무엇인가요?</ns0:t>
        </ns0:is>
      </ns0:c>
      <ns0:c r="C71" s="12" t="n">
        <ns0:v>0</ns0:v>
      </ns0:c>
      <ns0:c r="D71" s="12" t="inlineStr"/>
      <ns0:c r="E71" s="12" t="inlineStr"/>
      <ns0:c r="F71" s="12" t="inlineStr"/>
      <ns0:c r="G71" s="12" t="inlineStr">
        <ns0:is>
          <ns0:t>nature: 독도 식물·조류·해양생물 / 철새 이동경로의 휴식처
reserve: 해안지형·조류 번식지·식생 보호; 지정 날짜를 묻는 문항은 제외</ns0:t>
        </ns0:is>
      </ns0:c>
      <ns0:c r="H71" s="12" t="inlineStr">
        <ns0:is>
          <ns0:t>대한민국 외교부 · 독도의 자연환경
https://dokdo.mofa.go.kr/kor/introduce/nature.jsp
대한민국 국가유산청 · 독도 천연보호구역
https://www.heritage.go.kr/heri/cul/culSelectDetail.do?VdkVgwKey=16%2C03360000%2C37&amp;pageNo=1_1_2_0</ns0:t>
        </ns0:is>
      </ns0:c>
    </ns0:row>
    <ns0:row r="72" ht="98" customHeight="1">
      <ns0:c r="A72" s="10" t="n">
        <ns0:v>920071</ns0:v>
      </ns0:c>
      <ns0:c r="B72" s="10" t="inlineStr">
        <ns0:is>
          <ns0:t>‘독도는 해조류(海鳥類)의 번식지’에서 해조류는 무엇을 뜻하나요?</ns0:t>
        </ns0:is>
      </ns0:c>
      <ns0:c r="C72" s="10" t="n">
        <ns0:v>1</ns0:v>
      </ns0:c>
      <ns0:c r="D72" s="10" t="inlineStr"/>
      <ns0:c r="E72" s="10" t="inlineStr">
        <ns0:is>
          <ns0:t>말 풀이: 海는 바다, 鳥는 새, 藻는 바닷말을 뜻해요. 해조류(海鳥類)와 해조류(海藻類)는 소리가 같지만 뜻은 달라요.</ns0:t>
        </ns0:is>
      </ns0:c>
      <ns0:c r="F72" s="10" t="inlineStr"/>
      <ns0:c r="G72" s="10" t="inlineStr">
        <ns0:is>
          <ns0:t>nature: 독도 식물·조류·해양생물 / 철새 이동경로의 휴식처
reserve: 해안지형·조류 번식지·식생 보호; 지정 날짜를 묻는 문항은 제외</ns0:t>
        </ns0:is>
      </ns0:c>
      <ns0:c r="H72" s="10" t="inlineStr">
        <ns0:is>
          <ns0:t>대한민국 외교부 · 독도의 자연환경
https://dokdo.mofa.go.kr/kor/introduce/nature.jsp
대한민국 국가유산청 · 독도 천연보호구역
https://www.heritage.go.kr/heri/cul/culSelectDetail.do?VdkVgwKey=16%2C03360000%2C37&amp;pageNo=1_1_2_0</ns0:t>
        </ns0:is>
      </ns0:c>
    </ns0:row>
    <ns0:row r="73" ht="98" customHeight="1">
      <ns0:c r="A73" s="12" t="n">
        <ns0:v>920072</ns0:v>
      </ns0:c>
      <ns0:c r="B73" s="12" t="inlineStr">
        <ns0:is>
          <ns0:t>독도 생물 목록을 ‘바닷말’로만 묶으면 어느 조합인가요?</ns0:t>
        </ns0:is>
      </ns0:c>
      <ns0:c r="C73" s="12" t="n">
        <ns0:v>1</ns0:v>
      </ns0:c>
      <ns0:c r="D73" s="12" t="inlineStr"/>
      <ns0:c r="E73" s="12" t="inlineStr">
        <ns0:is>
          <ns0:t>독도 생물 목록: 바닷말 — 미역, 다시마 / 바닷새 — 괭이갈매기, 바다제비, 슴새.</ns0:t>
        </ns0:is>
      </ns0:c>
      <ns0:c r="F73" s="12" t="inlineStr"/>
      <ns0:c r="G73" s="12" t="inlineStr">
        <ns0:is>
          <ns0:t>nature: 독도 식물·조류·해양생물 / 철새 이동경로의 휴식처
reserve: 해안지형·조류 번식지·식생 보호; 지정 날짜를 묻는 문항은 제외</ns0:t>
        </ns0:is>
      </ns0:c>
      <ns0:c r="H73" s="12" t="inlineStr">
        <ns0:is>
          <ns0:t>대한민국 외교부 · 독도의 자연환경
https://dokdo.mofa.go.kr/kor/introduce/nature.jsp
대한민국 국가유산청 · 독도 천연보호구역
https://www.heritage.go.kr/heri/cul/culSelectDetail.do?VdkVgwKey=16%2C03360000%2C37&amp;pageNo=1_1_2_0</ns0:t>
        </ns0:is>
      </ns0:c>
    </ns0:row>
    <ns0:row r="74" ht="53" customHeight="1">
      <ns0:c r="A74" s="10" t="n">
        <ns0:v>920073</ns0:v>
      </ns0:c>
      <ns0:c r="B74" s="10" t="inlineStr">
        <ns0:is>
          <ns0:t>독도 땅에 자라는 꽃식물은 어느 것인가요?</ns0:t>
        </ns0:is>
      </ns0:c>
      <ns0:c r="C74" s="10" t="n">
        <ns0:v>0</ns0:v>
      </ns0:c>
      <ns0:c r="D74" s="10" t="inlineStr"/>
      <ns0:c r="E74" s="10" t="inlineStr"/>
      <ns0:c r="F74" s="10" t="inlineStr"/>
      <ns0:c r="G74" s="10" t="inlineStr">
        <ns0:is>
          <ns0:t>nature: 독도 식물·조류·해양생물 / 철새 이동경로의 휴식처</ns0:t>
        </ns0:is>
      </ns0:c>
      <ns0:c r="H74" s="10" t="inlineStr">
        <ns0:is>
          <ns0:t>대한민국 외교부 · 독도의 자연환경
https://dokdo.mofa.go.kr/kor/introduce/nature.jsp</ns0:t>
        </ns0:is>
      </ns0:c>
    </ns0:row>
    <ns0:row r="75" ht="53" customHeight="1">
      <ns0:c r="A75" s="12" t="n">
        <ns0:v>920074</ns0:v>
      </ns0:c>
      <ns0:c r="B75" s="12" t="inlineStr">
        <ns0:is>
          <ns0:t>독도에서 해국과 섬기린초를 함께 조사한다면 무엇을 조사하는 것인가요?</ns0:t>
        </ns0:is>
      </ns0:c>
      <ns0:c r="C75" s="12" t="n">
        <ns0:v>0</ns0:v>
      </ns0:c>
      <ns0:c r="D75" s="12" t="inlineStr"/>
      <ns0:c r="E75" s="12" t="inlineStr"/>
      <ns0:c r="F75" s="12" t="inlineStr"/>
      <ns0:c r="G75" s="12" t="inlineStr">
        <ns0:is>
          <ns0:t>nature: 독도 식물·조류·해양생물 / 철새 이동경로의 휴식처</ns0:t>
        </ns0:is>
      </ns0:c>
      <ns0:c r="H75" s="12" t="inlineStr">
        <ns0:is>
          <ns0:t>대한민국 외교부 · 독도의 자연환경
https://dokdo.mofa.go.kr/kor/introduce/nature.jsp</ns0:t>
        </ns0:is>
      </ns0:c>
    </ns0:row>
    <ns0:row r="76" ht="53" customHeight="1">
      <ns0:c r="A76" s="10" t="n">
        <ns0:v>920075</ns0:v>
      </ns0:c>
      <ns0:c r="B76" s="10" t="inlineStr">
        <ns0:is>
          <ns0:t>제시된 독도 목록에서 육상 식물끼리 묶인 것은 무엇인가요?</ns0:t>
        </ns0:is>
      </ns0:c>
      <ns0:c r="C76" s="10" t="n">
        <ns0:v>1</ns0:v>
      </ns0:c>
      <ns0:c r="D76" s="10" t="inlineStr"/>
      <ns0:c r="E76" s="10" t="inlineStr">
        <ns0:is>
          <ns0:t>독도 육상 식물: 해국, 섬기린초, 땅채송화.
독도 바닷말: 미역, 다시마.</ns0:t>
        </ns0:is>
      </ns0:c>
      <ns0:c r="F76" s="10" t="inlineStr"/>
      <ns0:c r="G76" s="10" t="inlineStr">
        <ns0:is>
          <ns0:t>nature: 독도 식물·조류·해양생물 / 철새 이동경로의 휴식처</ns0:t>
        </ns0:is>
      </ns0:c>
      <ns0:c r="H76" s="10" t="inlineStr">
        <ns0:is>
          <ns0:t>대한민국 외교부 · 독도의 자연환경
https://dokdo.mofa.go.kr/kor/introduce/nature.jsp</ns0:t>
        </ns0:is>
      </ns0:c>
    </ns0:row>
    <ns0:row r="77" ht="53" customHeight="1">
      <ns0:c r="A77" s="12" t="n">
        <ns0:v>920076</ns0:v>
      </ns0:c>
      <ns0:c r="B77" s="12" t="inlineStr">
        <ns0:is>
          <ns0:t>독도 식물 조사에서 미역만 기록했다면 추가해야 할 조사 대상은 무엇인가요?</ns0:t>
        </ns0:is>
      </ns0:c>
      <ns0:c r="C77" s="12" t="n">
        <ns0:v>1</ns0:v>
      </ns0:c>
      <ns0:c r="D77" s="12" t="inlineStr"/>
      <ns0:c r="E77" s="12" t="inlineStr">
        <ns0:is>
          <ns0:t>조사 목표: 독도의 땅과 바다에 자라는 식물을 함께 살펴보기. 현재 기록에는 바닷말인 미역만 있어요.</ns0:t>
        </ns0:is>
      </ns0:c>
      <ns0:c r="F77" s="12" t="inlineStr"/>
      <ns0:c r="G77" s="12" t="inlineStr">
        <ns0:is>
          <ns0:t>nature: 독도 식물·조류·해양생물 / 철새 이동경로의 휴식처</ns0:t>
        </ns0:is>
      </ns0:c>
      <ns0:c r="H77" s="12" t="inlineStr">
        <ns0:is>
          <ns0:t>대한민국 외교부 · 독도의 자연환경
https://dokdo.mofa.go.kr/kor/introduce/nature.jsp</ns0:t>
        </ns0:is>
      </ns0:c>
    </ns0:row>
    <ns0:row r="78" ht="98" customHeight="1">
      <ns0:c r="A78" s="10" t="n">
        <ns0:v>920077</ns0:v>
      </ns0:c>
      <ns0:c r="B78" s="10" t="inlineStr">
        <ns0:is>
          <ns0:t>독도에서 자연유산으로 함께 보호하는 대상은 무엇인가요?</ns0:t>
        </ns0:is>
      </ns0:c>
      <ns0:c r="C78" s="10" t="n">
        <ns0:v>0</ns0:v>
      </ns0:c>
      <ns0:c r="D78" s="10" t="inlineStr"/>
      <ns0:c r="E78" s="10" t="inlineStr"/>
      <ns0:c r="F78" s="10" t="inlineStr"/>
      <ns0:c r="G78" s="10" t="inlineStr">
        <ns0:is>
          <ns0:t>reserve: 해안지형·조류 번식지·식생 보호; 지정 날짜를 묻는 문항은 제외
nature: 독도 식물·조류·해양생물 / 철새 이동경로의 휴식처</ns0:t>
        </ns0:is>
      </ns0:c>
      <ns0:c r="H78" s="10"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79" ht="98" customHeight="1">
      <ns0:c r="A79" s="12" t="n">
        <ns0:v>920078</ns0:v>
      </ns0:c>
      <ns0:c r="B79" s="12" t="inlineStr">
        <ns0:is>
          <ns0:t>독도 해안 절벽에 남아 있는 자연의 흔적은 무엇인가요?</ns0:t>
        </ns0:is>
      </ns0:c>
      <ns0:c r="C79" s="12" t="n">
        <ns0:v>0</ns0:v>
      </ns0:c>
      <ns0:c r="D79" s="12" t="inlineStr"/>
      <ns0:c r="E79" s="12" t="inlineStr"/>
      <ns0:c r="F79" s="12" t="inlineStr"/>
      <ns0:c r="G79" s="12" t="inlineStr">
        <ns0:is>
          <ns0:t>reserve: 해안지형·조류 번식지·식생 보호; 지정 날짜를 묻는 문항은 제외
nature: 독도 식물·조류·해양생물 / 철새 이동경로의 휴식처</ns0:t>
        </ns0:is>
      </ns0:c>
      <ns0:c r="H79" s="12"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80" ht="98" customHeight="1">
      <ns0:c r="A80" s="10" t="n">
        <ns0:v>920079</ns0:v>
      </ns0:c>
      <ns0:c r="B80" s="10" t="inlineStr">
        <ns0:is>
          <ns0:t>독도 보호 계획에 ‘바닷새만 보호’라고 적으면 빠지는 대상은 무엇인가요?</ns0:t>
        </ns0:is>
      </ns0:c>
      <ns0:c r="C80" s="10" t="n">
        <ns0:v>1</ns0:v>
      </ns0:c>
      <ns0:c r="D80" s="10" t="inlineStr"/>
      <ns0:c r="E80" s="10" t="inlineStr">
        <ns0:is>
          <ns0:t>독도 천연보호구역 안내는 바닷새 번식지, 육상 식생, 화산 지질과 해안 지형 등의 가치를 함께 소개해요.</ns0:t>
        </ns0:is>
      </ns0:c>
      <ns0:c r="F80" s="10" t="inlineStr"/>
      <ns0:c r="G80" s="10" t="inlineStr">
        <ns0:is>
          <ns0:t>reserve: 해안지형·조류 번식지·식생 보호; 지정 날짜를 묻는 문항은 제외
nature: 독도 식물·조류·해양생물 / 철새 이동경로의 휴식처</ns0:t>
        </ns0:is>
      </ns0:c>
      <ns0:c r="H80" s="10"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81" ht="98" customHeight="1">
      <ns0:c r="A81" s="12" t="n">
        <ns0:v>920080</ns0:v>
      </ns0:c>
      <ns0:c r="B81" s="12" t="inlineStr">
        <ns0:is>
          <ns0:t>독도 탐방 해설판에 보호 가치를 균형 있게 담은 구성은 무엇인가요?</ns0:t>
        </ns0:is>
      </ns0:c>
      <ns0:c r="C81" s="12" t="n">
        <ns0:v>1</ns0:v>
      </ns0:c>
      <ns0:c r="D81" s="12" t="inlineStr"/>
      <ns0:c r="E81" s="12" t="inlineStr">
        <ns0:is>
          <ns0:t>해설판의 목표는 독도가 왜 자연유산으로 보호되는지 알리는 것이에요. 보호구역 안내는 바닷새·식생·화산 지형을 근거로 소개해요.</ns0:t>
        </ns0:is>
      </ns0:c>
      <ns0:c r="F81" s="12" t="inlineStr"/>
      <ns0:c r="G81" s="12" t="inlineStr">
        <ns0:is>
          <ns0:t>reserve: 해안지형·조류 번식지·식생 보호; 지정 날짜를 묻는 문항은 제외
nature: 독도 식물·조류·해양생물 / 철새 이동경로의 휴식처</ns0:t>
        </ns0:is>
      </ns0:c>
      <ns0:c r="H81" s="12"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82" ht="53" customHeight="1">
      <ns0:c r="A82" s="10" t="n">
        <ns0:v>920081</ns0:v>
      </ns0:c>
      <ns0:c r="B82" s="10" t="inlineStr">
        <ns0:is>
          <ns0:t>독도 바다숲을 이루는 큰 바닷말은 어느 것인가요?</ns0:t>
        </ns0:is>
      </ns0:c>
      <ns0:c r="C82" s="10" t="n">
        <ns0:v>0</ns0:v>
      </ns0:c>
      <ns0:c r="D82" s="10" t="inlineStr"/>
      <ns0:c r="E82" s="10" t="inlineStr"/>
      <ns0:c r="F82" s="10" t="inlineStr"/>
      <ns0:c r="G82" s="10" t="inlineStr">
        <ns0:is>
          <ns0:t>forest: 감태·대황 해조숲 / 바위틈 생물 / 장기 관찰</ns0:t>
        </ns0:is>
      </ns0:c>
      <ns0:c r="H82" s="10" t="inlineStr">
        <ns0:is>
          <ns0:t>대한민국 한국해양과학기술원 · 독도 암반생태계
https://www.dokdo.re.kr/home/cms/cmsCont.do?cntnts_sn=87</ns0:t>
        </ns0:is>
      </ns0:c>
    </ns0:row>
    <ns0:row r="83" ht="53" customHeight="1">
      <ns0:c r="A83" s="12" t="n">
        <ns0:v>920082</ns0:v>
      </ns0:c>
      <ns0:c r="B83" s="12" t="inlineStr">
        <ns0:is>
          <ns0:t>감태와 대황이 많이 자라는 독도 바닷속 공간을 무엇이라고 부르나요?</ns0:t>
        </ns0:is>
      </ns0:c>
      <ns0:c r="C83" s="12" t="n">
        <ns0:v>0</ns0:v>
      </ns0:c>
      <ns0:c r="D83" s="12" t="inlineStr"/>
      <ns0:c r="E83" s="12" t="inlineStr"/>
      <ns0:c r="F83" s="12" t="inlineStr"/>
      <ns0:c r="G83" s="12" t="inlineStr">
        <ns0:is>
          <ns0:t>forest: 감태·대황 해조숲 / 바위틈 생물 / 장기 관찰</ns0:t>
        </ns0:is>
      </ns0:c>
      <ns0:c r="H83" s="12" t="inlineStr">
        <ns0:is>
          <ns0:t>대한민국 한국해양과학기술원 · 독도 암반생태계
https://www.dokdo.re.kr/home/cms/cmsCont.do?cntnts_sn=87</ns0:t>
        </ns0:is>
      </ns0:c>
    </ns0:row>
    <ns0:row r="84" ht="53" customHeight="1">
      <ns0:c r="A84" s="10" t="n">
        <ns0:v>920083</ns0:v>
      </ns0:c>
      <ns0:c r="B84" s="10" t="inlineStr">
        <ns0:is>
          <ns0:t>자료에서 독도 바다숲을 만드는 생물끼리 짝지은 것은 무엇인가요?</ns0:t>
        </ns0:is>
      </ns0:c>
      <ns0:c r="C84" s="10" t="n">
        <ns0:v>1</ns0:v>
      </ns0:c>
      <ns0:c r="D84" s="10" t="inlineStr"/>
      <ns0:c r="E84" s="10" t="inlineStr">
        <ns0:is>
          <ns0:t>독도 암반생태계 안내: 감태와 대황이 바다숲을 이룬다. 홍합·거북손은 바위에 붙어 살며, 바위틈에는 게와 소라 등도 있다.</ns0:t>
        </ns0:is>
      </ns0:c>
      <ns0:c r="F84" s="10" t="inlineStr"/>
      <ns0:c r="G84" s="10" t="inlineStr">
        <ns0:is>
          <ns0:t>forest: 감태·대황 해조숲 / 바위틈 생물 / 장기 관찰</ns0:t>
        </ns0:is>
      </ns0:c>
      <ns0:c r="H84" s="10" t="inlineStr">
        <ns0:is>
          <ns0:t>대한민국 한국해양과학기술원 · 독도 암반생태계
https://www.dokdo.re.kr/home/cms/cmsCont.do?cntnts_sn=87</ns0:t>
        </ns0:is>
      </ns0:c>
    </ns0:row>
    <ns0:row r="85" ht="53" customHeight="1">
      <ns0:c r="A85" s="12" t="n">
        <ns0:v>920084</ns0:v>
      </ns0:c>
      <ns0:c r="B85" s="12" t="inlineStr">
        <ns0:is>
          <ns0:t>독도 바다숲의 변화를 조사할 때 직접 비교해야 할 것은 무엇인가요?</ns0:t>
        </ns0:is>
      </ns0:c>
      <ns0:c r="C85" s="12" t="n">
        <ns0:v>1</ns0:v>
      </ns0:c>
      <ns0:c r="D85" s="12" t="inlineStr"/>
      <ns0:c r="E85" s="12" t="inlineStr">
        <ns0:is>
          <ns0:t>조사 목표: 독도에서 감태·대황이 이루는 바다숲의 범위가 시간에 따라 달라지는지 확인하기.</ns0:t>
        </ns0:is>
      </ns0:c>
      <ns0:c r="F85" s="12" t="inlineStr"/>
      <ns0:c r="G85" s="12" t="inlineStr">
        <ns0:is>
          <ns0:t>forest: 감태·대황 해조숲 / 바위틈 생물 / 장기 관찰</ns0:t>
        </ns0:is>
      </ns0:c>
      <ns0:c r="H85" s="12" t="inlineStr">
        <ns0:is>
          <ns0:t>대한민국 한국해양과학기술원 · 독도 암반생태계
https://www.dokdo.re.kr/home/cms/cmsCont.do?cntnts_sn=87</ns0:t>
        </ns0:is>
      </ns0:c>
    </ns0:row>
    <ns0:row r="86" ht="53" customHeight="1">
      <ns0:c r="A86" s="10" t="n">
        <ns0:v>920085</ns0:v>
      </ns0:c>
      <ns0:c r="B86" s="10" t="inlineStr">
        <ns0:is>
          <ns0:t>독도 주변에서 함께 만나는 바닷물의 흐름은 무엇인가요?</ns0:t>
        </ns0:is>
      </ns0:c>
      <ns0:c r="C86" s="10" t="n">
        <ns0:v>0</ns0:v>
      </ns0:c>
      <ns0:c r="D86" s="10" t="inlineStr"/>
      <ns0:c r="E86" s="10" t="inlineStr"/>
      <ns0:c r="F86" s="10" t="inlineStr"/>
      <ns0:c r="G86" s="10" t="inlineStr">
        <ns0:is>
          <ns0:t>effect: 난류·한류 혼합 / 영양염의 상층 공급 / 식물플랑크톤과 성육장 기능</ns0:t>
        </ns0:is>
      </ns0:c>
      <ns0:c r="H86" s="10" t="inlineStr">
        <ns0:is>
          <ns0:t>대한민국 한국해양과학기술원 · 독도 섬효과
https://www.dokdo.re.kr/home/cms/cmsCont.do?cntnts_sn=82</ns0:t>
        </ns0:is>
      </ns0:c>
    </ns0:row>
    <ns0:row r="87" ht="53" customHeight="1">
      <ns0:c r="A87" s="12" t="n">
        <ns0:v>920086</ns0:v>
      </ns0:c>
      <ns0:c r="B87" s="12" t="inlineStr">
        <ns0:is>
          <ns0:t>독도 주변의 깊은 물이 위로 섞이면 식물플랑크톤에 무엇을 공급할 수 있나요?</ns0:t>
        </ns0:is>
      </ns0:c>
      <ns0:c r="C87" s="12" t="n">
        <ns0:v>0</ns0:v>
      </ns0:c>
      <ns0:c r="D87" s="12" t="inlineStr">
        <ns0:is>
          <ns0:t>식물플랑크톤은 햇빛과 영양분을 이용하는 작은 생물이에요.</ns0:t>
        </ns0:is>
      </ns0:c>
      <ns0:c r="E87" s="12" t="inlineStr"/>
      <ns0:c r="F87" s="12" t="inlineStr"/>
      <ns0:c r="G87" s="12" t="inlineStr">
        <ns0:is>
          <ns0:t>effect: 난류·한류 혼합 / 영양염의 상층 공급 / 식물플랑크톤과 성육장 기능</ns0:t>
        </ns0:is>
      </ns0:c>
      <ns0:c r="H87" s="12" t="inlineStr">
        <ns0:is>
          <ns0:t>대한민국 한국해양과학기술원 · 독도 섬효과
https://www.dokdo.re.kr/home/cms/cmsCont.do?cntnts_sn=82</ns0:t>
        </ns0:is>
      </ns0:c>
    </ns0:row>
    <ns0:row r="88" ht="53" customHeight="1">
      <ns0:c r="A88" s="10" t="n">
        <ns0:v>920087</ns0:v>
      </ns0:c>
      <ns0:c r="B88" s="10" t="inlineStr">
        <ns0:is>
          <ns0:t>독도 주변 바닷물 혼합과 영양분 공급의 순서는 무엇인가요?</ns0:t>
        </ns0:is>
      </ns0:c>
      <ns0:c r="C88" s="10" t="n">
        <ns0:v>1</ns0:v>
      </ns0:c>
      <ns0:c r="D88" s="10" t="inlineStr"/>
      <ns0:c r="E88" s="10" t="inlineStr">
        <ns0:is>
          <ns0:t>독도 섬효과 설명: 흐름과 바람의 영향으로 바닷물이 수직으로 섞이면 깊은 곳의 영양분이 위쪽에 공급될 수 있다.</ns0:t>
        </ns0:is>
      </ns0:c>
      <ns0:c r="F88" s="10" t="inlineStr"/>
      <ns0:c r="G88" s="10" t="inlineStr">
        <ns0:is>
          <ns0:t>effect: 난류·한류 혼합 / 영양염의 상층 공급 / 식물플랑크톤과 성육장 기능</ns0:t>
        </ns0:is>
      </ns0:c>
      <ns0:c r="H88" s="10" t="inlineStr">
        <ns0:is>
          <ns0:t>대한민국 한국해양과학기술원 · 독도 섬효과
https://www.dokdo.re.kr/home/cms/cmsCont.do?cntnts_sn=82</ns0:t>
        </ns0:is>
      </ns0:c>
    </ns0:row>
    <ns0:row r="89" ht="53" customHeight="1">
      <ns0:c r="A89" s="12" t="n">
        <ns0:v>920088</ns0:v>
      </ns0:c>
      <ns0:c r="B89" s="12" t="inlineStr">
        <ns0:is>
          <ns0:t>독도 주변에서 물의 혼합이 줄면 가장 먼저 확인할 변화는 무엇인가요?</ns0:t>
        </ns0:is>
      </ns0:c>
      <ns0:c r="C89" s="12" t="n">
        <ns0:v>1</ns0:v>
      </ns0:c>
      <ns0:c r="D89" s="12" t="inlineStr"/>
      <ns0:c r="E89" s="12" t="inlineStr">
        <ns0:is>
          <ns0:t>검토할 연결: 수직 혼합 → 영양분의 상층 공급 → 식물플랑크톤 생장에 도움. 혼합이 줄었다고 생물 수가 반드시 즉시 감소한다고 단정하지 않아요.</ns0:t>
        </ns0:is>
      </ns0:c>
      <ns0:c r="F89" s="12" t="inlineStr"/>
      <ns0:c r="G89" s="12" t="inlineStr">
        <ns0:is>
          <ns0:t>effect: 난류·한류 혼합 / 영양염의 상층 공급 / 식물플랑크톤과 성육장 기능</ns0:t>
        </ns0:is>
      </ns0:c>
      <ns0:c r="H89" s="12" t="inlineStr">
        <ns0:is>
          <ns0:t>대한민국 한국해양과학기술원 · 독도 섬효과
https://www.dokdo.re.kr/home/cms/cmsCont.do?cntnts_sn=82</ns0:t>
        </ns0:is>
      </ns0:c>
    </ns0:row>
    <ns0:row r="90" ht="53" customHeight="1">
      <ns0:c r="A90" s="10" t="n">
        <ns0:v>920089</ns0:v>
      </ns0:c>
      <ns0:c r="B90" s="10" t="inlineStr">
        <ns0:is>
          <ns0:t>독도 바다 먹이 관계의 바탕이 되는 작은 광합성 생물은 무엇인가요?</ns0:t>
        </ns0:is>
      </ns0:c>
      <ns0:c r="C90" s="10" t="n">
        <ns0:v>0</ns0:v>
      </ns0:c>
      <ns0:c r="D90" s="10" t="inlineStr"/>
      <ns0:c r="E90" s="10" t="inlineStr"/>
      <ns0:c r="F90" s="10" t="inlineStr"/>
      <ns0:c r="G90" s="10" t="inlineStr">
        <ns0:is>
          <ns0:t>effect: 난류·한류 혼합 / 영양염의 상층 공급 / 식물플랑크톤과 성육장 기능</ns0:t>
        </ns0:is>
      </ns0:c>
      <ns0:c r="H90" s="10" t="inlineStr">
        <ns0:is>
          <ns0:t>대한민국 한국해양과학기술원 · 독도 섬효과
https://www.dokdo.re.kr/home/cms/cmsCont.do?cntnts_sn=82</ns0:t>
        </ns0:is>
      </ns0:c>
    </ns0:row>
    <ns0:row r="91" ht="53" customHeight="1">
      <ns0:c r="A91" s="12" t="n">
        <ns0:v>920090</ns0:v>
      </ns0:c>
      <ns0:c r="B91" s="12" t="inlineStr">
        <ns0:is>
          <ns0:t>독도 바다의 먹이 연결에서 식물플랑크톤을 먹는 것은 무엇인가요?</ns0:t>
        </ns0:is>
      </ns0:c>
      <ns0:c r="C91" s="12" t="n">
        <ns0:v>0</ns0:v>
      </ns0:c>
      <ns0:c r="D91" s="12" t="inlineStr">
        <ns0:is>
          <ns0:t>간단한 먹이 연결: 식물플랑크톤 → 동물플랑크톤 → 어린 물고기. 화살표는 먹히는 쪽에서 먹는 쪽으로 향해요.</ns0:t>
        </ns0:is>
      </ns0:c>
      <ns0:c r="E91" s="12" t="inlineStr"/>
      <ns0:c r="F91" s="12" t="inlineStr"/>
      <ns0:c r="G91" s="12" t="inlineStr">
        <ns0:is>
          <ns0:t>effect: 난류·한류 혼합 / 영양염의 상층 공급 / 식물플랑크톤과 성육장 기능</ns0:t>
        </ns0:is>
      </ns0:c>
      <ns0:c r="H91" s="12" t="inlineStr">
        <ns0:is>
          <ns0:t>대한민국 한국해양과학기술원 · 독도 섬효과
https://www.dokdo.re.kr/home/cms/cmsCont.do?cntnts_sn=82</ns0:t>
        </ns0:is>
      </ns0:c>
    </ns0:row>
    <ns0:row r="92" ht="53" customHeight="1">
      <ns0:c r="A92" s="10" t="n">
        <ns0:v>920091</ns0:v>
      </ns0:c>
      <ns0:c r="B92" s="10" t="inlineStr">
        <ns0:is>
          <ns0:t>제시된 먹이 관계에서 동물플랑크톤을 먹는 생물은 무엇인가요?</ns0:t>
        </ns0:is>
      </ns0:c>
      <ns0:c r="C92" s="10" t="n">
        <ns0:v>1</ns0:v>
      </ns0:c>
      <ns0:c r="D92" s="10" t="inlineStr"/>
      <ns0:c r="E92" s="10" t="inlineStr">
        <ns0:is>
          <ns0:t>독도 바다의 단순화한 먹이 관계: 식물플랑크톤 → 동물플랑크톤 → 어린 물고기. 화살표는 ‘먹히는 생물에서 먹는 생물로’를 뜻해요.</ns0:t>
        </ns0:is>
      </ns0:c>
      <ns0:c r="F92" s="10" t="inlineStr"/>
      <ns0:c r="G92" s="10" t="inlineStr">
        <ns0:is>
          <ns0:t>effect: 난류·한류 혼합 / 영양염의 상층 공급 / 식물플랑크톤과 성육장 기능</ns0:t>
        </ns0:is>
      </ns0:c>
      <ns0:c r="H92" s="10" t="inlineStr">
        <ns0:is>
          <ns0:t>대한민국 한국해양과학기술원 · 독도 섬효과
https://www.dokdo.re.kr/home/cms/cmsCont.do?cntnts_sn=82</ns0:t>
        </ns0:is>
      </ns0:c>
    </ns0:row>
    <ns0:row r="93" ht="53" customHeight="1">
      <ns0:c r="A93" s="12" t="n">
        <ns0:v>920092</ns0:v>
      </ns0:c>
      <ns0:c r="B93" s="12" t="inlineStr">
        <ns0:is>
          <ns0:t>독도 바다에서 어린 물고기의 먹이 공급을 살피려면 함께 조사할 생물은 무엇인가요?</ns0:t>
        </ns0:is>
      </ns0:c>
      <ns0:c r="C93" s="12" t="n">
        <ns0:v>1</ns0:v>
      </ns0:c>
      <ns0:c r="D93" s="12" t="inlineStr"/>
      <ns0:c r="E93" s="12" t="inlineStr">
        <ns0:is>
          <ns0:t>검토할 먹이 연결: 식물플랑크톤을 동물플랑크톤이 먹고, 일부 어린 물고기가 동물플랑크톤을 먹는다. 독도 바다 전체의 모든 먹이 관계를 나타낸 것은 아니에요.</ns0:t>
        </ns0:is>
      </ns0:c>
      <ns0:c r="F93" s="12" t="inlineStr"/>
      <ns0:c r="G93" s="12" t="inlineStr">
        <ns0:is>
          <ns0:t>effect: 난류·한류 혼합 / 영양염의 상층 공급 / 식물플랑크톤과 성육장 기능</ns0:t>
        </ns0:is>
      </ns0:c>
      <ns0:c r="H93" s="12" t="inlineStr">
        <ns0:is>
          <ns0:t>대한민국 한국해양과학기술원 · 독도 섬효과
https://www.dokdo.re.kr/home/cms/cmsCont.do?cntnts_sn=82</ns0:t>
        </ns0:is>
      </ns0:c>
    </ns0:row>
    <ns0:row r="94" ht="98" customHeight="1">
      <ns0:c r="A94" s="10" t="n">
        <ns0:v>920093</ns0:v>
      </ns0:c>
      <ns0:c r="B94" s="10" t="inlineStr">
        <ns0:is>
          <ns0:t>과거 독도에 무리 지어 살았지만 사라진 바다 포유류는 무엇인가요?</ns0:t>
        </ns0:is>
      </ns0:c>
      <ns0:c r="C94" s="10" t="n">
        <ns0:v>0</ns0:v>
      </ns0:c>
      <ns0:c r="D94" s="10" t="inlineStr"/>
      <ns0:c r="E94" s="10" t="inlineStr"/>
      <ns0:c r="F94" s="10" t="inlineStr"/>
      <ns0:c r="G94" s="10" t="inlineStr">
        <ns0:is>
          <ns0:t>gangchi: 포획 자료 기반 개체군 추정과 남획의 영향; 모델과 직접 관측 구분
gangchi-paper: Abstract 및 Discussion / 포획 압력·모델 가정과 환경 변화 미포함의 한계; CC BY 4.0</ns0:t>
        </ns0:is>
      </ns0:c>
      <ns0:c r="H94" s="10" t="inlineStr">
        <ns0:is>
          <ns0:t>대한민국 해양수산부 · 독도 강치 연구 발표(2022)
https://www.mof.go.kr/doc/ko/selectDoc.do?bbsSeq=10&amp;docSeq=45126&amp;menuSeq=971
국제 학술지 JMSE · Lee 외 강치 개체군 연구(2022)
https://www.mdpi.com/2077-1312/10/2/271</ns0:t>
        </ns0:is>
      </ns0:c>
    </ns0:row>
    <ns0:row r="95" ht="98" customHeight="1">
      <ns0:c r="A95" s="12" t="n">
        <ns0:v>920094</ns0:v>
      </ns0:c>
      <ns0:c r="B95" s="12" t="inlineStr">
        <ns0:is>
          <ns0:t>독도 강치를 크게 줄어들게 한 인간 활동은 무엇인가요?</ns0:t>
        </ns0:is>
      </ns0:c>
      <ns0:c r="C95" s="12" t="n">
        <ns0:v>0</ns0:v>
      </ns0:c>
      <ns0:c r="D95" s="12" t="inlineStr"/>
      <ns0:c r="E95" s="12" t="inlineStr"/>
      <ns0:c r="F95" s="12" t="inlineStr"/>
      <ns0:c r="G95" s="12" t="inlineStr">
        <ns0:is>
          <ns0:t>gangchi: 포획 자료 기반 개체군 추정과 남획의 영향; 모델과 직접 관측 구분
gangchi-paper: Abstract 및 Discussion / 포획 압력·모델 가정과 환경 변화 미포함의 한계; CC BY 4.0</ns0:t>
        </ns0:is>
      </ns0:c>
      <ns0:c r="H95" s="12" t="inlineStr">
        <ns0:is>
          <ns0:t>대한민국 해양수산부 · 독도 강치 연구 발표(2022)
https://www.mof.go.kr/doc/ko/selectDoc.do?bbsSeq=10&amp;docSeq=45126&amp;menuSeq=971
국제 학술지 JMSE · Lee 외 강치 개체군 연구(2022)
https://www.mdpi.com/2077-1312/10/2/271</ns0:t>
        </ns0:is>
      </ns0:c>
    </ns0:row>
    <ns0:row r="96" ht="98" customHeight="1">
      <ns0:c r="A96" s="10" t="n">
        <ns0:v>920095</ns0:v>
      </ns0:c>
      <ns0:c r="B96" s="10" t="inlineStr">
        <ns0:is>
          <ns0:t>독도 강치 연구가 이용한 과거 인간 활동 기록은 무엇인가요?</ns0:t>
        </ns0:is>
      </ns0:c>
      <ns0:c r="C96" s="10" t="n">
        <ns0:v>1</ns0:v>
      </ns0:c>
      <ns0:c r="D96" s="10" t="inlineStr"/>
      <ns0:c r="E96" s="10" t="inlineStr">
        <ns0:is>
          <ns0:t>2022년 강치 연구는 남아 있는 포획 자료와 생물학적 가정을 이용해 과거 개체군 변화를 모의 계산했어요.</ns0:t>
        </ns0:is>
      </ns0:c>
      <ns0:c r="F96" s="10" t="inlineStr"/>
      <ns0:c r="G96" s="10" t="inlineStr">
        <ns0:is>
          <ns0:t>gangchi: 포획 자료 기반 개체군 추정과 남획의 영향; 모델과 직접 관측 구분
gangchi-paper: Abstract 및 Discussion / 포획 압력·모델 가정과 환경 변화 미포함의 한계; CC BY 4.0</ns0:t>
        </ns0:is>
      </ns0:c>
      <ns0:c r="H96" s="10" t="inlineStr">
        <ns0:is>
          <ns0:t>대한민국 해양수산부 · 독도 강치 연구 발표(2022)
https://www.mof.go.kr/doc/ko/selectDoc.do?bbsSeq=10&amp;docSeq=45126&amp;menuSeq=971
국제 학술지 JMSE · Lee 외 강치 개체군 연구(2022)
https://www.mdpi.com/2077-1312/10/2/271</ns0:t>
        </ns0:is>
      </ns0:c>
    </ns0:row>
    <ns0:row r="97" ht="98" customHeight="1">
      <ns0:c r="A97" s="12" t="n">
        <ns0:v>920096</ns0:v>
      </ns0:c>
      <ns0:c r="B97" s="12" t="inlineStr">
        <ns0:is>
          <ns0:t>강치 모형에서 포획 압력이 커질 때 직접 늘어나는 항목은 무엇인가요?</ns0:t>
        </ns0:is>
      </ns0:c>
      <ns0:c r="C97" s="12" t="n">
        <ns0:v>1</ns0:v>
      </ns0:c>
      <ns0:c r="D97" s="12" t="inlineStr"/>
      <ns0:c r="E97" s="12" t="inlineStr">
        <ns0:is>
          <ns0:t>모형의 개체 수 변화: 출생으로 증가, 자연 사망과 포획으로 감소. 같은 번식 조건에서 포획 압력만 높여 본다.</ns0:t>
        </ns0:is>
      </ns0:c>
      <ns0:c r="F97" s="12" t="inlineStr"/>
      <ns0:c r="G97" s="12" t="inlineStr">
        <ns0:is>
          <ns0:t>gangchi: 포획 자료 기반 개체군 추정과 남획의 영향; 모델과 직접 관측 구분
gangchi-paper: Abstract 및 Discussion / 포획 압력·모델 가정과 환경 변화 미포함의 한계; CC BY 4.0</ns0:t>
        </ns0:is>
      </ns0:c>
      <ns0:c r="H97" s="12" t="inlineStr">
        <ns0:is>
          <ns0:t>대한민국 해양수산부 · 독도 강치 연구 발표(2022)
https://www.mof.go.kr/doc/ko/selectDoc.do?bbsSeq=10&amp;docSeq=45126&amp;menuSeq=971
국제 학술지 JMSE · Lee 외 강치 개체군 연구(2022)
https://www.mdpi.com/2077-1312/10/2/271</ns0:t>
        </ns0:is>
      </ns0:c>
    </ns0:row>
    <ns0:row r="98" ht="98" customHeight="1">
      <ns0:c r="A98" s="10" t="n">
        <ns0:v>920097</ns0:v>
      </ns0:c>
      <ns0:c r="B98" s="10" t="inlineStr">
        <ns0:is>
          <ns0:t>옛 강치 기록으로 당시 개체 수를 계산한 값은 무엇이라고 하나요?</ns0:t>
        </ns0:is>
      </ns0:c>
      <ns0:c r="C98" s="10" t="n">
        <ns0:v>0</ns0:v>
      </ns0:c>
      <ns0:c r="D98" s="10" t="inlineStr"/>
      <ns0:c r="E98" s="10" t="inlineStr"/>
      <ns0:c r="F98" s="10" t="inlineStr"/>
      <ns0:c r="G98" s="10" t="inlineStr">
        <ns0:is>
          <ns0:t>gangchi-paper: Abstract 및 Discussion / 포획 압력·모델 가정과 환경 변화 미포함의 한계; CC BY 4.0
gangchi: 포획 자료 기반 개체군 추정과 남획의 영향; 모델과 직접 관측 구분</ns0:t>
        </ns0:is>
      </ns0:c>
      <ns0:c r="H98" s="10" t="inlineStr">
        <ns0:is>
          <ns0:t>국제 학술지 JMSE · Lee 외 강치 개체군 연구(2022)
https://www.mdpi.com/2077-1312/10/2/271
대한민국 해양수산부 · 독도 강치 연구 발표(2022)
https://www.mof.go.kr/doc/ko/selectDoc.do?bbsSeq=10&amp;docSeq=45126&amp;menuSeq=971</ns0:t>
        </ns0:is>
      </ns0:c>
    </ns0:row>
    <ns0:row r="99" ht="98" customHeight="1">
      <ns0:c r="A99" s="12" t="n">
        <ns0:v>920098</ns0:v>
      </ns0:c>
      <ns0:c r="B99" s="12" t="inlineStr">
        <ns0:is>
          <ns0:t>독도 강치의 ‘포획 수’는 무엇을 센 값인가요?</ns0:t>
        </ns0:is>
      </ns0:c>
      <ns0:c r="C99" s="12" t="n">
        <ns0:v>0</ns0:v>
      </ns0:c>
      <ns0:c r="D99" s="12" t="inlineStr"/>
      <ns0:c r="E99" s="12" t="inlineStr"/>
      <ns0:c r="F99" s="12" t="inlineStr"/>
      <ns0:c r="G99" s="12" t="inlineStr">
        <ns0:is>
          <ns0:t>gangchi-paper: Abstract 및 Discussion / 포획 압력·모델 가정과 환경 변화 미포함의 한계; CC BY 4.0
gangchi: 포획 자료 기반 개체군 추정과 남획의 영향; 모델과 직접 관측 구분</ns0:t>
        </ns0:is>
      </ns0:c>
      <ns0:c r="H99" s="12" t="inlineStr">
        <ns0:is>
          <ns0:t>국제 학술지 JMSE · Lee 외 강치 개체군 연구(2022)
https://www.mdpi.com/2077-1312/10/2/271
대한민국 해양수산부 · 독도 강치 연구 발표(2022)
https://www.mof.go.kr/doc/ko/selectDoc.do?bbsSeq=10&amp;docSeq=45126&amp;menuSeq=971</ns0:t>
        </ns0:is>
      </ns0:c>
    </ns0:row>
    <ns0:row r="100" ht="98" customHeight="1">
      <ns0:c r="A100" s="10" t="n">
        <ns0:v>920099</ns0:v>
      </ns0:c>
      <ns0:c r="B100" s="10" t="inlineStr">
        <ns0:is>
          <ns0:t>‘모형으로 계산한 강치 수’에 붙일 올바른 자료 표시는 무엇인가요?</ns0:t>
        </ns0:is>
      </ns0:c>
      <ns0:c r="C100" s="10" t="n">
        <ns0:v>1</ns0:v>
      </ns0:c>
      <ns0:c r="D100" s="10" t="inlineStr"/>
      <ns0:c r="E100" s="10" t="inlineStr">
        <ns0:is>
          <ns0:t>연구 방식: 과거 포획 기록을 넣고 번식과 사망에 관한 가정을 적용해 개체군을 계산했다.</ns0:t>
        </ns0:is>
      </ns0:c>
      <ns0:c r="F100" s="10" t="inlineStr"/>
      <ns0:c r="G100" s="10" t="inlineStr">
        <ns0:is>
          <ns0:t>gangchi-paper: Abstract 및 Discussion / 포획 압력·모델 가정과 환경 변화 미포함의 한계; CC BY 4.0
gangchi: 포획 자료 기반 개체군 추정과 남획의 영향; 모델과 직접 관측 구분</ns0:t>
        </ns0:is>
      </ns0:c>
      <ns0:c r="H100" s="10" t="inlineStr">
        <ns0:is>
          <ns0:t>국제 학술지 JMSE · Lee 외 강치 개체군 연구(2022)
https://www.mdpi.com/2077-1312/10/2/271
대한민국 해양수산부 · 독도 강치 연구 발표(2022)
https://www.mof.go.kr/doc/ko/selectDoc.do?bbsSeq=10&amp;docSeq=45126&amp;menuSeq=971</ns0:t>
        </ns0:is>
      </ns0:c>
    </ns0:row>
    <ns0:row r="101" ht="98" customHeight="1">
      <ns0:c r="A101" s="12" t="n">
        <ns0:v>920100</ns0:v>
      </ns0:c>
      <ns0:c r="B101" s="12" t="inlineStr">
        <ns0:is>
          <ns0:t>강치 연구의 번식 가정이 달라졌을 때 다시 해야 할 일은 무엇인가요?</ns0:t>
        </ns0:is>
      </ns0:c>
      <ns0:c r="C101" s="12" t="n">
        <ns0:v>1</ns0:v>
      </ns0:c>
      <ns0:c r="D101" s="12" t="inlineStr"/>
      <ns0:c r="E101" s="12" t="inlineStr">
        <ns0:is>
          <ns0:t>강치 개체군 모형은 포획 기록과 번식·사망 가정을 사용해요. 한 가정을 바꾸어 결과의 민감도를 살펴보려 해요.</ns0:t>
        </ns0:is>
      </ns0:c>
      <ns0:c r="F101" s="12" t="inlineStr"/>
      <ns0:c r="G101" s="12" t="inlineStr">
        <ns0:is>
          <ns0:t>gangchi-paper: Abstract 및 Discussion / 포획 압력·모델 가정과 환경 변화 미포함의 한계; CC BY 4.0
gangchi: 포획 자료 기반 개체군 추정과 남획의 영향; 모델과 직접 관측 구분</ns0:t>
        </ns0:is>
      </ns0:c>
      <ns0:c r="H101" s="12" t="inlineStr">
        <ns0:is>
          <ns0:t>국제 학술지 JMSE · Lee 외 강치 개체군 연구(2022)
https://www.mdpi.com/2077-1312/10/2/271
대한민국 해양수산부 · 독도 강치 연구 발표(2022)
https://www.mof.go.kr/doc/ko/selectDoc.do?bbsSeq=10&amp;docSeq=45126&amp;menuSeq=971</ns0:t>
        </ns0:is>
      </ns0:c>
    </ns0:row>
    <ns0:row r="102" ht="53" customHeight="1">
      <ns0:c r="A102" s="10" t="n">
        <ns0:v>920101</ns0:v>
      </ns0:c>
      <ns0:c r="B102" s="10" t="inlineStr">
        <ns0:is>
          <ns0:t>독도등대는 어느 큰 섬에 있나요?</ns0:t>
        </ns0:is>
      </ns0:c>
      <ns0:c r="C102" s="10" t="n">
        <ns0:v>0</ns0:v>
      </ns0:c>
      <ns0:c r="D102" s="10" t="inlineStr"/>
      <ns0:c r="E102" s="10" t="inlineStr"/>
      <ns0:c r="F102" s="10" t="inlineStr"/>
      <ns0:c r="G102" s="10" t="inlineStr">
        <ns0:is>
          <ns0:t>facility: 서도 주민숙소 / 동도 접안시설·등대·경비대 / 담수시설</ns0:t>
        </ns0:is>
      </ns0:c>
      <ns0:c r="H102" s="10" t="inlineStr">
        <ns0:is>
          <ns0:t>대한민국 외교부 · 독도 주요시설물
https://dokdo.mofa.go.kr/kor/introduce/facility.jsp</ns0:t>
        </ns0:is>
      </ns0:c>
    </ns0:row>
    <ns0:row r="103" ht="53" customHeight="1">
      <ns0:c r="A103" s="12" t="n">
        <ns0:v>920102</ns0:v>
      </ns0:c>
      <ns0:c r="B103" s="12" t="inlineStr">
        <ns0:is>
          <ns0:t>독도등대가 바다를 지나는 배에 주는 도움은 무엇인가요?</ns0:t>
        </ns0:is>
      </ns0:c>
      <ns0:c r="C103" s="12" t="n">
        <ns0:v>0</ns0:v>
      </ns0:c>
      <ns0:c r="D103" s="12" t="inlineStr"/>
      <ns0:c r="E103" s="12" t="inlineStr"/>
      <ns0:c r="F103" s="12" t="inlineStr"/>
      <ns0:c r="G103" s="12" t="inlineStr">
        <ns0:is>
          <ns0:t>facility: 서도 주민숙소 / 동도 접안시설·등대·경비대 / 담수시설</ns0:t>
        </ns0:is>
      </ns0:c>
      <ns0:c r="H103" s="12" t="inlineStr">
        <ns0:is>
          <ns0:t>대한민국 외교부 · 독도 주요시설물
https://dokdo.mofa.go.kr/kor/introduce/facility.jsp</ns0:t>
        </ns0:is>
      </ns0:c>
    </ns0:row>
    <ns0:row r="104" ht="53" customHeight="1">
      <ns0:c r="A104" s="10" t="n">
        <ns0:v>920103</ns0:v>
      </ns0:c>
      <ns0:c r="B104" s="10" t="inlineStr">
        <ns0:is>
          <ns0:t>동도에서 빛을 이용해 항해를 돕는 시설의 이름은 무엇인가요?</ns0:t>
        </ns0:is>
      </ns0:c>
      <ns0:c r="C104" s="10" t="n">
        <ns0:v>1</ns0:v>
      </ns0:c>
      <ns0:c r="D104" s="10" t="inlineStr"/>
      <ns0:c r="E104" s="10" t="inlineStr">
        <ns0:is>
          <ns0:t>동도 시설 안내: 등대 — 항해를 돕는 빛 / 접안시설 — 배가 닿는 곳 / 담수시설 — 생활에 쓸 물을 만드는 설비.</ns0:t>
        </ns0:is>
      </ns0:c>
      <ns0:c r="F104" s="10" t="inlineStr"/>
      <ns0:c r="G104" s="10" t="inlineStr">
        <ns0:is>
          <ns0:t>facility: 서도 주민숙소 / 동도 접안시설·등대·경비대 / 담수시설</ns0:t>
        </ns0:is>
      </ns0:c>
      <ns0:c r="H104" s="10" t="inlineStr">
        <ns0:is>
          <ns0:t>대한민국 외교부 · 독도 주요시설물
https://dokdo.mofa.go.kr/kor/introduce/facility.jsp</ns0:t>
        </ns0:is>
      </ns0:c>
    </ns0:row>
    <ns0:row r="105" ht="53" customHeight="1">
      <ns0:c r="A105" s="12" t="n">
        <ns0:v>920104</ns0:v>
      </ns0:c>
      <ns0:c r="B105" s="12" t="inlineStr">
        <ns0:is>
          <ns0:t>독도에서 배의 위치 파악과 섬에 닿는 일을 각각 돕는 시설은 무엇인가요?</ns0:t>
        </ns0:is>
      </ns0:c>
      <ns0:c r="C105" s="12" t="n">
        <ns0:v>1</ns0:v>
      </ns0:c>
      <ns0:c r="D105" s="12" t="inlineStr"/>
      <ns0:c r="E105" s="12" t="inlineStr">
        <ns0:is>
          <ns0:t>배가 독도 가까이 왔어요. 먼저 항해 표지로 위치를 확인하고, 입도가 허용되면 지정된 곳에 배를 댑니다. 두 단계에 해당하는 시설을 순서대로 골라요.</ns0:t>
        </ns0:is>
      </ns0:c>
      <ns0:c r="F105" s="12" t="inlineStr"/>
      <ns0:c r="G105" s="12" t="inlineStr">
        <ns0:is>
          <ns0:t>facility: 서도 주민숙소 / 동도 접안시설·등대·경비대 / 담수시설</ns0:t>
        </ns0:is>
      </ns0:c>
      <ns0:c r="H105" s="12" t="inlineStr">
        <ns0:is>
          <ns0:t>대한민국 외교부 · 독도 주요시설물
https://dokdo.mofa.go.kr/kor/introduce/facility.jsp</ns0:t>
        </ns0:is>
      </ns0:c>
    </ns0:row>
    <ns0:row r="106" ht="98" customHeight="1">
      <ns0:c r="A106" s="10" t="n">
        <ns0:v>920105</ns0:v>
      </ns0:c>
      <ns0:c r="B106" s="10" t="inlineStr">
        <ns0:is>
          <ns0:t>일반 탐방객이 배에서 내리는 독도 선착장은 어느 큰 섬에 있나요?</ns0:t>
        </ns0:is>
      </ns0:c>
      <ns0:c r="C106" s="10" t="n">
        <ns0:v>0</ns0:v>
      </ns0:c>
      <ns0:c r="D106" s="10" t="inlineStr"/>
      <ns0:c r="E106" s="10" t="inlineStr"/>
      <ns0:c r="F106" s="10" t="inlineStr"/>
      <ns0:c r="G106" s="10" t="inlineStr">
        <ns0:is>
          <ns0:t>facility: 서도 주민숙소 / 동도 접안시설·등대·경비대 / 담수시설
visit: 입도 유의사항·동도 선착장 관람 / 2026년 7월 기준 표기. 실제 방문 전 최신 안내 확인</ns0:t>
        </ns0:is>
      </ns0:c>
      <ns0:c r="H106" s="10" t="inlineStr">
        <ns0:is>
          <ns0:t>대한민국 외교부 · 독도 주요시설물
https://dokdo.mofa.go.kr/kor/introduce/facility.jsp
대한민국 외교부 · 주민 및 입도 안내
https://dokdo.mofa.go.kr/kor/introduce/residence.jsp</ns0:t>
        </ns0:is>
      </ns0:c>
    </ns0:row>
    <ns0:row r="107" ht="98" customHeight="1">
      <ns0:c r="A107" s="12" t="n">
        <ns0:v>920106</ns0:v>
      </ns0:c>
      <ns0:c r="B107" s="12" t="inlineStr">
        <ns0:is>
          <ns0:t>독도의 ‘접안시설’은 무엇을 하는 곳인가요?</ns0:t>
        </ns0:is>
      </ns0:c>
      <ns0:c r="C107" s="12" t="n">
        <ns0:v>0</ns0:v>
      </ns0:c>
      <ns0:c r="D107" s="12" t="inlineStr"/>
      <ns0:c r="E107" s="12" t="inlineStr"/>
      <ns0:c r="F107" s="12" t="inlineStr"/>
      <ns0:c r="G107" s="12" t="inlineStr">
        <ns0:is>
          <ns0:t>facility: 서도 주민숙소 / 동도 접안시설·등대·경비대 / 담수시설
visit: 입도 유의사항·동도 선착장 관람 / 2026년 7월 기준 표기. 실제 방문 전 최신 안내 확인</ns0:t>
        </ns0:is>
      </ns0:c>
      <ns0:c r="H107" s="12" t="inlineStr">
        <ns0:is>
          <ns0:t>대한민국 외교부 · 독도 주요시설물
https://dokdo.mofa.go.kr/kor/introduce/facility.jsp
대한민국 외교부 · 주민 및 입도 안내
https://dokdo.mofa.go.kr/kor/introduce/residence.jsp</ns0:t>
        </ns0:is>
      </ns0:c>
    </ns0:row>
    <ns0:row r="108" ht="98" customHeight="1">
      <ns0:c r="A108" s="10" t="n">
        <ns0:v>920107</ns0:v>
      </ns0:c>
      <ns0:c r="B108" s="10" t="inlineStr">
        <ns0:is>
          <ns0:t>시설 안내에서 길이 80m로 소개된 동도 시설은 무엇인가요?</ns0:t>
        </ns0:is>
      </ns0:c>
      <ns0:c r="C108" s="10" t="n">
        <ns0:v>1</ns0:v>
      </ns0:c>
      <ns0:c r="D108" s="10" t="inlineStr"/>
      <ns0:c r="E108" s="10" t="inlineStr">
        <ns0:is>
          <ns0:t>동도 시설 자료: 접안시설 길이 80m. 등대와 경비대도 동도에 있으며, 주민숙소는 서도에 있다.</ns0:t>
        </ns0:is>
      </ns0:c>
      <ns0:c r="F108" s="10" t="inlineStr"/>
      <ns0:c r="G108" s="10" t="inlineStr">
        <ns0:is>
          <ns0:t>facility: 서도 주민숙소 / 동도 접안시설·등대·경비대 / 담수시설
visit: 입도 유의사항·동도 선착장 관람 / 2026년 7월 기준 표기. 실제 방문 전 최신 안내 확인</ns0:t>
        </ns0:is>
      </ns0:c>
      <ns0:c r="H108" s="10" t="inlineStr">
        <ns0:is>
          <ns0:t>대한민국 외교부 · 독도 주요시설물
https://dokdo.mofa.go.kr/kor/introduce/facility.jsp
대한민국 외교부 · 주민 및 입도 안내
https://dokdo.mofa.go.kr/kor/introduce/residence.jsp</ns0:t>
        </ns0:is>
      </ns0:c>
    </ns0:row>
    <ns0:row r="109" ht="98" customHeight="1">
      <ns0:c r="A109" s="12" t="n">
        <ns0:v>920108</ns0:v>
      </ns0:c>
      <ns0:c r="B109" s="12" t="inlineStr">
        <ns0:is>
          <ns0:t>‘80m 접안시설’과 ‘두 섬 사이 151m’의 측정 대상은 어떻게 다른가요?</ns0:t>
        </ns0:is>
      </ns0:c>
      <ns0:c r="C109" s="12" t="n">
        <ns0:v>1</ns0:v>
      </ns0:c>
      <ns0:c r="D109" s="12" t="inlineStr"/>
      <ns0:c r="E109" s="12" t="inlineStr">
        <ns0:is>
          <ns0:t>시설 자료: 동도 접안시설 80m.
지형 자료: 동도와 서도의 최근접 해안 사이 약 151m.</ns0:t>
        </ns0:is>
      </ns0:c>
      <ns0:c r="F109" s="12" t="inlineStr"/>
      <ns0:c r="G109" s="12" t="inlineStr">
        <ns0:is>
          <ns0:t>facility: 서도 주민숙소 / 동도 접안시설·등대·경비대 / 담수시설
visit: 입도 유의사항·동도 선착장 관람 / 2026년 7월 기준 표기. 실제 방문 전 최신 안내 확인</ns0:t>
        </ns0:is>
      </ns0:c>
      <ns0:c r="H109" s="12" t="inlineStr">
        <ns0:is>
          <ns0:t>대한민국 외교부 · 독도 주요시설물
https://dokdo.mofa.go.kr/kor/introduce/facility.jsp
대한민국 외교부 · 주민 및 입도 안내
https://dokdo.mofa.go.kr/kor/introduce/residence.jsp</ns0:t>
        </ns0:is>
      </ns0:c>
    </ns0:row>
    <ns0:row r="110" ht="98" customHeight="1">
      <ns0:c r="A110" s="10" t="n">
        <ns0:v>920109</ns0:v>
      </ns0:c>
      <ns0:c r="B110" s="10" t="inlineStr">
        <ns0:is>
          <ns0:t>독도 주민숙소는 어느 큰 섬에 있나요?</ns0:t>
        </ns0:is>
      </ns0:c>
      <ns0:c r="C110" s="10" t="n">
        <ns0:v>0</ns0:v>
      </ns0:c>
      <ns0:c r="D110" s="10" t="inlineStr"/>
      <ns0:c r="E110" s="10" t="inlineStr"/>
      <ns0:c r="F110" s="10" t="inlineStr"/>
      <ns0:c r="G110" s="10" t="inlineStr">
        <ns0:is>
          <ns0:t>facility: 서도 주민숙소 / 동도 접안시설·등대·경비대 / 담수시설
address: 동도·서도의 도로명 주소와 위치; 2018년 등록 자료, 2026-09-11 대조</ns0:t>
        </ns0:is>
      </ns0:c>
      <ns0:c r="H110" s="10" t="inlineStr">
        <ns0:is>
          <ns0:t>대한민국 외교부 · 독도 주요시설물
https://dokdo.mofa.go.kr/kor/introduce/facility.jsp
대한민국 해양수산부 · 독도의 주소와 위치
https://www.mof.go.kr/doc/ko/selectDoc.do?bbsSeq=27&amp;docSeq=20937&amp;menuSeq=929</ns0:t>
        </ns0:is>
      </ns0:c>
    </ns0:row>
    <ns0:row r="111" ht="98" customHeight="1">
      <ns0:c r="A111" s="12" t="n">
        <ns0:v>920110</ns0:v>
      </ns0:c>
      <ns0:c r="B111" s="12" t="inlineStr">
        <ns0:is>
          <ns0:t>서도 주민숙소의 주된 기능은 무엇인가요?</ns0:t>
        </ns0:is>
      </ns0:c>
      <ns0:c r="C111" s="12" t="n">
        <ns0:v>0</ns0:v>
      </ns0:c>
      <ns0:c r="D111" s="12" t="inlineStr"/>
      <ns0:c r="E111" s="12" t="inlineStr"/>
      <ns0:c r="F111" s="12" t="inlineStr"/>
      <ns0:c r="G111" s="12" t="inlineStr">
        <ns0:is>
          <ns0:t>facility: 서도 주민숙소 / 동도 접안시설·등대·경비대 / 담수시설
address: 동도·서도의 도로명 주소와 위치; 2018년 등록 자료, 2026-09-11 대조</ns0:t>
        </ns0:is>
      </ns0:c>
      <ns0:c r="H111" s="12" t="inlineStr">
        <ns0:is>
          <ns0:t>대한민국 외교부 · 독도 주요시설물
https://dokdo.mofa.go.kr/kor/introduce/facility.jsp
대한민국 해양수산부 · 독도의 주소와 위치
https://www.mof.go.kr/doc/ko/selectDoc.do?bbsSeq=27&amp;docSeq=20937&amp;menuSeq=929</ns0:t>
        </ns0:is>
      </ns0:c>
    </ns0:row>
    <ns0:row r="112" ht="98" customHeight="1">
      <ns0:c r="A112" s="10" t="n">
        <ns0:v>920111</ns0:v>
      </ns0:c>
      <ns0:c r="B112" s="10" t="inlineStr">
        <ns0:is>
          <ns0:t>시설 목록에서 서도에 속하는 항목은 무엇인가요?</ns0:t>
        </ns0:is>
      </ns0:c>
      <ns0:c r="C112" s="10" t="n">
        <ns0:v>1</ns0:v>
      </ns0:c>
      <ns0:c r="D112" s="10" t="inlineStr"/>
      <ns0:c r="E112" s="10" t="inlineStr">
        <ns0:is>
          <ns0:t>동도: 독도등대, 독도경비대.
서도: 주민숙소.</ns0:t>
        </ns0:is>
      </ns0:c>
      <ns0:c r="F112" s="10" t="inlineStr"/>
      <ns0:c r="G112" s="10" t="inlineStr">
        <ns0:is>
          <ns0:t>facility: 서도 주민숙소 / 동도 접안시설·등대·경비대 / 담수시설
address: 동도·서도의 도로명 주소와 위치; 2018년 등록 자료, 2026-09-11 대조</ns0:t>
        </ns0:is>
      </ns0:c>
      <ns0:c r="H112" s="10" t="inlineStr">
        <ns0:is>
          <ns0:t>대한민국 외교부 · 독도 주요시설물
https://dokdo.mofa.go.kr/kor/introduce/facility.jsp
대한민국 해양수산부 · 독도의 주소와 위치
https://www.mof.go.kr/doc/ko/selectDoc.do?bbsSeq=27&amp;docSeq=20937&amp;menuSeq=929</ns0:t>
        </ns0:is>
      </ns0:c>
    </ns0:row>
    <ns0:row r="113" ht="98" customHeight="1">
      <ns0:c r="A113" s="12" t="n">
        <ns0:v>920112</ns0:v>
      </ns0:c>
      <ns0:c r="B113" s="12" t="inlineStr">
        <ns0:is>
          <ns0:t>‘독도의 생활 시설은 모두 동도에 있다’는 설명을 고칠 근거는 무엇인가요?</ns0:t>
        </ns0:is>
      </ns0:c>
      <ns0:c r="C113" s="12" t="n">
        <ns0:v>1</ns0:v>
      </ns0:c>
      <ns0:c r="D113" s="12" t="inlineStr"/>
      <ns0:c r="E113" s="12" t="inlineStr">
        <ns0:is>
          <ns0:t>시설 확인: 주민숙소 — 서도 / 등대·경비대·주요 접안시설 — 동도.</ns0:t>
        </ns0:is>
      </ns0:c>
      <ns0:c r="F113" s="12" t="inlineStr"/>
      <ns0:c r="G113" s="12" t="inlineStr">
        <ns0:is>
          <ns0:t>facility: 서도 주민숙소 / 동도 접안시설·등대·경비대 / 담수시설
address: 동도·서도의 도로명 주소와 위치; 2018년 등록 자료, 2026-09-11 대조</ns0:t>
        </ns0:is>
      </ns0:c>
      <ns0:c r="H113" s="12" t="inlineStr">
        <ns0:is>
          <ns0:t>대한민국 외교부 · 독도 주요시설물
https://dokdo.mofa.go.kr/kor/introduce/facility.jsp
대한민국 해양수산부 · 독도의 주소와 위치
https://www.mof.go.kr/doc/ko/selectDoc.do?bbsSeq=27&amp;docSeq=20937&amp;menuSeq=929</ns0:t>
        </ns0:is>
      </ns0:c>
    </ns0:row>
    <ns0:row r="114" ht="98" customHeight="1">
      <ns0:c r="A114" s="10" t="n">
        <ns0:v>920113</ns0:v>
      </ns0:c>
      <ns0:c r="B114" s="10" t="inlineStr">
        <ns0:is>
          <ns0:t>독도에서 바닷물을 생활에 쓸 물로 바꾸는 시설은 무엇인가요?</ns0:t>
        </ns0:is>
      </ns0:c>
      <ns0:c r="C114" s="10" t="n">
        <ns0:v>0</ns0:v>
      </ns0:c>
      <ns0:c r="D114" s="10" t="inlineStr"/>
      <ns0:c r="E114" s="10" t="inlineStr"/>
      <ns0:c r="F114" s="10" t="inlineStr"/>
      <ns0:c r="G114" s="10" t="inlineStr">
        <ns0:is>
          <ns0:t>facility: 서도 주민숙소 / 동도 접안시설·등대·경비대 / 담수시설
geology: 해저 화산의 형성 / 해안 침식 지형 / 물골 / 지형 변화</ns0:t>
        </ns0:is>
      </ns0:c>
      <ns0:c r="H114" s="10" t="inlineStr">
        <ns0:is>
          <ns0:t>대한민국 외교부 · 독도 주요시설물
https://dokdo.mofa.go.kr/kor/introduce/facility.jsp
대한민국 한국해양과학기술원 · 독도 지형 및 지질
https://www.dokdo.re.kr/home/cms/cmsCont.do?cntnts_sn=66</ns0:t>
        </ns0:is>
      </ns0:c>
    </ns0:row>
    <ns0:row r="115" ht="98" customHeight="1">
      <ns0:c r="A115" s="12" t="n">
        <ns0:v>920114</ns0:v>
      </ns0:c>
      <ns0:c r="B115" s="12" t="inlineStr">
        <ns0:is>
          <ns0:t>바닷물을 담수화할 때 주로 줄이려는 성분은 무엇인가요?</ns0:t>
        </ns0:is>
      </ns0:c>
      <ns0:c r="C115" s="12" t="n">
        <ns0:v>0</ns0:v>
      </ns0:c>
      <ns0:c r="D115" s="12" t="inlineStr"/>
      <ns0:c r="E115" s="12" t="inlineStr"/>
      <ns0:c r="F115" s="12" t="inlineStr"/>
      <ns0:c r="G115" s="12" t="inlineStr">
        <ns0:is>
          <ns0:t>facility: 서도 주민숙소 / 동도 접안시설·등대·경비대 / 담수시설
geology: 해저 화산의 형성 / 해안 침식 지형 / 물골 / 지형 변화</ns0:t>
        </ns0:is>
      </ns0:c>
      <ns0:c r="H115" s="12" t="inlineStr">
        <ns0:is>
          <ns0:t>대한민국 외교부 · 독도 주요시설물
https://dokdo.mofa.go.kr/kor/introduce/facility.jsp
대한민국 한국해양과학기술원 · 독도 지형 및 지질
https://www.dokdo.re.kr/home/cms/cmsCont.do?cntnts_sn=66</ns0:t>
        </ns0:is>
      </ns0:c>
    </ns0:row>
    <ns0:row r="116" ht="98" customHeight="1">
      <ns0:c r="A116" s="10" t="n">
        <ns0:v>920115</ns0:v>
      </ns0:c>
      <ns0:c r="B116" s="10" t="inlineStr">
        <ns0:is>
          <ns0:t>독도의 물 공급에서 자연 식수원과 처리 시설을 바르게 짝지은 것은 무엇인가요?</ns0:t>
        </ns0:is>
      </ns0:c>
      <ns0:c r="C116" s="10" t="n">
        <ns0:v>1</ns0:v>
      </ns0:c>
      <ns0:c r="D116" s="10" t="inlineStr"/>
      <ns0:c r="E116" s="10" t="inlineStr">
        <ns0:is>
          <ns0:t>물골: 서도에서 바위의 물을 얻던 곳.
담수화 시설: 바닷물에서 소금을 줄이는 설비.</ns0:t>
        </ns0:is>
      </ns0:c>
      <ns0:c r="F116" s="10" t="inlineStr"/>
      <ns0:c r="G116" s="10" t="inlineStr">
        <ns0:is>
          <ns0:t>facility: 서도 주민숙소 / 동도 접안시설·등대·경비대 / 담수시설
geology: 해저 화산의 형성 / 해안 침식 지형 / 물골 / 지형 변화</ns0:t>
        </ns0:is>
      </ns0:c>
      <ns0:c r="H116" s="10" t="inlineStr">
        <ns0:is>
          <ns0:t>대한민국 외교부 · 독도 주요시설물
https://dokdo.mofa.go.kr/kor/introduce/facility.jsp
대한민국 한국해양과학기술원 · 독도 지형 및 지질
https://www.dokdo.re.kr/home/cms/cmsCont.do?cntnts_sn=66</ns0:t>
        </ns0:is>
      </ns0:c>
    </ns0:row>
    <ns0:row r="117" ht="98" customHeight="1">
      <ns0:c r="A117" s="12" t="n">
        <ns0:v>920116</ns0:v>
      </ns0:c>
      <ns0:c r="B117" s="12" t="inlineStr">
        <ns0:is>
          <ns0:t>바닷물에서 모래만 걸렀다면 독도 생활용 담수를 만든 것인가요?</ns0:t>
        </ns0:is>
      </ns0:c>
      <ns0:c r="C117" s="12" t="n">
        <ns0:v>1</ns0:v>
      </ns0:c>
      <ns0:c r="D117" s="12" t="inlineStr"/>
      <ns0:c r="E117" s="12" t="inlineStr">
        <ns0:is>
          <ns0:t>독도 담수화 시설의 목적은 바닷물의 소금을 줄여 생활에 쓸 물을 얻는 것이에요. 모래는 입자이고 소금은 물에 녹아 있을 수 있어요.</ns0:t>
        </ns0:is>
      </ns0:c>
      <ns0:c r="F117" s="12" t="inlineStr"/>
      <ns0:c r="G117" s="12" t="inlineStr">
        <ns0:is>
          <ns0:t>facility: 서도 주민숙소 / 동도 접안시설·등대·경비대 / 담수시설
geology: 해저 화산의 형성 / 해안 침식 지형 / 물골 / 지형 변화</ns0:t>
        </ns0:is>
      </ns0:c>
      <ns0:c r="H117" s="12" t="inlineStr">
        <ns0:is>
          <ns0:t>대한민국 외교부 · 독도 주요시설물
https://dokdo.mofa.go.kr/kor/introduce/facility.jsp
대한민국 한국해양과학기술원 · 독도 지형 및 지질
https://www.dokdo.re.kr/home/cms/cmsCont.do?cntnts_sn=66</ns0:t>
        </ns0:is>
      </ns0:c>
    </ns0:row>
    <ns0:row r="118" ht="98" customHeight="1">
      <ns0:c r="A118" s="10" t="n">
        <ns0:v>920117</ns0:v>
      </ns0:c>
      <ns0:c r="B118" s="10" t="inlineStr">
        <ns0:is>
          <ns0:t>동도 선착장에서 위쪽 시설로 걸어갈 때 이용하는 길은 무엇인가요?</ns0:t>
        </ns0:is>
      </ns0:c>
      <ns0:c r="C118" s="10" t="n">
        <ns0:v>0</ns0:v>
      </ns0:c>
      <ns0:c r="D118" s="10" t="inlineStr"/>
      <ns0:c r="E118" s="10" t="inlineStr"/>
      <ns0:c r="F118" s="10" t="inlineStr"/>
      <ns0:c r="G118" s="10" t="inlineStr">
        <ns0:is>
          <ns0:t>facility: 서도 주민숙소 / 동도 접안시설·등대·경비대 / 담수시설
photos: 두 섬·선착장·등대로 가는 길·바위의 사진 설명; 사진 파일은 재배포하지 않음</ns0:t>
        </ns0:is>
      </ns0:c>
      <ns0:c r="H118" s="10" t="inlineStr">
        <ns0:is>
          <ns0:t>대한민국 외교부 · 독도 주요시설물
https://dokdo.mofa.go.kr/kor/introduce/facility.jsp
대한민국 전북교육청 · 독도 사진 자료
https://www.jbe.go.kr/dokdo/assets/sub/picture.html</ns0:t>
        </ns0:is>
      </ns0:c>
    </ns0:row>
    <ns0:row r="119" ht="98" customHeight="1">
      <ns0:c r="A119" s="12" t="n">
        <ns0:v>920118</ns0:v>
      </ns0:c>
      <ns0:c r="B119" s="12" t="inlineStr">
        <ns0:is>
          <ns0:t>동도 경사면의 계단은 선착장과 어느 곳을 연결하나요?</ns0:t>
        </ns0:is>
      </ns0:c>
      <ns0:c r="C119" s="12" t="n">
        <ns0:v>0</ns0:v>
      </ns0:c>
      <ns0:c r="D119" s="12" t="inlineStr"/>
      <ns0:c r="E119" s="12" t="inlineStr"/>
      <ns0:c r="F119" s="12" t="inlineStr"/>
      <ns0:c r="G119" s="12" t="inlineStr">
        <ns0:is>
          <ns0:t>facility: 서도 주민숙소 / 동도 접안시설·등대·경비대 / 담수시설
photos: 두 섬·선착장·등대로 가는 길·바위의 사진 설명; 사진 파일은 재배포하지 않음</ns0:t>
        </ns0:is>
      </ns0:c>
      <ns0:c r="H119" s="12" t="inlineStr">
        <ns0:is>
          <ns0:t>대한민국 외교부 · 독도 주요시설물
https://dokdo.mofa.go.kr/kor/introduce/facility.jsp
대한민국 전북교육청 · 독도 사진 자료
https://www.jbe.go.kr/dokdo/assets/sub/picture.html</ns0:t>
        </ns0:is>
      </ns0:c>
    </ns0:row>
    <ns0:row r="120" ht="98" customHeight="1">
      <ns0:c r="A120" s="10" t="n">
        <ns0:v>920119</ns0:v>
      </ns0:c>
      <ns0:c r="B120" s="10" t="inlineStr">
        <ns0:is>
          <ns0:t>동도 선착장과 경비대 사이 시설로 안내된 것은 무엇인가요?</ns0:t>
        </ns0:is>
      </ns0:c>
      <ns0:c r="C120" s="10" t="n">
        <ns0:v>1</ns0:v>
      </ns0:c>
      <ns0:c r="D120" s="10" t="inlineStr"/>
      <ns0:c r="E120" s="10" t="inlineStr">
        <ns0:is>
          <ns0:t>독도 주요시설 안내: 동도 선착장과 경비대 사이에 길이 300m의 케이블카가 설치되어 있다. 일반 관광객용 이용을 뜻하는 설명은 아니에요.</ns0:t>
        </ns0:is>
      </ns0:c>
      <ns0:c r="F120" s="10" t="inlineStr"/>
      <ns0:c r="G120" s="10" t="inlineStr">
        <ns0:is>
          <ns0:t>facility: 서도 주민숙소 / 동도 접안시설·등대·경비대 / 담수시설
photos: 두 섬·선착장·등대로 가는 길·바위의 사진 설명; 사진 파일은 재배포하지 않음</ns0:t>
        </ns0:is>
      </ns0:c>
      <ns0:c r="H120" s="10" t="inlineStr">
        <ns0:is>
          <ns0:t>대한민국 외교부 · 독도 주요시설물
https://dokdo.mofa.go.kr/kor/introduce/facility.jsp
대한민국 전북교육청 · 독도 사진 자료
https://www.jbe.go.kr/dokdo/assets/sub/picture.html</ns0:t>
        </ns0:is>
      </ns0:c>
    </ns0:row>
    <ns0:row r="121" ht="98" customHeight="1">
      <ns0:c r="A121" s="12" t="n">
        <ns0:v>920120</ns0:v>
      </ns0:c>
      <ns0:c r="B121" s="12" t="inlineStr">
        <ns0:is>
          <ns0:t>동도 선착장부터 정상 시설까지 실제 이동 거리를 알아보려면 무엇을 재야 하나요?</ns0:t>
        </ns0:is>
      </ns0:c>
      <ns0:c r="C121" s="12" t="n">
        <ns0:v>1</ns0:v>
      </ns0:c>
      <ns0:c r="D121" s="12" t="inlineStr"/>
      <ns0:c r="E121" s="12" t="inlineStr">
        <ns0:is>
          <ns0:t>동도에는 선착장에서 상부 시설로 올라가는 계단과 굽은 길이 있어요. 실제 걷는 길의 길이를 구하려고 해요.</ns0:t>
        </ns0:is>
      </ns0:c>
      <ns0:c r="F121" s="12" t="inlineStr"/>
      <ns0:c r="G121" s="12" t="inlineStr">
        <ns0:is>
          <ns0:t>facility: 서도 주민숙소 / 동도 접안시설·등대·경비대 / 담수시설
photos: 두 섬·선착장·등대로 가는 길·바위의 사진 설명; 사진 파일은 재배포하지 않음</ns0:t>
        </ns0:is>
      </ns0:c>
      <ns0:c r="H121" s="12" t="inlineStr">
        <ns0:is>
          <ns0:t>대한민국 외교부 · 독도 주요시설물
https://dokdo.mofa.go.kr/kor/introduce/facility.jsp
대한민국 전북교육청 · 독도 사진 자료
https://www.jbe.go.kr/dokdo/assets/sub/picture.html</ns0:t>
        </ns0:is>
      </ns0:c>
    </ns0:row>
    <ns0:row r="122" ht="53" customHeight="1">
      <ns0:c r="A122" s="10" t="n">
        <ns0:v>920121</ns0:v>
      </ns0:c>
      <ns0:c r="B122" s="10" t="inlineStr">
        <ns0:is>
          <ns0:t>우산·무릉 두 섬을 기록한 조선의 지리 기록은 무엇인가요?</ns0:t>
        </ns0:is>
      </ns0:c>
      <ns0:c r="C122" s="10" t="n">
        <ns0:v>0</ns0:v>
      </ns0:c>
      <ns0:c r="D122" s="10" t="inlineStr">
        <ns0:is>
          <ns0:t>지리지는 한 나라의 여러 지역과 산·강·섬을 설명한 기록이에요.</ns0:t>
        </ns0:is>
      </ns0:c>
      <ns0:c r="E122" s="10" t="inlineStr"/>
      <ns0:c r="F122" s="10" t="inlineStr">
        <ns0:is>
          <ns0:t>옛 지명과 현대 지명의 대응은 대한민국 외교부의 역문·해설을 따랐어요.</ns0:t>
        </ns0:is>
      </ns0:c>
      <ns0:c r="G122" s="10" t="inlineStr">
        <ns0:is>
          <ns0:t>sejong: 우산·무릉과 맑은 날의 가시성; 괄호 안 현대 지명은 외교부 해석</ns0:t>
        </ns0:is>
      </ns0:c>
      <ns0:c r="H122" s="10" t="inlineStr">
        <ns0:is>
          <ns0:t>대한민국 외교부 자료실 · 세종실록 지리지(1454)
https://dokdo.mofa.go.kr/kor/pds/part06_view02.jsp</ns0:t>
        </ns0:is>
      </ns0:c>
    </ns0:row>
    <ns0:row r="123" ht="53" customHeight="1">
      <ns0:c r="A123" s="12" t="n">
        <ns0:v>920122</ns0:v>
      </ns0:c>
      <ns0:c r="B123" s="12" t="inlineStr">
        <ns0:is>
          <ns0:t>『세종실록』 지리지의 ‘무릉’은 오늘날 어느 섬으로 풀이되나요?</ns0:t>
        </ns0:is>
      </ns0:c>
      <ns0:c r="C123" s="12" t="n">
        <ns0:v>0</ns0:v>
      </ns0:c>
      <ns0:c r="D123" s="12" t="inlineStr"/>
      <ns0:c r="E123" s="12" t="inlineStr"/>
      <ns0:c r="F123" s="12" t="inlineStr">
        <ns0:is>
          <ns0:t>옛 지명과 현대 지명의 대응은 대한민국 외교부의 역문·해설을 따랐어요.</ns0:t>
        </ns0:is>
      </ns0:c>
      <ns0:c r="G123" s="12" t="inlineStr">
        <ns0:is>
          <ns0:t>sejong: 우산·무릉과 맑은 날의 가시성; 괄호 안 현대 지명은 외교부 해석</ns0:t>
        </ns0:is>
      </ns0:c>
      <ns0:c r="H123" s="12" t="inlineStr">
        <ns0:is>
          <ns0:t>대한민국 외교부 자료실 · 세종실록 지리지(1454)
https://dokdo.mofa.go.kr/kor/pds/part06_view02.jsp</ns0:t>
        </ns0:is>
      </ns0:c>
    </ns0:row>
    <ns0:row r="124" ht="53" customHeight="1">
      <ns0:c r="A124" s="10" t="n">
        <ns0:v>920123</ns0:v>
      </ns0:c>
      <ns0:c r="B124" s="10" t="inlineStr">
        <ns0:is>
          <ns0:t>『세종실록』 지리지는 두 섬을 볼 수 있는 때를 어떻게 설명하나요?</ns0:t>
        </ns0:is>
      </ns0:c>
      <ns0:c r="C124" s="10" t="n">
        <ns0:v>1</ns0:v>
      </ns0:c>
      <ns0:c r="D124" s="10" t="inlineStr"/>
      <ns0:c r="E124" s="10" t="inlineStr">
        <ns0:is>
          <ns0:t>역문 요약: 우산·무릉 두 섬은 서로 멀지 않아 날씨가 맑으면 바라볼 수 있다. 옛 기록의 설명이며 매일 보인다는 뜻은 아니에요.</ns0:t>
        </ns0:is>
      </ns0:c>
      <ns0:c r="F124" s="10" t="inlineStr">
        <ns0:is>
          <ns0:t>옛 지명과 현대 지명의 대응은 대한민국 외교부의 역문·해설을 따랐어요.</ns0:t>
        </ns0:is>
      </ns0:c>
      <ns0:c r="G124" s="10" t="inlineStr">
        <ns0:is>
          <ns0:t>sejong: 우산·무릉과 맑은 날의 가시성; 괄호 안 현대 지명은 외교부 해석</ns0:t>
        </ns0:is>
      </ns0:c>
      <ns0:c r="H124" s="10" t="inlineStr">
        <ns0:is>
          <ns0:t>대한민국 외교부 자료실 · 세종실록 지리지(1454)
https://dokdo.mofa.go.kr/kor/pds/part06_view02.jsp</ns0:t>
        </ns0:is>
      </ns0:c>
    </ns0:row>
    <ns0:row r="125" ht="53" customHeight="1">
      <ns0:c r="A125" s="12" t="n">
        <ns0:v>920124</ns0:v>
      </ns0:c>
      <ns0:c r="B125" s="12" t="inlineStr">
        <ns0:is>
          <ns0:t>지명 대응표에 따라 ‘우산·무릉’을 현대 지명 순서로 바꾸면 무엇인가요?</ns0:t>
        </ns0:is>
      </ns0:c>
      <ns0:c r="C125" s="12" t="n">
        <ns0:v>1</ns0:v>
      </ns0:c>
      <ns0:c r="D125" s="12" t="inlineStr"/>
      <ns0:c r="E125" s="12" t="inlineStr">
        <ns0:is>
          <ns0:t>옛 지명 대응표: 우산 → 독도 / 무릉 → 울릉도. 이 표는 대한민국 외교부의 해당 기록 해설을 정리한 것이며 모든 시대의 같은 이름에 자동 적용하지 않아요.</ns0:t>
        </ns0:is>
      </ns0:c>
      <ns0:c r="F125" s="12" t="inlineStr">
        <ns0:is>
          <ns0:t>옛 지명과 현대 지명의 대응은 대한민국 외교부의 역문·해설을 따랐어요.</ns0:t>
        </ns0:is>
      </ns0:c>
      <ns0:c r="G125" s="12" t="inlineStr">
        <ns0:is>
          <ns0:t>sejong: 우산·무릉과 맑은 날의 가시성; 괄호 안 현대 지명은 외교부 해석</ns0:t>
        </ns0:is>
      </ns0:c>
      <ns0:c r="H125" s="12" t="inlineStr">
        <ns0:is>
          <ns0:t>대한민국 외교부 자료실 · 세종실록 지리지(1454)
https://dokdo.mofa.go.kr/kor/pds/part06_view02.jsp</ns0:t>
        </ns0:is>
      </ns0:c>
    </ns0:row>
    <ns0:row r="126" ht="53" customHeight="1">
      <ns0:c r="A126" s="10" t="n">
        <ns0:v>920125</ns0:v>
      </ns0:c>
      <ns0:c r="B126" s="10" t="inlineStr">
        <ns0:is>
          <ns0:t>『세종실록』 지리지를 만든 나라는 어디인가요?</ns0:t>
        </ns0:is>
      </ns0:c>
      <ns0:c r="C126" s="10" t="n">
        <ns0:v>0</ns0:v>
      </ns0:c>
      <ns0:c r="D126" s="10" t="inlineStr"/>
      <ns0:c r="E126" s="10" t="inlineStr"/>
      <ns0:c r="F126" s="10" t="inlineStr"/>
      <ns0:c r="G126" s="10" t="inlineStr">
        <ns0:is>
          <ns0:t>sejong: 우산·무릉과 맑은 날의 가시성; 괄호 안 현대 지명은 외교부 해석</ns0:t>
        </ns0:is>
      </ns0:c>
      <ns0:c r="H126" s="10" t="inlineStr">
        <ns0:is>
          <ns0:t>대한민국 외교부 자료실 · 세종실록 지리지(1454)
https://dokdo.mofa.go.kr/kor/pds/part06_view02.jsp</ns0:t>
        </ns0:is>
      </ns0:c>
    </ns0:row>
    <ns0:row r="127" ht="53" customHeight="1">
      <ns0:c r="A127" s="12" t="n">
        <ns0:v>920126</ns0:v>
      </ns0:c>
      <ns0:c r="B127" s="12" t="inlineStr">
        <ns0:is>
          <ns0:t>『세종실록』의 ‘지리지’는 주로 무엇을 설명한 부분인가요?</ns0:t>
        </ns0:is>
      </ns0:c>
      <ns0:c r="C127" s="12" t="n">
        <ns0:v>0</ns0:v>
      </ns0:c>
      <ns0:c r="D127" s="12" t="inlineStr"/>
      <ns0:c r="E127" s="12" t="inlineStr"/>
      <ns0:c r="F127" s="12" t="inlineStr"/>
      <ns0:c r="G127" s="12" t="inlineStr">
        <ns0:is>
          <ns0:t>sejong: 우산·무릉과 맑은 날의 가시성; 괄호 안 현대 지명은 외교부 해석</ns0:t>
        </ns0:is>
      </ns0:c>
      <ns0:c r="H127" s="12" t="inlineStr">
        <ns0:is>
          <ns0:t>대한민국 외교부 자료실 · 세종실록 지리지(1454)
https://dokdo.mofa.go.kr/kor/pds/part06_view02.jsp</ns0:t>
        </ns0:is>
      </ns0:c>
    </ns0:row>
    <ns0:row r="128" ht="53" customHeight="1">
      <ns0:c r="A128" s="10" t="n">
        <ns0:v>920127</ns0:v>
      </ns0:c>
      <ns0:c r="B128" s="10" t="inlineStr">
        <ns0:is>
          <ns0:t>『세종실록』 지리지의 두 섬 기록에서 확인할 수 있는 사실은 무엇인가요?</ns0:t>
        </ns0:is>
      </ns0:c>
      <ns0:c r="C128" s="10" t="n">
        <ns0:v>1</ns0:v>
      </ns0:c>
      <ns0:c r="D128" s="10" t="inlineStr"/>
      <ns0:c r="E128" s="10" t="inlineStr">
        <ns0:is>
          <ns0:t>『세종실록』 지리지에는 우산·무릉 두 섬의 위치와 맑은 날의 가시성에 관한 설명이 있다.</ns0:t>
        </ns0:is>
      </ns0:c>
      <ns0:c r="F128" s="10" t="inlineStr"/>
      <ns0:c r="G128" s="10" t="inlineStr">
        <ns0:is>
          <ns0:t>sejong: 우산·무릉과 맑은 날의 가시성; 괄호 안 현대 지명은 외교부 해석</ns0:t>
        </ns0:is>
      </ns0:c>
      <ns0:c r="H128" s="10" t="inlineStr">
        <ns0:is>
          <ns0:t>대한민국 외교부 자료실 · 세종실록 지리지(1454)
https://dokdo.mofa.go.kr/kor/pds/part06_view02.jsp</ns0:t>
        </ns0:is>
      </ns0:c>
    </ns0:row>
    <ns0:row r="129" ht="53" customHeight="1">
      <ns0:c r="A129" s="12" t="n">
        <ns0:v>920128</ns0:v>
      </ns0:c>
      <ns0:c r="B129" s="12" t="inlineStr">
        <ns0:is>
          <ns0:t>『세종실록』 지리지로 독도 관련 역사를 설명할 때 어떤 정보를 먼저 밝혀야 하나요?</ns0:t>
        </ns0:is>
      </ns0:c>
      <ns0:c r="C129" s="12" t="n">
        <ns0:v>1</ns0:v>
      </ns0:c>
      <ns0:c r="D129" s="12" t="inlineStr"/>
      <ns0:c r="E129" s="12" t="inlineStr">
        <ns0:is>
          <ns0:t>자료 소개 카드 만들기: 『세종실록』 지리지, 조선의 지리 기록, 1454년 편찬 기록으로 소개됨. 현재의 대한민국 외교부가 역문과 해설을 공개하고 있다.</ns0:t>
        </ns0:is>
      </ns0:c>
      <ns0:c r="F129" s="12" t="inlineStr"/>
      <ns0:c r="G129" s="12" t="inlineStr">
        <ns0:is>
          <ns0:t>sejong: 우산·무릉과 맑은 날의 가시성; 괄호 안 현대 지명은 외교부 해석</ns0:t>
        </ns0:is>
      </ns0:c>
      <ns0:c r="H129" s="12" t="inlineStr">
        <ns0:is>
          <ns0:t>대한민국 외교부 자료실 · 세종실록 지리지(1454)
https://dokdo.mofa.go.kr/kor/pds/part06_view02.jsp</ns0:t>
        </ns0:is>
      </ns0:c>
    </ns0:row>
    <ns0:row r="130" ht="98" customHeight="1">
      <ns0:c r="A130" s="10" t="n">
        <ns0:v>920129</ns0:v>
      </ns0:c>
      <ns0:c r="B130" s="10" t="inlineStr">
        <ns0:is>
          <ns0:t>1693년 울릉도에서 박어둔과 함께 일본으로 끌려간 사람은 누구인가요?</ns0:t>
        </ns0:is>
      </ns0:c>
      <ns0:c r="C130" s="10" t="n">
        <ns0:v>0</ns0:v>
      </ns0:c>
      <ns0:c r="D130" s="10" t="inlineStr"/>
      <ns0:c r="E130" s="10" t="inlineStr"/>
      <ns0:c r="F130" s="10" t="inlineStr"/>
      <ns0:c r="G130" s="10" t="inlineStr">
        <ns0:is>
          <ns0:t>an: 1693년과 1696년 / 숙종실록과 오키섬 조사 기록
timeline: 1694 수토 / 1696년 1월 금지령·5월 도일 / 1900·1905·1906 순서</ns0:t>
        </ns0:is>
      </ns0:c>
      <ns0:c r="H130" s="10" t="inlineStr">
        <ns0:is>
          <ns0:t>대한민국 외교부 · 안용복의 활동과 기록
https://dokdo.mofa.go.kr/kor/include/print_faq.jsp?class_faq=q5
대한민국 외교부 · 독도 연표
https://dokdo.mofa.go.kr/m/kor/dokdo/reason_list.jsp</ns0:t>
        </ns0:is>
      </ns0:c>
    </ns0:row>
    <ns0:row r="131" ht="98" customHeight="1">
      <ns0:c r="A131" s="12" t="n">
        <ns0:v>920130</ns0:v>
      </ns0:c>
      <ns0:c r="B131" s="12" t="inlineStr">
        <ns0:is>
          <ns0:t>1693년 안용복과 박어둔이 어업을 하던 섬은 어디인가요?</ns0:t>
        </ns0:is>
      </ns0:c>
      <ns0:c r="C131" s="12" t="n">
        <ns0:v>0</ns0:v>
      </ns0:c>
      <ns0:c r="D131" s="12" t="inlineStr"/>
      <ns0:c r="E131" s="12" t="inlineStr"/>
      <ns0:c r="F131" s="12" t="inlineStr"/>
      <ns0:c r="G131" s="12" t="inlineStr">
        <ns0:is>
          <ns0:t>an: 1693년과 1696년 / 숙종실록과 오키섬 조사 기록
timeline: 1694 수토 / 1696년 1월 금지령·5월 도일 / 1900·1905·1906 순서</ns0:t>
        </ns0:is>
      </ns0:c>
      <ns0:c r="H131" s="12" t="inlineStr">
        <ns0:is>
          <ns0:t>대한민국 외교부 · 안용복의 활동과 기록
https://dokdo.mofa.go.kr/kor/include/print_faq.jsp?class_faq=q5
대한민국 외교부 · 독도 연표
https://dokdo.mofa.go.kr/m/kor/dokdo/reason_list.jsp</ns0:t>
        </ns0:is>
      </ns0:c>
    </ns0:row>
    <ns0:row r="132" ht="98" customHeight="1">
      <ns0:c r="A132" s="10" t="n">
        <ns0:v>920131</ns0:v>
      </ns0:c>
      <ns0:c r="B132" s="10" t="inlineStr">
        <ns0:is>
          <ns0:t>1693년 두 어민 사건 뒤 교섭의 대상이 된 섬은 어디인가요?</ns0:t>
        </ns0:is>
      </ns0:c>
      <ns0:c r="C132" s="10" t="n">
        <ns0:v>1</ns0:v>
      </ns0:c>
      <ns0:c r="D132" s="10" t="inlineStr"/>
      <ns0:c r="E132" s="10" t="inlineStr">
        <ns0:is>
          <ns0:t>1693년 울릉도에서 어업하던 안용복과 박어둔이 일본으로 끌려갔다. 이 사건을 계기로 조선과 일본 사이 울릉도 관련 교섭이 이어졌다.</ns0:t>
        </ns0:is>
      </ns0:c>
      <ns0:c r="F132" s="10" t="inlineStr"/>
      <ns0:c r="G132" s="10" t="inlineStr">
        <ns0:is>
          <ns0:t>an: 1693년과 1696년 / 숙종실록과 오키섬 조사 기록
timeline: 1694 수토 / 1696년 1월 금지령·5월 도일 / 1900·1905·1906 순서</ns0:t>
        </ns0:is>
      </ns0:c>
      <ns0:c r="H132" s="10" t="inlineStr">
        <ns0:is>
          <ns0:t>대한민국 외교부 · 안용복의 활동과 기록
https://dokdo.mofa.go.kr/kor/include/print_faq.jsp?class_faq=q5
대한민국 외교부 · 독도 연표
https://dokdo.mofa.go.kr/m/kor/dokdo/reason_list.jsp</ns0:t>
        </ns0:is>
      </ns0:c>
    </ns0:row>
    <ns0:row r="133" ht="98" customHeight="1">
      <ns0:c r="A133" s="12" t="n">
        <ns0:v>920132</ns0:v>
      </ns0:c>
      <ns0:c r="B133" s="12" t="inlineStr">
        <ns0:is>
          <ns0:t>안용복의 1693년 사건과 1696년 활동을 구분한 것은 무엇인가요?</ns0:t>
        </ns0:is>
      </ns0:c>
      <ns0:c r="C133" s="12" t="n">
        <ns0:v>1</ns0:v>
      </ns0:c>
      <ns0:c r="D133" s="12" t="inlineStr"/>
      <ns0:c r="E133" s="12" t="inlineStr">
        <ns0:is>
          <ns0:t>안용복 관련 연표: 1693년 울릉도에서 일본으로 끌려감 / 1696년 다시 일본으로 건너가 활동함.</ns0:t>
        </ns0:is>
      </ns0:c>
      <ns0:c r="F133" s="12" t="inlineStr"/>
      <ns0:c r="G133" s="12" t="inlineStr">
        <ns0:is>
          <ns0:t>an: 1693년과 1696년 / 숙종실록과 오키섬 조사 기록
timeline: 1694 수토 / 1696년 1월 금지령·5월 도일 / 1900·1905·1906 순서</ns0:t>
        </ns0:is>
      </ns0:c>
      <ns0:c r="H133" s="12" t="inlineStr">
        <ns0:is>
          <ns0:t>대한민국 외교부 · 안용복의 활동과 기록
https://dokdo.mofa.go.kr/kor/include/print_faq.jsp?class_faq=q5
대한민국 외교부 · 독도 연표
https://dokdo.mofa.go.kr/m/kor/dokdo/reason_list.jsp</ns0:t>
        </ns0:is>
      </ns0:c>
    </ns0:row>
    <ns0:row r="134" ht="53" customHeight="1">
      <ns0:c r="A134" s="10" t="n">
        <ns0:v>920133</ns0:v>
      </ns0:c>
      <ns0:c r="B134" s="10" t="inlineStr">
        <ns0:is>
          <ns0:t>안용복의 활동을 기록한 조선의 실록은 무엇인가요?</ns0:t>
        </ns0:is>
      </ns0:c>
      <ns0:c r="C134" s="10" t="n">
        <ns0:v>0</ns0:v>
      </ns0:c>
      <ns0:c r="D134" s="10" t="inlineStr"/>
      <ns0:c r="E134" s="10" t="inlineStr"/>
      <ns0:c r="F134" s="10" t="inlineStr"/>
      <ns0:c r="G134" s="10" t="inlineStr">
        <ns0:is>
          <ns0:t>an: 1693년과 1696년 / 숙종실록과 오키섬 조사 기록</ns0:t>
        </ns0:is>
      </ns0:c>
      <ns0:c r="H134" s="10" t="inlineStr">
        <ns0:is>
          <ns0:t>대한민국 외교부 · 안용복의 활동과 기록
https://dokdo.mofa.go.kr/kor/include/print_faq.jsp?class_faq=q5</ns0:t>
        </ns0:is>
      </ns0:c>
    </ns0:row>
    <ns0:row r="135" ht="53" customHeight="1">
      <ns0:c r="A135" s="12" t="n">
        <ns0:v>920134</ns0:v>
      </ns0:c>
      <ns0:c r="B135" s="12" t="inlineStr">
        <ns0:is>
          <ns0:t>1696년 안용복 일행을 조사한 일본 측 기록은 어느 섬과 관련되나요?</ns0:t>
        </ns0:is>
      </ns0:c>
      <ns0:c r="C135" s="12" t="n">
        <ns0:v>0</ns0:v>
      </ns0:c>
      <ns0:c r="D135" s="12" t="inlineStr"/>
      <ns0:c r="E135" s="12" t="inlineStr"/>
      <ns0:c r="F135" s="12" t="inlineStr"/>
      <ns0:c r="G135" s="12" t="inlineStr">
        <ns0:is>
          <ns0:t>an: 1693년과 1696년 / 숙종실록과 오키섬 조사 기록</ns0:t>
        </ns0:is>
      </ns0:c>
      <ns0:c r="H135" s="12" t="inlineStr">
        <ns0:is>
          <ns0:t>대한민국 외교부 · 안용복의 활동과 기록
https://dokdo.mofa.go.kr/kor/include/print_faq.jsp?class_faq=q5</ns0:t>
        </ns0:is>
      </ns0:c>
    </ns0:row>
    <ns0:row r="136" ht="53" customHeight="1">
      <ns0:c r="A136" s="10" t="n">
        <ns0:v>920135</ns0:v>
      </ns0:c>
      <ns0:c r="B136" s="10" t="inlineStr">
        <ns0:is>
          <ns0:t>1696년 안용복 활동을 양쪽 기록으로 비교할 때 짝지을 자료는 무엇인가요?</ns0:t>
        </ns0:is>
      </ns0:c>
      <ns0:c r="C136" s="10" t="n">
        <ns0:v>1</ns0:v>
      </ns0:c>
      <ns0:c r="D136" s="10" t="inlineStr"/>
      <ns0:c r="E136" s="10" t="inlineStr">
        <ns0:is>
          <ns0:t>관련 자료 목록: 조선 『숙종실록』의 안용복 진술 / 일본 오키섬의 1696년 안용복 일행 조사 기록.</ns0:t>
        </ns0:is>
      </ns0:c>
      <ns0:c r="F136" s="10" t="inlineStr"/>
      <ns0:c r="G136" s="10" t="inlineStr">
        <ns0:is>
          <ns0:t>an: 1693년과 1696년 / 숙종실록과 오키섬 조사 기록</ns0:t>
        </ns0:is>
      </ns0:c>
      <ns0:c r="H136" s="10" t="inlineStr">
        <ns0:is>
          <ns0:t>대한민국 외교부 · 안용복의 활동과 기록
https://dokdo.mofa.go.kr/kor/include/print_faq.jsp?class_faq=q5</ns0:t>
        </ns0:is>
      </ns0:c>
    </ns0:row>
    <ns0:row r="137" ht="53" customHeight="1">
      <ns0:c r="A137" s="12" t="n">
        <ns0:v>920136</ns0:v>
      </ns0:c>
      <ns0:c r="B137" s="12" t="inlineStr">
        <ns0:is>
          <ns0:t>두 안용복 기록에서 같은 사건을 대조하려면 무엇을 먼저 맞춰야 하나요?</ns0:t>
        </ns0:is>
      </ns0:c>
      <ns0:c r="C137" s="12" t="n">
        <ns0:v>1</ns0:v>
      </ns0:c>
      <ns0:c r="D137" s="12" t="inlineStr"/>
      <ns0:c r="E137" s="12" t="inlineStr">
        <ns0:is>
          <ns0:t>안용복은 1693년과 1696년에 서로 다른 경위로 일본에 갔어요. 이번 비교 대상은 1696년 활동에 관한 조선·일본 기록이에요.</ns0:t>
        </ns0:is>
      </ns0:c>
      <ns0:c r="F137" s="12" t="inlineStr"/>
      <ns0:c r="G137" s="12" t="inlineStr">
        <ns0:is>
          <ns0:t>an: 1693년과 1696년 / 숙종실록과 오키섬 조사 기록</ns0:t>
        </ns0:is>
      </ns0:c>
      <ns0:c r="H137" s="12" t="inlineStr">
        <ns0:is>
          <ns0:t>대한민국 외교부 · 안용복의 활동과 기록
https://dokdo.mofa.go.kr/kor/include/print_faq.jsp?class_faq=q5</ns0:t>
        </ns0:is>
      </ns0:c>
    </ns0:row>
    <ns0:row r="138" ht="98" customHeight="1">
      <ns0:c r="A138" s="10" t="n">
        <ns0:v>920137</ns0:v>
      </ns0:c>
      <ns0:c r="B138" s="10" t="inlineStr">
        <ns0:is>
          <ns0:t>1696년 일본 에도 막부의 울릉도 도해금지령은 어느 달에 내려졌나요?</ns0:t>
        </ns0:is>
      </ns0:c>
      <ns0:c r="C138" s="10" t="n">
        <ns0:v>0</ns0:v>
      </ns0:c>
      <ns0:c r="D138" s="10" t="inlineStr">
        <ns0:is>
          <ns0:t>사건 순서 보기: 1696년 1월 금지령 → 5월 안용복의 일본 도해.</ns0:t>
        </ns0:is>
      </ns0:c>
      <ns0:c r="E138" s="10" t="inlineStr"/>
      <ns0:c r="F138" s="10" t="inlineStr"/>
      <ns0:c r="G138" s="10" t="inlineStr">
        <ns0:is>
          <ns0:t>timeline: 1694 수토 / 1696년 1월 금지령·5월 도일 / 1900·1905·1906 순서
ban1696: 1696년 금지령 역문, 다케시마(울릉도)로의 도항 금지</ns0:t>
        </ns0:is>
      </ns0:c>
      <ns0:c r="H138" s="10" t="inlineStr">
        <ns0:is>
          <ns0:t>대한민국 외교부 · 독도 연표
https://dokdo.mofa.go.kr/m/kor/dokdo/reason_list.jsp
대한민국 외교부 · 울릉도 도해금지령(1696)
https://dokdo.mofa.go.kr/kor/pds/part05_view06.jsp</ns0:t>
        </ns0:is>
      </ns0:c>
    </ns0:row>
    <ns0:row r="139" ht="98" customHeight="1">
      <ns0:c r="A139" s="12" t="n">
        <ns0:v>920138</ns0:v>
      </ns0:c>
      <ns0:c r="B139" s="12" t="inlineStr">
        <ns0:is>
          <ns0:t>1696년에 먼저 일어난 것은 무엇인가요?</ns0:t>
        </ns0:is>
      </ns0:c>
      <ns0:c r="C139" s="12" t="n">
        <ns0:v>0</ns0:v>
      </ns0:c>
      <ns0:c r="D139" s="12" t="inlineStr">
        <ns0:is>
          <ns0:t>1696년 1월: 울릉도 도해금지령 / 같은 해 5월: 안용복 일본 도해.</ns0:t>
        </ns0:is>
      </ns0:c>
      <ns0:c r="E139" s="12" t="inlineStr"/>
      <ns0:c r="F139" s="12" t="inlineStr"/>
      <ns0:c r="G139" s="12" t="inlineStr">
        <ns0:is>
          <ns0:t>timeline: 1694 수토 / 1696년 1월 금지령·5월 도일 / 1900·1905·1906 순서
ban1696: 1696년 금지령 역문, 다케시마(울릉도)로의 도항 금지</ns0:t>
        </ns0:is>
      </ns0:c>
      <ns0:c r="H139" s="12" t="inlineStr">
        <ns0:is>
          <ns0:t>대한민국 외교부 · 독도 연표
https://dokdo.mofa.go.kr/m/kor/dokdo/reason_list.jsp
대한민국 외교부 · 울릉도 도해금지령(1696)
https://dokdo.mofa.go.kr/kor/pds/part05_view06.jsp</ns0:t>
        </ns0:is>
      </ns0:c>
    </ns0:row>
    <ns0:row r="140" ht="98" customHeight="1">
      <ns0:c r="A140" s="10" t="n">
        <ns0:v>920139</ns0:v>
      </ns0:c>
      <ns0:c r="B140" s="10" t="inlineStr">
        <ns0:is>
          <ns0:t>안용복의 5월 도해보다 앞선 사건을 연표에서 고르면 무엇인가요?</ns0:t>
        </ns0:is>
      </ns0:c>
      <ns0:c r="C140" s="10" t="n">
        <ns0:v>1</ns0:v>
      </ns0:c>
      <ns0:c r="D140" s="10" t="inlineStr"/>
      <ns0:c r="E140" s="10" t="inlineStr">
        <ns0:is>
          <ns0:t>연표: 1696년 1월 울릉도 도해금지령 → 1696년 5월 안용복 일본 도해 → 1900년 칙령 제41호 → 1906년 심흥택 보고.</ns0:t>
        </ns0:is>
      </ns0:c>
      <ns0:c r="F140" s="10" t="inlineStr"/>
      <ns0:c r="G140" s="10" t="inlineStr">
        <ns0:is>
          <ns0:t>timeline: 1694 수토 / 1696년 1월 금지령·5월 도일 / 1900·1905·1906 순서
ban1696: 1696년 금지령 역문, 다케시마(울릉도)로의 도항 금지</ns0:t>
        </ns0:is>
      </ns0:c>
      <ns0:c r="H140" s="10" t="inlineStr">
        <ns0:is>
          <ns0:t>대한민국 외교부 · 독도 연표
https://dokdo.mofa.go.kr/m/kor/dokdo/reason_list.jsp
대한민국 외교부 · 울릉도 도해금지령(1696)
https://dokdo.mofa.go.kr/kor/pds/part05_view06.jsp</ns0:t>
        </ns0:is>
      </ns0:c>
    </ns0:row>
    <ns0:row r="141" ht="98" customHeight="1">
      <ns0:c r="A141" s="12" t="n">
        <ns0:v>920140</ns0:v>
      </ns0:c>
      <ns0:c r="B141" s="12" t="inlineStr">
        <ns0:is>
          <ns0:t>‘1696년 5월 도해 때문에 그해 1월 금지령이 내려졌다’는 설명은 왜 틀렸나요?</ns0:t>
        </ns0:is>
      </ns0:c>
      <ns0:c r="C141" s="12" t="n">
        <ns0:v>1</ns0:v>
      </ns0:c>
      <ns0:c r="D141" s="12" t="inlineStr"/>
      <ns0:c r="E141" s="12" t="inlineStr">
        <ns0:is>
          <ns0:t>1696년 1월: 일본 에도 막부가 울릉도 도해를 금지.
1696년 5월: 안용복이 일본으로 건너감.</ns0:t>
        </ns0:is>
      </ns0:c>
      <ns0:c r="F141" s="12" t="inlineStr"/>
      <ns0:c r="G141" s="12" t="inlineStr">
        <ns0:is>
          <ns0:t>timeline: 1694 수토 / 1696년 1월 금지령·5월 도일 / 1900·1905·1906 순서
ban1696: 1696년 금지령 역문, 다케시마(울릉도)로의 도항 금지</ns0:t>
        </ns0:is>
      </ns0:c>
      <ns0:c r="H141" s="12" t="inlineStr">
        <ns0:is>
          <ns0:t>대한민국 외교부 · 독도 연표
https://dokdo.mofa.go.kr/m/kor/dokdo/reason_list.jsp
대한민국 외교부 · 울릉도 도해금지령(1696)
https://dokdo.mofa.go.kr/kor/pds/part05_view06.jsp</ns0:t>
        </ns0:is>
      </ns0:c>
    </ns0:row>
    <ns0:row r="142" ht="53" customHeight="1">
      <ns0:c r="A142" s="10" t="n">
        <ns0:v>920141</ns0:v>
      </ns0:c>
      <ns0:c r="B142" s="10" t="inlineStr">
        <ns0:is>
          <ns0:t>1900년 울릉도를 울도로 이름 바꾼 명령은 무엇인가요?</ns0:t>
        </ns0:is>
      </ns0:c>
      <ns0:c r="C142" s="10" t="n">
        <ns0:v>0</ns0:v>
      </ns0:c>
      <ns0:c r="D142" s="10" t="inlineStr">
        <ns0:is>
          <ns0:t>칙령은 황제가 내리는 명령이에요. 대한제국 칙령 제41호는 1900년에 발표됐어요.</ns0:t>
        </ns0:is>
      </ns0:c>
      <ns0:c r="E142" s="10" t="inlineStr"/>
      <ns0:c r="F142" s="10" t="inlineStr"/>
      <ns0:c r="G142" s="10" t="inlineStr">
        <ns0:is>
          <ns0:t>decree: 1900.10.25 / 제1조 울도·군수 / 제2조 울릉전도·죽도·석도</ns0:t>
        </ns0:is>
      </ns0:c>
      <ns0:c r="H142" s="10" t="inlineStr">
        <ns0:is>
          <ns0:t>대한민국 외교부 자료실 · 대한제국 칙령 제41호
https://dokdo.mofa.go.kr/kor/pds/part02_view02.jsp</ns0:t>
        </ns0:is>
      </ns0:c>
    </ns0:row>
    <ns0:row r="143" ht="53" customHeight="1">
      <ns0:c r="A143" s="12" t="n">
        <ns0:v>920142</ns0:v>
      </ns0:c>
      <ns0:c r="B143" s="12" t="inlineStr">
        <ns0:is>
          <ns0:t>칙령 제41호에서 울릉도의 행정 이름을 무엇으로 바꾸었나요?</ns0:t>
        </ns0:is>
      </ns0:c>
      <ns0:c r="C143" s="12" t="n">
        <ns0:v>0</ns0:v>
      </ns0:c>
      <ns0:c r="D143" s="12" t="inlineStr"/>
      <ns0:c r="E143" s="12" t="inlineStr"/>
      <ns0:c r="F143" s="12" t="inlineStr"/>
      <ns0:c r="G143" s="12" t="inlineStr">
        <ns0:is>
          <ns0:t>decree: 1900.10.25 / 제1조 울도·군수 / 제2조 울릉전도·죽도·석도</ns0:t>
        </ns0:is>
      </ns0:c>
      <ns0:c r="H143" s="12" t="inlineStr">
        <ns0:is>
          <ns0:t>대한민국 외교부 자료실 · 대한제국 칙령 제41호
https://dokdo.mofa.go.kr/kor/pds/part02_view02.jsp</ns0:t>
        </ns0:is>
      </ns0:c>
    </ns0:row>
    <ns0:row r="144" ht="53" customHeight="1">
      <ns0:c r="A144" s="10" t="n">
        <ns0:v>920143</ns0:v>
      </ns0:c>
      <ns0:c r="B144" s="10" t="inlineStr">
        <ns0:is>
          <ns0:t>제시된 칙령 제1조의 이름 변경 전후를 바르게 연결한 것은 무엇인가요?</ns0:t>
        </ns0:is>
      </ns0:c>
      <ns0:c r="C144" s="10" t="n">
        <ns0:v>1</ns0:v>
      </ns0:c>
      <ns0:c r="D144" s="10" t="inlineStr"/>
      <ns0:c r="E144" s="10" t="inlineStr">
        <ns0:is>
          <ns0:t>칙령 제41호 제1조의 쉬운 풀이: 울릉도를 울도로 이름 바꾸고 강원도에 속하게 한다.</ns0:t>
        </ns0:is>
      </ns0:c>
      <ns0:c r="F144" s="10" t="inlineStr"/>
      <ns0:c r="G144" s="10" t="inlineStr">
        <ns0:is>
          <ns0:t>decree: 1900.10.25 / 제1조 울도·군수 / 제2조 울릉전도·죽도·석도</ns0:t>
        </ns0:is>
      </ns0:c>
      <ns0:c r="H144" s="10" t="inlineStr">
        <ns0:is>
          <ns0:t>대한민국 외교부 자료실 · 대한제국 칙령 제41호
https://dokdo.mofa.go.kr/kor/pds/part02_view02.jsp</ns0:t>
        </ns0:is>
      </ns0:c>
    </ns0:row>
    <ns0:row r="145" ht="53" customHeight="1">
      <ns0:c r="A145" s="12" t="n">
        <ns0:v>920144</ns0:v>
      </ns0:c>
      <ns0:c r="B145" s="12" t="inlineStr">
        <ns0:is>
          <ns0:t>칙령 제41호 제1조에서 함께 바뀐 두 항목은 무엇인가요?</ns0:t>
        </ns0:is>
      </ns0:c>
      <ns0:c r="C145" s="12" t="n">
        <ns0:v>1</ns0:v>
      </ns0:c>
      <ns0:c r="D145" s="12" t="inlineStr"/>
      <ns0:c r="E145" s="12" t="inlineStr">
        <ns0:is>
          <ns0:t>제1조 요약: 울릉도를 울도로 개칭한다. 도감을 군수로 바꾼다. 군수는 군의 행정을 맡는 관리이다.</ns0:t>
        </ns0:is>
      </ns0:c>
      <ns0:c r="F145" s="12" t="inlineStr"/>
      <ns0:c r="G145" s="12" t="inlineStr">
        <ns0:is>
          <ns0:t>decree: 1900.10.25 / 제1조 울도·군수 / 제2조 울릉전도·죽도·석도</ns0:t>
        </ns0:is>
      </ns0:c>
      <ns0:c r="H145" s="12" t="inlineStr">
        <ns0:is>
          <ns0:t>대한민국 외교부 자료실 · 대한제국 칙령 제41호
https://dokdo.mofa.go.kr/kor/pds/part02_view02.jsp</ns0:t>
        </ns0:is>
      </ns0:c>
    </ns0:row>
    <ns0:row r="146" ht="53" customHeight="1">
      <ns0:c r="A146" s="10" t="n">
        <ns0:v>920145</ns0:v>
      </ns0:c>
      <ns0:c r="B146" s="10" t="inlineStr">
        <ns0:is>
          <ns0:t>칙령 제41호는 울릉도의 도감을 어떤 관리로 바꾸도록 했나요?</ns0:t>
        </ns0:is>
      </ns0:c>
      <ns0:c r="C146" s="10" t="n">
        <ns0:v>0</ns0:v>
      </ns0:c>
      <ns0:c r="D146" s="10" t="inlineStr"/>
      <ns0:c r="E146" s="10" t="inlineStr"/>
      <ns0:c r="F146" s="10" t="inlineStr"/>
      <ns0:c r="G146" s="10" t="inlineStr">
        <ns0:is>
          <ns0:t>decree: 1900.10.25 / 제1조 울도·군수 / 제2조 울릉전도·죽도·석도</ns0:t>
        </ns0:is>
      </ns0:c>
      <ns0:c r="H146" s="10" t="inlineStr">
        <ns0:is>
          <ns0:t>대한민국 외교부 자료실 · 대한제국 칙령 제41호
https://dokdo.mofa.go.kr/kor/pds/part02_view02.jsp</ns0:t>
        </ns0:is>
      </ns0:c>
    </ns0:row>
    <ns0:row r="147" ht="53" customHeight="1">
      <ns0:c r="A147" s="12" t="n">
        <ns0:v>920146</ns0:v>
      </ns0:c>
      <ns0:c r="B147" s="12" t="inlineStr">
        <ns0:is>
          <ns0:t>‘울도군수’에서 군수는 무엇을 맡는 관리인가요?</ns0:t>
        </ns0:is>
      </ns0:c>
      <ns0:c r="C147" s="12" t="n">
        <ns0:v>0</ns0:v>
      </ns0:c>
      <ns0:c r="D147" s="12" t="inlineStr"/>
      <ns0:c r="E147" s="12" t="inlineStr"/>
      <ns0:c r="F147" s="12" t="inlineStr"/>
      <ns0:c r="G147" s="12" t="inlineStr">
        <ns0:is>
          <ns0:t>decree: 1900.10.25 / 제1조 울도·군수 / 제2조 울릉전도·죽도·석도</ns0:t>
        </ns0:is>
      </ns0:c>
      <ns0:c r="H147" s="12" t="inlineStr">
        <ns0:is>
          <ns0:t>대한민국 외교부 자료실 · 대한제국 칙령 제41호
https://dokdo.mofa.go.kr/kor/pds/part02_view02.jsp</ns0:t>
        </ns0:is>
      </ns0:c>
    </ns0:row>
    <ns0:row r="148" ht="53" customHeight="1">
      <ns0:c r="A148" s="10" t="n">
        <ns0:v>920147</ns0:v>
      </ns0:c>
      <ns0:c r="B148" s="10" t="inlineStr">
        <ns0:is>
          <ns0:t>칙령 제41호 제1조의 직책 변경 방향은 무엇인가요?</ns0:t>
        </ns0:is>
      </ns0:c>
      <ns0:c r="C148" s="10" t="n">
        <ns0:v>1</ns0:v>
      </ns0:c>
      <ns0:c r="D148" s="10" t="inlineStr"/>
      <ns0:c r="E148" s="10" t="inlineStr">
        <ns0:is>
          <ns0:t>칙령 제41호 제1조 역문 요약: 도감을 군수로 개정한다.</ns0:t>
        </ns0:is>
      </ns0:c>
      <ns0:c r="F148" s="10" t="inlineStr"/>
      <ns0:c r="G148" s="10" t="inlineStr">
        <ns0:is>
          <ns0:t>decree: 1900.10.25 / 제1조 울도·군수 / 제2조 울릉전도·죽도·석도</ns0:t>
        </ns0:is>
      </ns0:c>
      <ns0:c r="H148" s="10" t="inlineStr">
        <ns0:is>
          <ns0:t>대한민국 외교부 자료실 · 대한제국 칙령 제41호
https://dokdo.mofa.go.kr/kor/pds/part02_view02.jsp</ns0:t>
        </ns0:is>
      </ns0:c>
    </ns0:row>
    <ns0:row r="149" ht="53" customHeight="1">
      <ns0:c r="A149" s="12" t="n">
        <ns0:v>920148</ns0:v>
      </ns0:c>
      <ns0:c r="B149" s="12" t="inlineStr">
        <ns0:is>
          <ns0:t>울도군수가 관할 구역의 상황을 상부에 보고하는 일은 어떤 역할과 연결되나요?</ns0:t>
        </ns0:is>
      </ns0:c>
      <ns0:c r="C149" s="12" t="n">
        <ns0:v>1</ns0:v>
      </ns0:c>
      <ns0:c r="D149" s="12" t="inlineStr"/>
      <ns0:c r="E149" s="12" t="inlineStr">
        <ns0:is>
          <ns0:t>군수는 군의 행정을 맡는 관리예요. 관할 구역에서 일어난 중요한 상황을 살피고 상부에 보고할 수 있어요.</ns0:t>
        </ns0:is>
      </ns0:c>
      <ns0:c r="F149" s="12" t="inlineStr"/>
      <ns0:c r="G149" s="12" t="inlineStr">
        <ns0:is>
          <ns0:t>decree: 1900.10.25 / 제1조 울도·군수 / 제2조 울릉전도·죽도·석도</ns0:t>
        </ns0:is>
      </ns0:c>
      <ns0:c r="H149" s="12" t="inlineStr">
        <ns0:is>
          <ns0:t>대한민국 외교부 자료실 · 대한제국 칙령 제41호
https://dokdo.mofa.go.kr/kor/pds/part02_view02.jsp</ns0:t>
        </ns0:is>
      </ns0:c>
    </ns0:row>
    <ns0:row r="150" ht="98" customHeight="1">
      <ns0:c r="A150" s="10" t="n">
        <ns0:v>920149</ns0:v>
      </ns0:c>
      <ns0:c r="B150" s="10" t="inlineStr">
        <ns0:is>
          <ns0:t>칙령 제41호 제2조에 적힌 관할 섬 이름은 무엇인가요?</ns0:t>
        </ns0:is>
      </ns0:c>
      <ns0:c r="C150" s="10" t="n">
        <ns0:v>0</ns0:v>
      </ns0:c>
      <ns0:c r="D150" s="10" t="inlineStr">
        <ns0:is>
          <ns0:t>제2조 관할 목록: 울릉전도·죽도·석도. 관할은 관리 책임이 미치는 구역이라는 뜻이에요.</ns0:t>
        </ns0:is>
      </ns0:c>
      <ns0:c r="E150" s="10" t="inlineStr"/>
      <ns0:c r="F150" s="10" t="inlineStr">
        <ns0:is>
          <ns0:t>원문의 지명과 현대 지명 풀이를 구분했어요. 대한민국 외교부는 이 칙령을 대한제국의 독도 관할을 보여주는 자료로 설명해요.</ns0:t>
        </ns0:is>
      </ns0:c>
      <ns0:c r="G150" s="10" t="inlineStr">
        <ns0:is>
          <ns0:t>decree: 1900.10.25 / 제1조 울도·군수 / 제2조 울릉전도·죽도·석도
decree-analysis: 제2조 석도(독도)의 울도군 관할 설명; 원문과 현대 해설 구분</ns0:t>
        </ns0:is>
      </ns0:c>
      <ns0:c r="H150" s="10" t="inlineStr">
        <ns0:is>
          <ns0:t>대한민국 외교부 자료실 · 대한제국 칙령 제41호
https://dokdo.mofa.go.kr/kor/pds/part02_view02.jsp
대한민국 외교부 · 칙령 제41호와 독도 관할 해설
https://dokdo.mofa.go.kr/kor/include/print_faq.jsp?class_faq=q8</ns0:t>
        </ns0:is>
      </ns0:c>
    </ns0:row>
    <ns0:row r="151" ht="98" customHeight="1">
      <ns0:c r="A151" s="12" t="n">
        <ns0:v>920150</ns0:v>
      </ns0:c>
      <ns0:c r="B151" s="12" t="inlineStr">
        <ns0:is>
          <ns0:t>칙령 제41호에 적힌 ‘석도’는 오늘날 어느 섬으로 풀이되나요?</ns0:t>
        </ns0:is>
      </ns0:c>
      <ns0:c r="C151" s="12" t="n">
        <ns0:v>0</ns0:v>
      </ns0:c>
      <ns0:c r="D151" s="12" t="inlineStr">
        <ns0:is>
          <ns0:t>제2조의 원문 지명은 울릉전도·죽도·석도예요. 이 수업의 현대 지명 풀이는 대한민국 외교부가 공개한 해설을 따랐어요.</ns0:t>
        </ns0:is>
      </ns0:c>
      <ns0:c r="E151" s="12" t="inlineStr"/>
      <ns0:c r="F151" s="12" t="inlineStr">
        <ns0:is>
          <ns0:t>원문의 지명과 현대 지명 풀이를 구분했어요. 대한민국 외교부는 이 칙령을 대한제국의 독도 관할을 보여주는 자료로 설명해요.</ns0:t>
        </ns0:is>
      </ns0:c>
      <ns0:c r="G151" s="12" t="inlineStr">
        <ns0:is>
          <ns0:t>decree: 1900.10.25 / 제1조 울도·군수 / 제2조 울릉전도·죽도·석도
decree-analysis: 제2조 석도(독도)의 울도군 관할 설명; 원문과 현대 해설 구분</ns0:t>
        </ns0:is>
      </ns0:c>
      <ns0:c r="H151" s="12" t="inlineStr">
        <ns0:is>
          <ns0:t>대한민국 외교부 자료실 · 대한제국 칙령 제41호
https://dokdo.mofa.go.kr/kor/pds/part02_view02.jsp
대한민국 외교부 · 칙령 제41호와 독도 관할 해설
https://dokdo.mofa.go.kr/kor/include/print_faq.jsp?class_faq=q8</ns0:t>
        </ns0:is>
      </ns0:c>
    </ns0:row>
    <ns0:row r="152" ht="98" customHeight="1">
      <ns0:c r="A152" s="10" t="n">
        <ns0:v>920151</ns0:v>
      </ns0:c>
      <ns0:c r="B152" s="10" t="inlineStr">
        <ns0:is>
          <ns0:t>칙령 제41호의 관할 구역을 빠짐없이 적은 것은 무엇인가요?</ns0:t>
        </ns0:is>
      </ns0:c>
      <ns0:c r="C152" s="10" t="n">
        <ns0:v>1</ns0:v>
      </ns0:c>
      <ns0:c r="D152" s="10" t="inlineStr"/>
      <ns0:c r="E152" s="10" t="inlineStr">
        <ns0:is>
          <ns0:t>제2조 역문 요약: 구역은 울릉전도와 죽도·석도를 관할할 것.</ns0:t>
        </ns0:is>
      </ns0:c>
      <ns0:c r="F152" s="10" t="inlineStr">
        <ns0:is>
          <ns0:t>원문의 지명과 현대 지명 풀이를 구분했어요. 대한민국 외교부는 이 칙령을 대한제국의 독도 관할을 보여주는 자료로 설명해요.</ns0:t>
        </ns0:is>
      </ns0:c>
      <ns0:c r="G152" s="10" t="inlineStr">
        <ns0:is>
          <ns0:t>decree: 1900.10.25 / 제1조 울도·군수 / 제2조 울릉전도·죽도·석도
decree-analysis: 제2조 석도(독도)의 울도군 관할 설명; 원문과 현대 해설 구분</ns0:t>
        </ns0:is>
      </ns0:c>
      <ns0:c r="H152" s="10" t="inlineStr">
        <ns0:is>
          <ns0:t>대한민국 외교부 자료실 · 대한제국 칙령 제41호
https://dokdo.mofa.go.kr/kor/pds/part02_view02.jsp
대한민국 외교부 · 칙령 제41호와 독도 관할 해설
https://dokdo.mofa.go.kr/kor/include/print_faq.jsp?class_faq=q8</ns0:t>
        </ns0:is>
      </ns0:c>
    </ns0:row>
    <ns0:row r="153" ht="98" customHeight="1">
      <ns0:c r="A153" s="12" t="n">
        <ns0:v>920152</ns0:v>
      </ns0:c>
      <ns0:c r="B153" s="12" t="inlineStr">
        <ns0:is>
          <ns0:t>칙령 제41호를 ‘울릉도 한 섬만 관리한 문서’로 설명할 때 빠지는 내용은 무엇인가요?</ns0:t>
        </ns0:is>
      </ns0:c>
      <ns0:c r="C153" s="12" t="n">
        <ns0:v>1</ns0:v>
      </ns0:c>
      <ns0:c r="D153" s="12" t="inlineStr"/>
      <ns0:c r="E153" s="12" t="inlineStr">
        <ns0:is>
          <ns0:t>칙령 제41호 제2조의 관할 구역: 울릉전도·죽도·석도.</ns0:t>
        </ns0:is>
      </ns0:c>
      <ns0:c r="F153" s="12" t="inlineStr">
        <ns0:is>
          <ns0:t>원문의 지명과 현대 지명 풀이를 구분했어요. 대한민국 외교부는 이 칙령을 대한제국의 독도 관할을 보여주는 자료로 설명해요.</ns0:t>
        </ns0:is>
      </ns0:c>
      <ns0:c r="G153" s="12" t="inlineStr">
        <ns0:is>
          <ns0:t>decree: 1900.10.25 / 제1조 울도·군수 / 제2조 울릉전도·죽도·석도
decree-analysis: 제2조 석도(독도)의 울도군 관할 설명; 원문과 현대 해설 구분</ns0:t>
        </ns0:is>
      </ns0:c>
      <ns0:c r="H153" s="12" t="inlineStr">
        <ns0:is>
          <ns0:t>대한민국 외교부 자료실 · 대한제국 칙령 제41호
https://dokdo.mofa.go.kr/kor/pds/part02_view02.jsp
대한민국 외교부 · 칙령 제41호와 독도 관할 해설
https://dokdo.mofa.go.kr/kor/include/print_faq.jsp?class_faq=q8</ns0:t>
        </ns0:is>
      </ns0:c>
    </ns0:row>
    <ns0:row r="154" ht="98" customHeight="1">
      <ns0:c r="A154" s="10" t="n">
        <ns0:v>920153</ns0:v>
      </ns0:c>
      <ns0:c r="B154" s="10" t="inlineStr">
        <ns0:is>
          <ns0:t>대한제국 칙령 제41호에 적힌 날짜는 언제인가요?</ns0:t>
        </ns0:is>
      </ns0:c>
      <ns0:c r="C154" s="10" t="n">
        <ns0:v>0</ns0:v>
      </ns0:c>
      <ns0:c r="D154" s="10" t="inlineStr"/>
      <ns0:c r="E154" s="10" t="inlineStr"/>
      <ns0:c r="F154" s="10" t="inlineStr"/>
      <ns0:c r="G154" s="10" t="inlineStr">
        <ns0:is>
          <ns0:t>decree: 1900.10.25 / 제1조 울도·군수 / 제2조 울릉전도·죽도·석도
gazette: 관보 게재 날짜와 칙령 날짜의 구분</ns0:t>
        </ns0:is>
      </ns0:c>
      <ns0:c r="H154" s="10" t="inlineStr">
        <ns0:is>
          <ns0:t>대한민국 외교부 자료실 · 대한제국 칙령 제41호
https://dokdo.mofa.go.kr/kor/pds/part02_view02.jsp
대한민국 외교부 자료실 · 관보(1900.10.27)
https://dokdo.mofa.go.kr/kor/pds/part02_view03.jsp</ns0:t>
        </ns0:is>
      </ns0:c>
    </ns0:row>
    <ns0:row r="155" ht="98" customHeight="1">
      <ns0:c r="A155" s="12" t="n">
        <ns0:v>920154</ns0:v>
      </ns0:c>
      <ns0:c r="B155" s="12" t="inlineStr">
        <ns0:is>
          <ns0:t>칙령이 실린 대한제국 관보의 역할은 무엇인가요?</ns0:t>
        </ns0:is>
      </ns0:c>
      <ns0:c r="C155" s="12" t="n">
        <ns0:v>0</ns0:v>
      </ns0:c>
      <ns0:c r="D155" s="12" t="inlineStr"/>
      <ns0:c r="E155" s="12" t="inlineStr"/>
      <ns0:c r="F155" s="12" t="inlineStr"/>
      <ns0:c r="G155" s="12" t="inlineStr">
        <ns0:is>
          <ns0:t>decree: 1900.10.25 / 제1조 울도·군수 / 제2조 울릉전도·죽도·석도
gazette: 관보 게재 날짜와 칙령 날짜의 구분</ns0:t>
        </ns0:is>
      </ns0:c>
      <ns0:c r="H155" s="12" t="inlineStr">
        <ns0:is>
          <ns0:t>대한민국 외교부 자료실 · 대한제국 칙령 제41호
https://dokdo.mofa.go.kr/kor/pds/part02_view02.jsp
대한민국 외교부 자료실 · 관보(1900.10.27)
https://dokdo.mofa.go.kr/kor/pds/part02_view03.jsp</ns0:t>
        </ns0:is>
      </ns0:c>
    </ns0:row>
    <ns0:row r="156" ht="98" customHeight="1">
      <ns0:c r="A156" s="10" t="n">
        <ns0:v>920155</ns0:v>
      </ns0:c>
      <ns0:c r="B156" s="10" t="inlineStr">
        <ns0:is>
          <ns0:t>칙령 제41호가 관보에 실린 날짜는 언제인가요?</ns0:t>
        </ns0:is>
      </ns0:c>
      <ns0:c r="C156" s="10" t="n">
        <ns0:v>1</ns0:v>
      </ns0:c>
      <ns0:c r="D156" s="10" t="inlineStr"/>
      <ns0:c r="E156" s="10" t="inlineStr">
        <ns0:is>
          <ns0:t>문서 날짜: 칙령 제41호 — 1900.10.25.
관보 게재: 칙령 제41호 — 1900.10.27.</ns0:t>
        </ns0:is>
      </ns0:c>
      <ns0:c r="F156" s="10" t="inlineStr"/>
      <ns0:c r="G156" s="10" t="inlineStr">
        <ns0:is>
          <ns0:t>decree: 1900.10.25 / 제1조 울도·군수 / 제2조 울릉전도·죽도·석도
gazette: 관보 게재 날짜와 칙령 날짜의 구분</ns0:t>
        </ns0:is>
      </ns0:c>
      <ns0:c r="H156" s="10" t="inlineStr">
        <ns0:is>
          <ns0:t>대한민국 외교부 자료실 · 대한제국 칙령 제41호
https://dokdo.mofa.go.kr/kor/pds/part02_view02.jsp
대한민국 외교부 자료실 · 관보(1900.10.27)
https://dokdo.mofa.go.kr/kor/pds/part02_view03.jsp</ns0:t>
        </ns0:is>
      </ns0:c>
    </ns0:row>
    <ns0:row r="157" ht="98" customHeight="1">
      <ns0:c r="A157" s="12" t="n">
        <ns0:v>920156</ns0:v>
      </ns0:c>
      <ns0:c r="B157" s="12" t="inlineStr">
        <ns0:is>
          <ns0:t>칙령 날짜가 25일이고 관보 날짜가 27일인 까닭은 무엇인가요?</ns0:t>
        </ns0:is>
      </ns0:c>
      <ns0:c r="C157" s="12" t="n">
        <ns0:v>1</ns0:v>
      </ns0:c>
      <ns0:c r="D157" s="12" t="inlineStr"/>
      <ns0:c r="E157" s="12" t="inlineStr">
        <ns0:is>
          <ns0:t>같은 칙령 제41호의 두 날짜: 문서에 적힌 날짜 1900년 10월 25일 / 관보에 실린 날짜 1900년 10월 27일.</ns0:t>
        </ns0:is>
      </ns0:c>
      <ns0:c r="F157" s="12" t="inlineStr"/>
      <ns0:c r="G157" s="12" t="inlineStr">
        <ns0:is>
          <ns0:t>decree: 1900.10.25 / 제1조 울도·군수 / 제2조 울릉전도·죽도·석도
gazette: 관보 게재 날짜와 칙령 날짜의 구분</ns0:t>
        </ns0:is>
      </ns0:c>
      <ns0:c r="H157" s="12" t="inlineStr">
        <ns0:is>
          <ns0:t>대한민국 외교부 자료실 · 대한제국 칙령 제41호
https://dokdo.mofa.go.kr/kor/pds/part02_view02.jsp
대한민국 외교부 자료실 · 관보(1900.10.27)
https://dokdo.mofa.go.kr/kor/pds/part02_view03.jsp</ns0:t>
        </ns0:is>
      </ns0:c>
    </ns0:row>
    <ns0:row r="158" ht="143" customHeight="1">
      <ns0:c r="A158" s="10" t="n">
        <ns0:v>920157</ns0:v>
      </ns0:c>
      <ns0:c r="B158" s="10" t="inlineStr">
        <ns0:is>
          <ns0:t>1900년 울도 행정 개편안을 올린 문서를 무엇이라고 하나요?</ns0:t>
        </ns0:is>
      </ns0:c>
      <ns0:c r="C158" s="10" t="n">
        <ns0:v>0</ns0:v>
      </ns0:c>
      <ns0:c r="D158" s="10" t="inlineStr">
        <ns0:is>
          <ns0:t>1900년 10월 22일의 청의서는 울릉도 행정 개편안을 올린 문서예요.</ns0:t>
        </ns0:is>
      </ns0:c>
      <ns0:c r="E158" s="10" t="inlineStr"/>
      <ns0:c r="F158" s="10" t="inlineStr"/>
      <ns0:c r="G158" s="10" t="inlineStr">
        <ns0:is>
          <ns0:t>petition: 행정 개편 제안과 칙령안
decree: 1900.10.25 / 제1조 울도·군수 / 제2조 울릉전도·죽도·석도
gazette: 관보 게재 날짜와 칙령 날짜의 구분</ns0:t>
        </ns0:is>
      </ns0:c>
      <ns0:c r="H158" s="10" t="inlineStr">
        <ns0:is>
          <ns0:t>대한민국 외교부 자료실 · 의정부 청의서(1900.10.22)
https://dokdo.mofa.go.kr/kor/pds/part02_view01.jsp
대한민국 외교부 자료실 · 대한제국 칙령 제41호
https://dokdo.mofa.go.kr/kor/pds/part02_view02.jsp
대한민국 외교부 자료실 · 관보(1900.10.27)
https://dokdo.mofa.go.kr/kor/pds/part02_view03.jsp</ns0:t>
        </ns0:is>
      </ns0:c>
    </ns0:row>
    <ns0:row r="159" ht="143" customHeight="1">
      <ns0:c r="A159" s="12" t="n">
        <ns0:v>920158</ns0:v>
      </ns0:c>
      <ns0:c r="B159" s="12" t="inlineStr">
        <ns0:is>
          <ns0:t>청의서와 칙령의 역할을 바르게 짝지은 것은 무엇인가요?</ns0:t>
        </ns0:is>
      </ns0:c>
      <ns0:c r="C159" s="12" t="n">
        <ns0:v>0</ns0:v>
      </ns0:c>
      <ns0:c r="D159" s="12" t="inlineStr"/>
      <ns0:c r="E159" s="12" t="inlineStr"/>
      <ns0:c r="F159" s="12" t="inlineStr"/>
      <ns0:c r="G159" s="12" t="inlineStr">
        <ns0:is>
          <ns0:t>petition: 행정 개편 제안과 칙령안
decree: 1900.10.25 / 제1조 울도·군수 / 제2조 울릉전도·죽도·석도
gazette: 관보 게재 날짜와 칙령 날짜의 구분</ns0:t>
        </ns0:is>
      </ns0:c>
      <ns0:c r="H159" s="12" t="inlineStr">
        <ns0:is>
          <ns0:t>대한민국 외교부 자료실 · 의정부 청의서(1900.10.22)
https://dokdo.mofa.go.kr/kor/pds/part02_view01.jsp
대한민국 외교부 자료실 · 대한제국 칙령 제41호
https://dokdo.mofa.go.kr/kor/pds/part02_view02.jsp
대한민국 외교부 자료실 · 관보(1900.10.27)
https://dokdo.mofa.go.kr/kor/pds/part02_view03.jsp</ns0:t>
        </ns0:is>
      </ns0:c>
    </ns0:row>
    <ns0:row r="160" ht="143" customHeight="1">
      <ns0:c r="A160" s="10" t="n">
        <ns0:v>920159</ns0:v>
      </ns0:c>
      <ns0:c r="B160" s="10" t="inlineStr">
        <ns0:is>
          <ns0:t>1900년 세 문서를 날짜순으로 놓으면 무엇인가요?</ns0:t>
        </ns0:is>
      </ns0:c>
      <ns0:c r="C160" s="10" t="n">
        <ns0:v>1</ns0:v>
      </ns0:c>
      <ns0:c r="D160" s="10" t="inlineStr"/>
      <ns0:c r="E160" s="10" t="inlineStr">
        <ns0:is>
          <ns0:t>1900년 10월 22일: 청의서 / 10월 25일: 칙령 제41호 / 10월 27일: 관보 게재.</ns0:t>
        </ns0:is>
      </ns0:c>
      <ns0:c r="F160" s="10" t="inlineStr"/>
      <ns0:c r="G160" s="10" t="inlineStr">
        <ns0:is>
          <ns0:t>petition: 행정 개편 제안과 칙령안
decree: 1900.10.25 / 제1조 울도·군수 / 제2조 울릉전도·죽도·석도
gazette: 관보 게재 날짜와 칙령 날짜의 구분</ns0:t>
        </ns0:is>
      </ns0:c>
      <ns0:c r="H160" s="10" t="inlineStr">
        <ns0:is>
          <ns0:t>대한민국 외교부 자료실 · 의정부 청의서(1900.10.22)
https://dokdo.mofa.go.kr/kor/pds/part02_view01.jsp
대한민국 외교부 자료실 · 대한제국 칙령 제41호
https://dokdo.mofa.go.kr/kor/pds/part02_view02.jsp
대한민국 외교부 자료실 · 관보(1900.10.27)
https://dokdo.mofa.go.kr/kor/pds/part02_view03.jsp</ns0:t>
        </ns0:is>
      </ns0:c>
    </ns0:row>
    <ns0:row r="161" ht="143" customHeight="1">
      <ns0:c r="A161" s="12" t="n">
        <ns0:v>920160</ns0:v>
      </ns0:c>
      <ns0:c r="B161" s="12" t="inlineStr">
        <ns0:is>
          <ns0:t>‘행정 개편을 제안했다’는 자료와 ‘명령이 공표됐다’는 자료를 구분해야 하는 이유는 무엇인가요?</ns0:t>
        </ns0:is>
      </ns0:c>
      <ns0:c r="C161" s="12" t="n">
        <ns0:v>1</ns0:v>
      </ns0:c>
      <ns0:c r="D161" s="12" t="inlineStr"/>
      <ns0:c r="E161" s="12" t="inlineStr">
        <ns0:is>
          <ns0:t>청의서가 개편안을 올린 뒤 칙령이 나왔고, 그 칙령이 관보에 실렸다. 세 자료는 같은 개편의 서로 다른 절차를 보여준다.</ns0:t>
        </ns0:is>
      </ns0:c>
      <ns0:c r="F161" s="12" t="inlineStr"/>
      <ns0:c r="G161" s="12" t="inlineStr">
        <ns0:is>
          <ns0:t>petition: 행정 개편 제안과 칙령안
decree: 1900.10.25 / 제1조 울도·군수 / 제2조 울릉전도·죽도·석도
gazette: 관보 게재 날짜와 칙령 날짜의 구분</ns0:t>
        </ns0:is>
      </ns0:c>
      <ns0:c r="H161" s="12" t="inlineStr">
        <ns0:is>
          <ns0:t>대한민국 외교부 자료실 · 의정부 청의서(1900.10.22)
https://dokdo.mofa.go.kr/kor/pds/part02_view01.jsp
대한민국 외교부 자료실 · 대한제국 칙령 제41호
https://dokdo.mofa.go.kr/kor/pds/part02_view02.jsp
대한민국 외교부 자료실 · 관보(1900.10.27)
https://dokdo.mofa.go.kr/kor/pds/part02_view03.jsp</ns0:t>
        </ns0:is>
      </ns0:c>
    </ns0:row>
    <ns0:row r="162" ht="53" customHeight="1">
      <ns0:c r="A162" s="10" t="n">
        <ns0:v>920161</ns0:v>
      </ns0:c>
      <ns0:c r="B162" s="10" t="inlineStr">
        <ns0:is>
          <ns0:t>1906년 독도 상황을 보고한 울도군수는 누구인가요?</ns0:t>
        </ns0:is>
      </ns0:c>
      <ns0:c r="C162" s="10" t="n">
        <ns0:v>0</ns0:v>
      </ns0:c>
      <ns0:c r="D162" s="10" t="inlineStr"/>
      <ns0:c r="E162" s="10" t="inlineStr"/>
      <ns0:c r="F162" s="10" t="inlineStr"/>
      <ns0:c r="G162" s="10" t="inlineStr">
        <ns0:is>
          <ns0:t>shim: 본군 소속 독도 / 일본 관리 발언의 인용 / 보고 전달</ns0:t>
        </ns0:is>
      </ns0:c>
      <ns0:c r="H162" s="10" t="inlineStr">
        <ns0:is>
          <ns0:t>대한민국 외교부 자료실 · 심흥택 보고서(1906)
https://dokdo.mofa.go.kr/kor/pds/part02_view04.jsp</ns0:t>
        </ns0:is>
      </ns0:c>
    </ns0:row>
    <ns0:row r="163" ht="53" customHeight="1">
      <ns0:c r="A163" s="12" t="n">
        <ns0:v>920162</ns0:v>
      </ns0:c>
      <ns0:c r="B163" s="12" t="inlineStr">
        <ns0:is>
          <ns0:t>심흥택이 1906년 맡고 있던 직책은 무엇인가요?</ns0:t>
        </ns0:is>
      </ns0:c>
      <ns0:c r="C163" s="12" t="n">
        <ns0:v>0</ns0:v>
      </ns0:c>
      <ns0:c r="D163" s="12" t="inlineStr"/>
      <ns0:c r="E163" s="12" t="inlineStr"/>
      <ns0:c r="F163" s="12" t="inlineStr"/>
      <ns0:c r="G163" s="12" t="inlineStr">
        <ns0:is>
          <ns0:t>shim: 본군 소속 독도 / 일본 관리 발언의 인용 / 보고 전달</ns0:t>
        </ns0:is>
      </ns0:c>
      <ns0:c r="H163" s="12" t="inlineStr">
        <ns0:is>
          <ns0:t>대한민국 외교부 자료실 · 심흥택 보고서(1906)
https://dokdo.mofa.go.kr/kor/pds/part02_view04.jsp</ns0:t>
        </ns0:is>
      </ns0:c>
    </ns0:row>
    <ns0:row r="164" ht="53" customHeight="1">
      <ns0:c r="A164" s="10" t="n">
        <ns0:v>920163</ns0:v>
      </ns0:c>
      <ns0:c r="B164" s="10" t="inlineStr">
        <ns0:is>
          <ns0:t>심흥택의 보고가 상부로 전달된 흐름은 무엇인가요?</ns0:t>
        </ns0:is>
      </ns0:c>
      <ns0:c r="C164" s="10" t="n">
        <ns0:v>1</ns0:v>
      </ns0:c>
      <ns0:c r="D164" s="10" t="inlineStr"/>
      <ns0:c r="E164" s="10" t="inlineStr">
        <ns0:is>
          <ns0:t>1906년 울도군수 심흥택이 독도 관련 상황을 보고했다. 보고는 강원도 관찰사 측을 거쳐 중앙으로 전달되었다.</ns0:t>
        </ns0:is>
      </ns0:c>
      <ns0:c r="F164" s="10" t="inlineStr"/>
      <ns0:c r="G164" s="10" t="inlineStr">
        <ns0:is>
          <ns0:t>shim: 본군 소속 독도 / 일본 관리 발언의 인용 / 보고 전달</ns0:t>
        </ns0:is>
      </ns0:c>
      <ns0:c r="H164" s="10" t="inlineStr">
        <ns0:is>
          <ns0:t>대한민국 외교부 자료실 · 심흥택 보고서(1906)
https://dokdo.mofa.go.kr/kor/pds/part02_view04.jsp</ns0:t>
        </ns0:is>
      </ns0:c>
    </ns0:row>
    <ns0:row r="165" ht="53" customHeight="1">
      <ns0:c r="A165" s="12" t="n">
        <ns0:v>920164</ns0:v>
      </ns0:c>
      <ns0:c r="B165" s="12" t="inlineStr">
        <ns0:is>
          <ns0:t>심흥택의 보고를 지역 행정 활동의 자료로 볼 수 있는 이유는 무엇인가요?</ns0:t>
        </ns0:is>
      </ns0:c>
      <ns0:c r="C165" s="12" t="n">
        <ns0:v>1</ns0:v>
      </ns0:c>
      <ns0:c r="D165" s="12" t="inlineStr"/>
      <ns0:c r="E165" s="12" t="inlineStr">
        <ns0:is>
          <ns0:t>문서 작성자: 울도군수 심흥택. 내용: 본군 소속 독도에 관해 일본 관리에게 들은 상황을 상부에 보고.</ns0:t>
        </ns0:is>
      </ns0:c>
      <ns0:c r="F165" s="12" t="inlineStr"/>
      <ns0:c r="G165" s="12" t="inlineStr">
        <ns0:is>
          <ns0:t>shim: 본군 소속 독도 / 일본 관리 발언의 인용 / 보고 전달</ns0:t>
        </ns0:is>
      </ns0:c>
      <ns0:c r="H165" s="12" t="inlineStr">
        <ns0:is>
          <ns0:t>대한민국 외교부 자료실 · 심흥택 보고서(1906)
https://dokdo.mofa.go.kr/kor/pds/part02_view04.jsp</ns0:t>
        </ns0:is>
      </ns0:c>
    </ns0:row>
    <ns0:row r="166" ht="53" customHeight="1">
      <ns0:c r="A166" s="10" t="n">
        <ns0:v>920165</ns0:v>
      </ns0:c>
      <ns0:c r="B166" s="10" t="inlineStr">
        <ns0:is>
          <ns0:t>심흥택 보고에서 ‘본군 소속 독도’의 본군은 어느 군인가요?</ns0:t>
        </ns0:is>
      </ns0:c>
      <ns0:c r="C166" s="10" t="n">
        <ns0:v>0</ns0:v>
      </ns0:c>
      <ns0:c r="D166" s="10" t="inlineStr">
        <ns0:is>
          <ns0:t>‘본군’은 문서를 쓴 관리가 맡고 있는 군을 뜻해요. 작성자는 울도군수 심흥택이에요.</ns0:t>
        </ns0:is>
      </ns0:c>
      <ns0:c r="E166" s="10" t="inlineStr"/>
      <ns0:c r="F166" s="10" t="inlineStr"/>
      <ns0:c r="G166" s="10" t="inlineStr">
        <ns0:is>
          <ns0:t>shim: 본군 소속 독도 / 일본 관리 발언의 인용 / 보고 전달</ns0:t>
        </ns0:is>
      </ns0:c>
      <ns0:c r="H166" s="10" t="inlineStr">
        <ns0:is>
          <ns0:t>대한민국 외교부 자료실 · 심흥택 보고서(1906)
https://dokdo.mofa.go.kr/kor/pds/part02_view04.jsp</ns0:t>
        </ns0:is>
      </ns0:c>
    </ns0:row>
    <ns0:row r="167" ht="53" customHeight="1">
      <ns0:c r="A167" s="12" t="n">
        <ns0:v>920166</ns0:v>
      </ns0:c>
      <ns0:c r="B167" s="12" t="inlineStr">
        <ns0:is>
          <ns0:t>심흥택이 ‘본군 소속 독도’라고 쓴 뜻은 무엇인가요?</ns0:t>
        </ns0:is>
      </ns0:c>
      <ns0:c r="C167" s="12" t="n">
        <ns0:v>0</ns0:v>
      </ns0:c>
      <ns0:c r="D167" s="12" t="inlineStr"/>
      <ns0:c r="E167" s="12" t="inlineStr"/>
      <ns0:c r="F167" s="12" t="inlineStr"/>
      <ns0:c r="G167" s="12" t="inlineStr">
        <ns0:is>
          <ns0:t>shim: 본군 소속 독도 / 일본 관리 발언의 인용 / 보고 전달</ns0:t>
        </ns0:is>
      </ns0:c>
      <ns0:c r="H167" s="12" t="inlineStr">
        <ns0:is>
          <ns0:t>대한민국 외교부 자료실 · 심흥택 보고서(1906)
https://dokdo.mofa.go.kr/kor/pds/part02_view04.jsp</ns0:t>
        </ns0:is>
      </ns0:c>
    </ns0:row>
    <ns0:row r="168" ht="53" customHeight="1">
      <ns0:c r="A168" s="10" t="n">
        <ns0:v>920167</ns0:v>
      </ns0:c>
      <ns0:c r="B168" s="10" t="inlineStr">
        <ns0:is>
          <ns0:t>심흥택의 울도군 소속 인식이 직접 드러나는 구절은 무엇인가요?</ns0:t>
        </ns0:is>
      </ns0:c>
      <ns0:c r="C168" s="10" t="n">
        <ns0:v>1</ns0:v>
      </ns0:c>
      <ns0:c r="D168" s="10" t="inlineStr"/>
      <ns0:c r="E168" s="10" t="inlineStr">
        <ns0:is>
          <ns0:t>보고 내용의 짧은 발췌: ‘본군 소속 독도’. 여기서 본군은 작성자 심흥택이 맡은 울도군이에요.</ns0:t>
        </ns0:is>
      </ns0:c>
      <ns0:c r="F168" s="10" t="inlineStr"/>
      <ns0:c r="G168" s="10" t="inlineStr">
        <ns0:is>
          <ns0:t>shim: 본군 소속 독도 / 일본 관리 발언의 인용 / 보고 전달</ns0:t>
        </ns0:is>
      </ns0:c>
      <ns0:c r="H168" s="10" t="inlineStr">
        <ns0:is>
          <ns0:t>대한민국 외교부 자료실 · 심흥택 보고서(1906)
https://dokdo.mofa.go.kr/kor/pds/part02_view04.jsp</ns0:t>
        </ns0:is>
      </ns0:c>
    </ns0:row>
    <ns0:row r="169" ht="53" customHeight="1">
      <ns0:c r="A169" s="12" t="n">
        <ns0:v>920168</ns0:v>
      </ns0:c>
      <ns0:c r="B169" s="12" t="inlineStr">
        <ns0:is>
          <ns0:t>‘본군 소속 독도’라는 구절로 가장 직접 확인할 수 있는 내용은 무엇인가요?</ns0:t>
        </ns0:is>
      </ns0:c>
      <ns0:c r="C169" s="12" t="n">
        <ns0:v>1</ns0:v>
      </ns0:c>
      <ns0:c r="D169" s="12" t="inlineStr"/>
      <ns0:c r="E169" s="12" t="inlineStr">
        <ns0:is>
          <ns0:t>작성자: 대한제국 울도군수 심흥택. 시기: 1906년. 해당 표현: 본군 소속 독도.</ns0:t>
        </ns0:is>
      </ns0:c>
      <ns0:c r="F169" s="12" t="inlineStr"/>
      <ns0:c r="G169" s="12" t="inlineStr">
        <ns0:is>
          <ns0:t>shim: 본군 소속 독도 / 일본 관리 발언의 인용 / 보고 전달</ns0:t>
        </ns0:is>
      </ns0:c>
      <ns0:c r="H169" s="12" t="inlineStr">
        <ns0:is>
          <ns0:t>대한민국 외교부 자료실 · 심흥택 보고서(1906)
https://dokdo.mofa.go.kr/kor/pds/part02_view04.jsp</ns0:t>
        </ns0:is>
      </ns0:c>
    </ns0:row>
    <ns0:row r="170" ht="98" customHeight="1">
      <ns0:c r="A170" s="10" t="n">
        <ns0:v>920169</ns0:v>
      </ns0:c>
      <ns0:c r="B170" s="10" t="inlineStr">
        <ns0:is>
          <ns0:t>1906년 심흥택에게 독도의 일본 소속을 주장한 쪽은 누구인가요?</ns0:t>
        </ns0:is>
      </ns0:c>
      <ns0:c r="C170" s="10" t="n">
        <ns0:v>0</ns0:v>
      </ns0:c>
      <ns0:c r="D170" s="10" t="inlineStr">
        <ns0:is>
          <ns0:t>심흥택은 독도를 ‘본군 소속’이라고 적은 뒤, 일본 관리들에게 들은 주장을 보고했어요.</ns0:t>
        </ns0:is>
      </ns0:c>
      <ns0:c r="E170" s="10" t="inlineStr"/>
      <ns0:c r="F170" s="10" t="inlineStr"/>
      <ns0:c r="G170" s="10" t="inlineStr">
        <ns0:is>
          <ns0:t>shim: 본군 소속 독도 / 일본 관리 발언의 인용 / 보고 전달
order: 일본 주장 부인과 형편·행동 재조사 지시</ns0:t>
        </ns0:is>
      </ns0:c>
      <ns0:c r="H170" s="10" t="inlineStr">
        <ns0:is>
          <ns0:t>대한민국 외교부 자료실 · 심흥택 보고서(1906)
https://dokdo.mofa.go.kr/kor/pds/part02_view04.jsp
대한민국 외교부 자료실 · 지령 제3호(1906.5.10)
https://dokdo.mofa.go.kr/kor/pds/part02_view05.jsp</ns0:t>
        </ns0:is>
      </ns0:c>
    </ns0:row>
    <ns0:row r="171" ht="98" customHeight="1">
      <ns0:c r="A171" s="12" t="n">
        <ns0:v>920170</ns0:v>
      </ns0:c>
      <ns0:c r="B171" s="12" t="inlineStr">
        <ns0:is>
          <ns0:t>심흥택이 일본 관리의 주장을 보고서에 적은 것은 무엇을 한 것인가요?</ns0:t>
        </ns0:is>
      </ns0:c>
      <ns0:c r="C171" s="12" t="n">
        <ns0:v>0</ns0:v>
      </ns0:c>
      <ns0:c r="D171" s="12" t="inlineStr">
        <ns0:is>
          <ns0:t>이 문항은 심흥택이 일본 관리의 주장을 보고서에 옮긴 상황을 다뤄요.</ns0:t>
        </ns0:is>
      </ns0:c>
      <ns0:c r="E171" s="12" t="inlineStr"/>
      <ns0:c r="F171" s="12" t="inlineStr"/>
      <ns0:c r="G171" s="12" t="inlineStr">
        <ns0:is>
          <ns0:t>shim: 본군 소속 독도 / 일본 관리 발언의 인용 / 보고 전달
order: 일본 주장 부인과 형편·행동 재조사 지시</ns0:t>
        </ns0:is>
      </ns0:c>
      <ns0:c r="H171" s="12" t="inlineStr">
        <ns0:is>
          <ns0:t>대한민국 외교부 자료실 · 심흥택 보고서(1906)
https://dokdo.mofa.go.kr/kor/pds/part02_view04.jsp
대한민국 외교부 자료실 · 지령 제3호(1906.5.10)
https://dokdo.mofa.go.kr/kor/pds/part02_view05.jsp</ns0:t>
        </ns0:is>
      </ns0:c>
    </ns0:row>
    <ns0:row r="172" ht="98" customHeight="1">
      <ns0:c r="A172" s="10" t="n">
        <ns0:v>920171</ns0:v>
      </ns0:c>
      <ns0:c r="B172" s="10" t="inlineStr">
        <ns0:is>
          <ns0:t>두 문장에서 일본 관리의 주장에 해당하는 것은 무엇인가요?</ns0:t>
        </ns0:is>
      </ns0:c>
      <ns0:c r="C172" s="10" t="n">
        <ns0:v>1</ns0:v>
      </ns0:c>
      <ns0:c r="D172" s="10" t="inlineStr"/>
      <ns0:c r="E172" s="10" t="inlineStr">
        <ns0:is>
          <ns0:t>A — 심흥택의 표현: 본군 소속 독도.
B — 심흥택이 전달한 일본 관리들의 주장: 독도가 일본 영토가 되었다.</ns0:t>
        </ns0:is>
      </ns0:c>
      <ns0:c r="F172" s="10" t="inlineStr"/>
      <ns0:c r="G172" s="10" t="inlineStr">
        <ns0:is>
          <ns0:t>shim: 본군 소속 독도 / 일본 관리 발언의 인용 / 보고 전달
order: 일본 주장 부인과 형편·행동 재조사 지시</ns0:t>
        </ns0:is>
      </ns0:c>
      <ns0:c r="H172" s="10" t="inlineStr">
        <ns0:is>
          <ns0:t>대한민국 외교부 자료실 · 심흥택 보고서(1906)
https://dokdo.mofa.go.kr/kor/pds/part02_view04.jsp
대한민국 외교부 자료실 · 지령 제3호(1906.5.10)
https://dokdo.mofa.go.kr/kor/pds/part02_view05.jsp</ns0:t>
        </ns0:is>
      </ns0:c>
    </ns0:row>
    <ns0:row r="173" ht="98" customHeight="1">
      <ns0:c r="A173" s="12" t="n">
        <ns0:v>920172</ns0:v>
      </ns0:c>
      <ns0:c r="B173" s="12" t="inlineStr">
        <ns0:is>
          <ns0:t>심흥택 보고를 ‘대한제국이 일본의 주장을 인정한 문서’라고 소개하면 어떤 오류인가요?</ns0:t>
        </ns0:is>
      </ns0:c>
      <ns0:c r="C173" s="12" t="n">
        <ns0:v>1</ns0:v>
      </ns0:c>
      <ns0:c r="D173" s="12" t="inlineStr"/>
      <ns0:c r="E173" s="12" t="inlineStr">
        <ns0:is>
          <ns0:t>심흥택은 독도를 ‘본군 소속’으로 적었고 일본 관리들의 주장을 상부에 보고했어요. 뒤의 지령 제3호는 일본의 주장을 받아들이지 않고 조사를 지시했어요.</ns0:t>
        </ns0:is>
      </ns0:c>
      <ns0:c r="F173" s="12" t="inlineStr"/>
      <ns0:c r="G173" s="12" t="inlineStr">
        <ns0:is>
          <ns0:t>shim: 본군 소속 독도 / 일본 관리 발언의 인용 / 보고 전달
order: 일본 주장 부인과 형편·행동 재조사 지시</ns0:t>
        </ns0:is>
      </ns0:c>
      <ns0:c r="H173" s="12" t="inlineStr">
        <ns0:is>
          <ns0:t>대한민국 외교부 자료실 · 심흥택 보고서(1906)
https://dokdo.mofa.go.kr/kor/pds/part02_view04.jsp
대한민국 외교부 자료실 · 지령 제3호(1906.5.10)
https://dokdo.mofa.go.kr/kor/pds/part02_view05.jsp</ns0:t>
        </ns0:is>
      </ns0:c>
    </ns0:row>
    <ns0:row r="174" ht="53" customHeight="1">
      <ns0:c r="A174" s="10" t="n">
        <ns0:v>920173</ns0:v>
      </ns0:c>
      <ns0:c r="B174" s="10" t="inlineStr">
        <ns0:is>
          <ns0:t>1906년 일본의 독도 주장을 부인한 지령은 무엇인가요?</ns0:t>
        </ns0:is>
      </ns0:c>
      <ns0:c r="C174" s="10" t="n">
        <ns0:v>0</ns0:v>
      </ns0:c>
      <ns0:c r="D174" s="10" t="inlineStr"/>
      <ns0:c r="E174" s="10" t="inlineStr"/>
      <ns0:c r="F174" s="10" t="inlineStr"/>
      <ns0:c r="G174" s="10" t="inlineStr">
        <ns0:is>
          <ns0:t>order: 일본 주장 부인과 형편·행동 재조사 지시</ns0:t>
        </ns0:is>
      </ns0:c>
      <ns0:c r="H174" s="10" t="inlineStr">
        <ns0:is>
          <ns0:t>대한민국 외교부 자료실 · 지령 제3호(1906.5.10)
https://dokdo.mofa.go.kr/kor/pds/part02_view05.jsp</ns0:t>
        </ns0:is>
      </ns0:c>
    </ns0:row>
    <ns0:row r="175" ht="53" customHeight="1">
      <ns0:c r="A175" s="12" t="n">
        <ns0:v>920174</ns0:v>
      </ns0:c>
      <ns0:c r="B175" s="12" t="inlineStr">
        <ns0:is>
          <ns0:t>지령 제3호는 일본의 독도 소속 주장을 어떻게 대했나요?</ns0:t>
        </ns0:is>
      </ns0:c>
      <ns0:c r="C175" s="12" t="n">
        <ns0:v>0</ns0:v>
      </ns0:c>
      <ns0:c r="D175" s="12" t="inlineStr"/>
      <ns0:c r="E175" s="12" t="inlineStr"/>
      <ns0:c r="F175" s="12" t="inlineStr"/>
      <ns0:c r="G175" s="12" t="inlineStr">
        <ns0:is>
          <ns0:t>order: 일본 주장 부인과 형편·행동 재조사 지시</ns0:t>
        </ns0:is>
      </ns0:c>
      <ns0:c r="H175" s="12" t="inlineStr">
        <ns0:is>
          <ns0:t>대한민국 외교부 자료실 · 지령 제3호(1906.5.10)
https://dokdo.mofa.go.kr/kor/pds/part02_view05.jsp</ns0:t>
        </ns0:is>
      </ns0:c>
    </ns0:row>
    <ns0:row r="176" ht="53" customHeight="1">
      <ns0:c r="A176" s="10" t="n">
        <ns0:v>920175</ns0:v>
      </ns0:c>
      <ns0:c r="B176" s="10" t="inlineStr">
        <ns0:is>
          <ns0:t>지령 제3호가 관리에게 추가로 하도록 한 일은 무엇인가요?</ns0:t>
        </ns0:is>
      </ns0:c>
      <ns0:c r="C176" s="10" t="n">
        <ns0:v>1</ns0:v>
      </ns0:c>
      <ns0:c r="D176" s="10" t="inlineStr"/>
      <ns0:c r="E176" s="10" t="inlineStr">
        <ns0:is>
          <ns0:t>지령 제3호 역문 요약: 일본 영토라는 주장은 근거 없으므로, 섬의 형편과 일본인의 행동을 다시 조사해 보고하라.</ns0:t>
        </ns0:is>
      </ns0:c>
      <ns0:c r="F176" s="10" t="inlineStr"/>
      <ns0:c r="G176" s="10" t="inlineStr">
        <ns0:is>
          <ns0:t>order: 일본 주장 부인과 형편·행동 재조사 지시</ns0:t>
        </ns0:is>
      </ns0:c>
      <ns0:c r="H176" s="10" t="inlineStr">
        <ns0:is>
          <ns0:t>대한민국 외교부 자료실 · 지령 제3호(1906.5.10)
https://dokdo.mofa.go.kr/kor/pds/part02_view05.jsp</ns0:t>
        </ns0:is>
      </ns0:c>
    </ns0:row>
    <ns0:row r="177" ht="53" customHeight="1">
      <ns0:c r="A177" s="12" t="n">
        <ns0:v>920176</ns0:v>
      </ns0:c>
      <ns0:c r="B177" s="12" t="inlineStr">
        <ns0:is>
          <ns0:t>심흥택 보고와 지령 제3호를 연결하면 어떤 행정 대응이 보이나요?</ns0:t>
        </ns0:is>
      </ns0:c>
      <ns0:c r="C177" s="12" t="n">
        <ns0:v>1</ns0:v>
      </ns0:c>
      <ns0:c r="D177" s="12" t="inlineStr"/>
      <ns0:c r="E177" s="12" t="inlineStr">
        <ns0:is>
          <ns0:t>1906년: 울도군수가 일본 관리들의 독도 관련 발언을 보고함 → 대한제국 지령 제3호가 그 주장을 부인하고 추가 조사·보고를 요구함.</ns0:t>
        </ns0:is>
      </ns0:c>
      <ns0:c r="F177" s="12" t="inlineStr"/>
      <ns0:c r="G177" s="12" t="inlineStr">
        <ns0:is>
          <ns0:t>order: 일본 주장 부인과 형편·행동 재조사 지시</ns0:t>
        </ns0:is>
      </ns0:c>
      <ns0:c r="H177" s="12" t="inlineStr">
        <ns0:is>
          <ns0:t>대한민국 외교부 자료실 · 지령 제3호(1906.5.10)
https://dokdo.mofa.go.kr/kor/pds/part02_view05.jsp</ns0:t>
        </ns0:is>
      </ns0:c>
    </ns0:row>
    <ns0:row r="178" ht="143" customHeight="1">
      <ns0:c r="A178" s="10" t="n">
        <ns0:v>920177</ns0:v>
      </ns0:c>
      <ns0:c r="B178" s="10" t="inlineStr">
        <ns0:is>
          <ns0:t>칙령 제41호와 심흥택의 독도 보고 중 먼저 나온 것은 무엇인가요?</ns0:t>
        </ns0:is>
      </ns0:c>
      <ns0:c r="C178" s="10" t="n">
        <ns0:v>0</ns0:v>
      </ns0:c>
      <ns0:c r="D178" s="10" t="inlineStr"/>
      <ns0:c r="E178" s="10" t="inlineStr"/>
      <ns0:c r="F178" s="10" t="inlineStr"/>
      <ns0:c r="G178" s="10" t="inlineStr">
        <ns0:is>
          <ns0:t>decree: 1900.10.25 / 제1조 울도·군수 / 제2조 울릉전도·죽도·석도
shim: 본군 소속 독도 / 일본 관리 발언의 인용 / 보고 전달
order: 일본 주장 부인과 형편·행동 재조사 지시</ns0:t>
        </ns0:is>
      </ns0:c>
      <ns0:c r="H178" s="10" t="inlineStr">
        <ns0:is>
          <ns0:t>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ns0:t>
        </ns0:is>
      </ns0:c>
    </ns0:row>
    <ns0:row r="179" ht="143" customHeight="1">
      <ns0:c r="A179" s="12" t="n">
        <ns0:v>920178</ns0:v>
      </ns0:c>
      <ns0:c r="B179" s="12" t="inlineStr">
        <ns0:is>
          <ns0:t>울도 행정 개편 뒤 독도 상황을 보고한 문서는 무엇인가요?</ns0:t>
        </ns0:is>
      </ns0:c>
      <ns0:c r="C179" s="12" t="n">
        <ns0:v>0</ns0:v>
      </ns0:c>
      <ns0:c r="D179" s="12" t="inlineStr">
        <ns0:is>
          <ns0:t>1900년 칙령 제41호는 울도의 행정 체계를 정했어요. 그 뒤 1906년에는 현지 상황을 알리는 보고가 나왔어요.</ns0:t>
        </ns0:is>
      </ns0:c>
      <ns0:c r="E179" s="12" t="inlineStr"/>
      <ns0:c r="F179" s="12" t="inlineStr"/>
      <ns0:c r="G179" s="12" t="inlineStr">
        <ns0:is>
          <ns0:t>decree: 1900.10.25 / 제1조 울도·군수 / 제2조 울릉전도·죽도·석도
shim: 본군 소속 독도 / 일본 관리 발언의 인용 / 보고 전달
order: 일본 주장 부인과 형편·행동 재조사 지시</ns0:t>
        </ns0:is>
      </ns0:c>
      <ns0:c r="H179" s="12" t="inlineStr">
        <ns0:is>
          <ns0:t>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ns0:t>
        </ns0:is>
      </ns0:c>
    </ns0:row>
    <ns0:row r="180" ht="143" customHeight="1">
      <ns0:c r="A180" s="10" t="n">
        <ns0:v>920179</ns0:v>
      </ns0:c>
      <ns0:c r="B180" s="10" t="inlineStr">
        <ns0:is>
          <ns0:t>세 자료를 오래된 것부터 놓은 순서는 무엇인가요?</ns0:t>
        </ns0:is>
      </ns0:c>
      <ns0:c r="C180" s="10" t="n">
        <ns0:v>1</ns0:v>
      </ns0:c>
      <ns0:c r="D180" s="10" t="inlineStr"/>
      <ns0:c r="E180" s="10" t="inlineStr">
        <ns0:is>
          <ns0:t>1900년: 칙령 제41호.
1906년: 심흥택의 독도 보고와 이에 대한 지령 제3호.</ns0:t>
        </ns0:is>
      </ns0:c>
      <ns0:c r="F180" s="10" t="inlineStr"/>
      <ns0:c r="G180" s="10" t="inlineStr">
        <ns0:is>
          <ns0:t>decree: 1900.10.25 / 제1조 울도·군수 / 제2조 울릉전도·죽도·석도
shim: 본군 소속 독도 / 일본 관리 발언의 인용 / 보고 전달
order: 일본 주장 부인과 형편·행동 재조사 지시</ns0:t>
        </ns0:is>
      </ns0:c>
      <ns0:c r="H180" s="10" t="inlineStr">
        <ns0:is>
          <ns0:t>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ns0:t>
        </ns0:is>
      </ns0:c>
    </ns0:row>
    <ns0:row r="181" ht="143" customHeight="1">
      <ns0:c r="A181" s="12" t="n">
        <ns0:v>920180</ns0:v>
      </ns0:c>
      <ns0:c r="B181" s="12" t="inlineStr">
        <ns0:is>
          <ns0:t>세 자료를 함께 설명할 때 각 문서의 역할을 구분한 것은 무엇인가요?</ns0:t>
        </ns0:is>
      </ns0:c>
      <ns0:c r="C181" s="12" t="n">
        <ns0:v>1</ns0:v>
      </ns0:c>
      <ns0:c r="D181" s="12" t="inlineStr"/>
      <ns0:c r="E181" s="12" t="inlineStr">
        <ns0:is>
          <ns0:t>자료 카드: 1900년 칙령 제41호 — 울도 행정 개편 / 1906년 심흥택 보고 — 현지 상황 보고 / 지령 제3호 — 주장 부인과 추가 조사 지시.</ns0:t>
        </ns0:is>
      </ns0:c>
      <ns0:c r="F181" s="12" t="inlineStr"/>
      <ns0:c r="G181" s="12" t="inlineStr">
        <ns0:is>
          <ns0:t>decree: 1900.10.25 / 제1조 울도·군수 / 제2조 울릉전도·죽도·석도
shim: 본군 소속 독도 / 일본 관리 발언의 인용 / 보고 전달
order: 일본 주장 부인과 형편·행동 재조사 지시</ns0:t>
        </ns0:is>
      </ns0:c>
      <ns0:c r="H181" s="12" t="inlineStr">
        <ns0:is>
          <ns0:t>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ns0:t>
        </ns0:is>
      </ns0:c>
    </ns0:row>
    <ns0:row r="182" ht="98" customHeight="1">
      <ns0:c r="A182" s="10" t="n">
        <ns0:v>920181</ns0:v>
      </ns0:c>
      <ns0:c r="B182" s="10" t="inlineStr">
        <ns0:is>
          <ns0:t>독도의 천장굴은 어느 큰 섬에 있나요?</ns0:t>
        </ns0:is>
      </ns0:c>
      <ns0:c r="C182" s="10" t="n">
        <ns0:v>0</ns0:v>
      </ns0:c>
      <ns0:c r="D182" s="10" t="inlineStr"/>
      <ns0:c r="E182" s="10" t="inlineStr"/>
      <ns0:c r="F182" s="10" t="inlineStr"/>
      <ns0:c r="G182" s="10" t="inlineStr">
        <ns0:is>
          <ns0:t>cave: 동도 중앙의 우물 모양 함몰 지형
names: 천장굴·독립문바위·숫돌바위·가제바위·탕건봉의 지명 유래; 지도용 정확한 좌표로 사용하지 않음</ns0:t>
        </ns0:is>
      </ns0:c>
      <ns0:c r="H182" s="10" t="inlineStr">
        <ns0:is>
          <ns0:t>대한민국 한국관광공사 · 천장굴
https://korean.visitkorea.or.kr/detail/ms_detail.do?cotid=21978541-1e2d-4dd8-83fd-92ce4f55dec6
대한민국 한국해양과학기술원 · 독도의 지명
https://www.dokdo.re.kr/home/cms/cmsCont.do?cntnts_sn=65</ns0:t>
        </ns0:is>
      </ns0:c>
    </ns0:row>
    <ns0:row r="183" ht="98" customHeight="1">
      <ns0:c r="A183" s="12" t="n">
        <ns0:v>920182</ns0:v>
      </ns0:c>
      <ns0:c r="B183" s="12" t="inlineStr">
        <ns0:is>
          <ns0:t>천장굴의 전체 모습을 가장 가깝게 설명한 것은 무엇인가요?</ns0:t>
        </ns0:is>
      </ns0:c>
      <ns0:c r="C183" s="12" t="n">
        <ns0:v>0</ns0:v>
      </ns0:c>
      <ns0:c r="D183" s="12" t="inlineStr"/>
      <ns0:c r="E183" s="12" t="inlineStr"/>
      <ns0:c r="F183" s="12" t="inlineStr"/>
      <ns0:c r="G183" s="12" t="inlineStr">
        <ns0:is>
          <ns0:t>cave: 동도 중앙의 우물 모양 함몰 지형
names: 천장굴·독립문바위·숫돌바위·가제바위·탕건봉의 지명 유래; 지도용 정확한 좌표로 사용하지 않음</ns0:t>
        </ns0:is>
      </ns0:c>
      <ns0:c r="H183" s="12" t="inlineStr">
        <ns0:is>
          <ns0:t>대한민국 한국관광공사 · 천장굴
https://korean.visitkorea.or.kr/detail/ms_detail.do?cotid=21978541-1e2d-4dd8-83fd-92ce4f55dec6
대한민국 한국해양과학기술원 · 독도의 지명
https://www.dokdo.re.kr/home/cms/cmsCont.do?cntnts_sn=65</ns0:t>
        </ns0:is>
      </ns0:c>
    </ns0:row>
    <ns0:row r="184" ht="98" customHeight="1">
      <ns0:c r="A184" s="10" t="n">
        <ns0:v>920183</ns0:v>
      </ns0:c>
      <ns0:c r="B184" s="10" t="inlineStr">
        <ns0:is>
          <ns0:t>설명에 해당하는 독도 지명은 무엇인가요?</ns0:t>
        </ns0:is>
      </ns0:c>
      <ns0:c r="C184" s="10" t="n">
        <ns0:v>1</ns0:v>
      </ns0:c>
      <ns0:c r="D184" s="10" t="inlineStr"/>
      <ns0:c r="E184" s="10" t="inlineStr">
        <ns0:is>
          <ns0:t>위치: 동도 중앙. 형태: 우물처럼 깊게 패인 함몰 지형. 예전에는 분화구로 보는 의견도 있었으나 관광 안내는 풍화·침식에 의한 함몰로 설명해요.</ns0:t>
        </ns0:is>
      </ns0:c>
      <ns0:c r="F184" s="10" t="inlineStr"/>
      <ns0:c r="G184" s="10" t="inlineStr">
        <ns0:is>
          <ns0:t>cave: 동도 중앙의 우물 모양 함몰 지형
names: 천장굴·독립문바위·숫돌바위·가제바위·탕건봉의 지명 유래; 지도용 정확한 좌표로 사용하지 않음</ns0:t>
        </ns0:is>
      </ns0:c>
      <ns0:c r="H184" s="10" t="inlineStr">
        <ns0:is>
          <ns0:t>대한민국 한국관광공사 · 천장굴
https://korean.visitkorea.or.kr/detail/ms_detail.do?cotid=21978541-1e2d-4dd8-83fd-92ce4f55dec6
대한민국 한국해양과학기술원 · 독도의 지명
https://www.dokdo.re.kr/home/cms/cmsCont.do?cntnts_sn=65</ns0:t>
        </ns0:is>
      </ns0:c>
    </ns0:row>
    <ns0:row r="185" ht="98" customHeight="1">
      <ns0:c r="A185" s="12" t="n">
        <ns0:v>920184</ns0:v>
      </ns0:c>
      <ns0:c r="B185" s="12" t="inlineStr">
        <ns0:is>
          <ns0:t>천장굴을 설명하는 그림을 고른다면 어느 특징이 있어야 하나요?</ns0:t>
        </ns0:is>
      </ns0:c>
      <ns0:c r="C185" s="12" t="n">
        <ns0:v>1</ns0:v>
      </ns0:c>
      <ns0:c r="D185" s="12" t="inlineStr"/>
      <ns0:c r="E185" s="12" t="inlineStr">
        <ns0:is>
          <ns0:t>천장굴 확인 기준: 동도 중앙 / 우물 모양 / 깊게 패인 함몰 공간. 실제 측량 도면이 아니라 특징을 설명할 그림을 고르는 문제예요.</ns0:t>
        </ns0:is>
      </ns0:c>
      <ns0:c r="F185" s="12" t="inlineStr"/>
      <ns0:c r="G185" s="12" t="inlineStr">
        <ns0:is>
          <ns0:t>cave: 동도 중앙의 우물 모양 함몰 지형
names: 천장굴·독립문바위·숫돌바위·가제바위·탕건봉의 지명 유래; 지도용 정확한 좌표로 사용하지 않음</ns0:t>
        </ns0:is>
      </ns0:c>
      <ns0:c r="H185" s="12" t="inlineStr">
        <ns0:is>
          <ns0:t>대한민국 한국관광공사 · 천장굴
https://korean.visitkorea.or.kr/detail/ms_detail.do?cotid=21978541-1e2d-4dd8-83fd-92ce4f55dec6
대한민국 한국해양과학기술원 · 독도의 지명
https://www.dokdo.re.kr/home/cms/cmsCont.do?cntnts_sn=65</ns0:t>
        </ns0:is>
      </ns0:c>
    </ns0:row>
    <ns0:row r="186" ht="158" customHeight="1">
      <ns0:c r="A186" s="10" t="n">
        <ns0:v>920185</ns0:v>
      </ns0:c>
      <ns0:c r="B186" s="10" t="inlineStr">
        <ns0:is>
          <ns0:t>문처럼 뚫린 아치 모양으로 이름 붙은 독도의 바위는 무엇인가요?</ns0:t>
        </ns0:is>
      </ns0:c>
      <ns0:c r="C186" s="10" t="n">
        <ns0:v>0</ns0:v>
      </ns0:c>
      <ns0:c r="D186" s="10" t="inlineStr"/>
      <ns0:c r="E186" s="10" t="inlineStr"/>
      <ns0:c r="F186" s="10" t="inlineStr"/>
      <ns0:c r="G186" s="10" t="inlineStr">
        <ns0:is>
          <ns0:t>arch: 동도 해식아치의 형태와 형성
names: 천장굴·독립문바위·숫돌바위·가제바위·탕건봉의 지명 유래; 지도용 정확한 좌표로 사용하지 않음
geology: 해저 화산의 형성 / 해안 침식 지형 / 물골 / 지형 변화</ns0:t>
        </ns0:is>
      </ns0:c>
      <ns0:c r="H186" s="10" t="inlineStr">
        <ns0:is>
          <ns0:t>대한민국 한국관광공사 · 독립문바위
https://korean.visitkorea.or.kr/detail/ms_detail.do?cotid=0fe4eeb6-3f6a-48b1-ab75-c8d4ab6b43be
대한민국 한국해양과학기술원 · 독도의 지명
https://www.dokdo.re.kr/home/cms/cmsCont.do?cntnts_sn=65
대한민국 한국해양과학기술원 · 독도 지형 및 지질
https://www.dokdo.re.kr/home/cms/cmsCont.do?cntnts_sn=66</ns0:t>
        </ns0:is>
      </ns0:c>
    </ns0:row>
    <ns0:row r="187" ht="158" customHeight="1">
      <ns0:c r="A187" s="12" t="n">
        <ns0:v>920186</ns0:v>
      </ns0:c>
      <ns0:c r="B187" s="12" t="inlineStr">
        <ns0:is>
          <ns0:t>독립문바위는 어느 큰 섬의 해안에 있나요?</ns0:t>
        </ns0:is>
      </ns0:c>
      <ns0:c r="C187" s="12" t="n">
        <ns0:v>0</ns0:v>
      </ns0:c>
      <ns0:c r="D187" s="12" t="inlineStr"/>
      <ns0:c r="E187" s="12" t="inlineStr"/>
      <ns0:c r="F187" s="12" t="inlineStr"/>
      <ns0:c r="G187" s="12" t="inlineStr">
        <ns0:is>
          <ns0:t>arch: 동도 해식아치의 형태와 형성
names: 천장굴·독립문바위·숫돌바위·가제바위·탕건봉의 지명 유래; 지도용 정확한 좌표로 사용하지 않음
geology: 해저 화산의 형성 / 해안 침식 지형 / 물골 / 지형 변화</ns0:t>
        </ns0:is>
      </ns0:c>
      <ns0:c r="H187" s="12" t="inlineStr">
        <ns0:is>
          <ns0:t>대한민국 한국관광공사 · 독립문바위
https://korean.visitkorea.or.kr/detail/ms_detail.do?cotid=0fe4eeb6-3f6a-48b1-ab75-c8d4ab6b43be
대한민국 한국해양과학기술원 · 독도의 지명
https://www.dokdo.re.kr/home/cms/cmsCont.do?cntnts_sn=65
대한민국 한국해양과학기술원 · 독도 지형 및 지질
https://www.dokdo.re.kr/home/cms/cmsCont.do?cntnts_sn=66</ns0:t>
        </ns0:is>
      </ns0:c>
    </ns0:row>
    <ns0:row r="188" ht="158" customHeight="1">
      <ns0:c r="A188" s="10" t="n">
        <ns0:v>920187</ns0:v>
      </ns0:c>
      <ns0:c r="B188" s="10" t="inlineStr">
        <ns0:is>
          <ns0:t>독립문바위의 지형 종류는 무엇인가요?</ns0:t>
        </ns0:is>
      </ns0:c>
      <ns0:c r="C188" s="10" t="n">
        <ns0:v>1</ns0:v>
      </ns0:c>
      <ns0:c r="D188" s="10" t="inlineStr"/>
      <ns0:c r="E188" s="10" t="inlineStr">
        <ns0:is>
          <ns0:t>독립문바위 설명: 해안 암석이 파도에 깎이면서 구멍이 생기고, 그 위에 바위가 남아 문 같은 아치를 이루었다.</ns0:t>
        </ns0:is>
      </ns0:c>
      <ns0:c r="F188" s="10" t="inlineStr"/>
      <ns0:c r="G188" s="10" t="inlineStr">
        <ns0:is>
          <ns0:t>arch: 동도 해식아치의 형태와 형성
names: 천장굴·독립문바위·숫돌바위·가제바위·탕건봉의 지명 유래; 지도용 정확한 좌표로 사용하지 않음
geology: 해저 화산의 형성 / 해안 침식 지형 / 물골 / 지형 변화</ns0:t>
        </ns0:is>
      </ns0:c>
      <ns0:c r="H188" s="10" t="inlineStr">
        <ns0:is>
          <ns0:t>대한민국 한국관광공사 · 독립문바위
https://korean.visitkorea.or.kr/detail/ms_detail.do?cotid=0fe4eeb6-3f6a-48b1-ab75-c8d4ab6b43be
대한민국 한국해양과학기술원 · 독도의 지명
https://www.dokdo.re.kr/home/cms/cmsCont.do?cntnts_sn=65
대한민국 한국해양과학기술원 · 독도 지형 및 지질
https://www.dokdo.re.kr/home/cms/cmsCont.do?cntnts_sn=66</ns0:t>
        </ns0:is>
      </ns0:c>
    </ns0:row>
    <ns0:row r="189" ht="158" customHeight="1">
      <ns0:c r="A189" s="12" t="n">
        <ns0:v>920188</ns0:v>
      </ns0:c>
      <ns0:c r="B189" s="12" t="inlineStr">
        <ns0:is>
          <ns0:t>독립문바위와 천장굴을 바르게 구별한 것은 무엇인가요?</ns0:t>
        </ns0:is>
      </ns0:c>
      <ns0:c r="C189" s="12" t="n">
        <ns0:v>1</ns0:v>
      </ns0:c>
      <ns0:c r="D189" s="12" t="inlineStr"/>
      <ns0:c r="E189" s="12" t="inlineStr">
        <ns0:is>
          <ns0:t>동도 지형 비교: 독립문바위 — 문처럼 뚫린 해식아치 / 천장굴 — 중앙의 우물 모양 함몰 지형.</ns0:t>
        </ns0:is>
      </ns0:c>
      <ns0:c r="F189" s="12" t="inlineStr"/>
      <ns0:c r="G189" s="12" t="inlineStr">
        <ns0:is>
          <ns0:t>arch: 동도 해식아치의 형태와 형성
names: 천장굴·독립문바위·숫돌바위·가제바위·탕건봉의 지명 유래; 지도용 정확한 좌표로 사용하지 않음
geology: 해저 화산의 형성 / 해안 침식 지형 / 물골 / 지형 변화</ns0:t>
        </ns0:is>
      </ns0:c>
      <ns0:c r="H189" s="12" t="inlineStr">
        <ns0:is>
          <ns0:t>대한민국 한국관광공사 · 독립문바위
https://korean.visitkorea.or.kr/detail/ms_detail.do?cotid=0fe4eeb6-3f6a-48b1-ab75-c8d4ab6b43be
대한민국 한국해양과학기술원 · 독도의 지명
https://www.dokdo.re.kr/home/cms/cmsCont.do?cntnts_sn=65
대한민국 한국해양과학기술원 · 독도 지형 및 지질
https://www.dokdo.re.kr/home/cms/cmsCont.do?cntnts_sn=66</ns0:t>
        </ns0:is>
      </ns0:c>
    </ns0:row>
    <ns0:row r="190" ht="98" customHeight="1">
      <ns0:c r="A190" s="10" t="n">
        <ns0:v>920189</ns0:v>
      </ns0:c>
      <ns0:c r="B190" s="10" t="inlineStr">
        <ns0:is>
          <ns0:t>독도의 숫돌바위는 어느 시설 부근에 있나요?</ns0:t>
        </ns0:is>
      </ns0:c>
      <ns0:c r="C190" s="10" t="n">
        <ns0:v>0</ns0:v>
      </ns0:c>
      <ns0:c r="D190" s="10" t="inlineStr"/>
      <ns0:c r="E190" s="10" t="inlineStr"/>
      <ns0:c r="F190" s="10" t="inlineStr"/>
      <ns0:c r="G190" s="10" t="inlineStr">
        <ns0:is>
          <ns0:t>sutdol: 동도 선착장 근처 / 숫돌과 비슷한 암질 / 수평 주상절리
names: 천장굴·독립문바위·숫돌바위·가제바위·탕건봉의 지명 유래; 지도용 정확한 좌표로 사용하지 않음</ns0:t>
        </ns0:is>
      </ns0:c>
      <ns0:c r="H190" s="10" t="inlineStr">
        <ns0:is>
          <ns0:t>대한민국 한국관광공사 · 숫돌바위
https://korean.visitkorea.or.kr/detail/ms_detail.do?cotid=603167d6-1056-43c1-8a3d-c8640dd25938
대한민국 한국해양과학기술원 · 독도의 지명
https://www.dokdo.re.kr/home/cms/cmsCont.do?cntnts_sn=65</ns0:t>
        </ns0:is>
      </ns0:c>
    </ns0:row>
    <ns0:row r="191" ht="98" customHeight="1">
      <ns0:c r="A191" s="12" t="n">
        <ns0:v>920190</ns0:v>
      </ns0:c>
      <ns0:c r="B191" s="12" t="inlineStr">
        <ns0:is>
          <ns0:t>‘숫돌바위’의 이름과 관련된 물건은 무엇인가요?</ns0:t>
        </ns0:is>
      </ns0:c>
      <ns0:c r="C191" s="12" t="n">
        <ns0:v>0</ns0:v>
      </ns0:c>
      <ns0:c r="D191" s="12" t="inlineStr"/>
      <ns0:c r="E191" s="12" t="inlineStr"/>
      <ns0:c r="F191" s="12" t="inlineStr"/>
      <ns0:c r="G191" s="12" t="inlineStr">
        <ns0:is>
          <ns0:t>sutdol: 동도 선착장 근처 / 숫돌과 비슷한 암질 / 수평 주상절리
names: 천장굴·독립문바위·숫돌바위·가제바위·탕건봉의 지명 유래; 지도용 정확한 좌표로 사용하지 않음</ns0:t>
        </ns0:is>
      </ns0:c>
      <ns0:c r="H191" s="12" t="inlineStr">
        <ns0:is>
          <ns0:t>대한민국 한국관광공사 · 숫돌바위
https://korean.visitkorea.or.kr/detail/ms_detail.do?cotid=603167d6-1056-43c1-8a3d-c8640dd25938
대한민국 한국해양과학기술원 · 독도의 지명
https://www.dokdo.re.kr/home/cms/cmsCont.do?cntnts_sn=65</ns0:t>
        </ns0:is>
      </ns0:c>
    </ns0:row>
    <ns0:row r="192" ht="98" customHeight="1">
      <ns0:c r="A192" s="10" t="n">
        <ns0:v>920191</ns0:v>
      </ns0:c>
      <ns0:c r="B192" s="10" t="inlineStr">
        <ns0:is>
          <ns0:t>숫돌바위에서 소개되는 주상절리의 방향은 어느 쪽인가요?</ns0:t>
        </ns0:is>
      </ns0:c>
      <ns0:c r="C192" s="10" t="n">
        <ns0:v>1</ns0:v>
      </ns0:c>
      <ns0:c r="D192" s="10" t="inlineStr"/>
      <ns0:c r="E192" s="10" t="inlineStr">
        <ns0:is>
          <ns0:t>숫돌바위 안내: 암질이 숫돌을 닮았고 수평 방향으로 나타나는 주상절리가 특징이다. 주상절리는 암석에 기둥 모양의 틈이 생긴 구조예요.</ns0:t>
        </ns0:is>
      </ns0:c>
      <ns0:c r="F192" s="10" t="inlineStr"/>
      <ns0:c r="G192" s="10" t="inlineStr">
        <ns0:is>
          <ns0:t>sutdol: 동도 선착장 근처 / 숫돌과 비슷한 암질 / 수평 주상절리
names: 천장굴·독립문바위·숫돌바위·가제바위·탕건봉의 지명 유래; 지도용 정확한 좌표로 사용하지 않음</ns0:t>
        </ns0:is>
      </ns0:c>
      <ns0:c r="H192" s="10" t="inlineStr">
        <ns0:is>
          <ns0:t>대한민국 한국관광공사 · 숫돌바위
https://korean.visitkorea.or.kr/detail/ms_detail.do?cotid=603167d6-1056-43c1-8a3d-c8640dd25938
대한민국 한국해양과학기술원 · 독도의 지명
https://www.dokdo.re.kr/home/cms/cmsCont.do?cntnts_sn=65</ns0:t>
        </ns0:is>
      </ns0:c>
    </ns0:row>
    <ns0:row r="193" ht="98" customHeight="1">
      <ns0:c r="A193" s="12" t="n">
        <ns0:v>920192</ns0:v>
      </ns0:c>
      <ns0:c r="B193" s="12" t="inlineStr">
        <ns0:is>
          <ns0:t>숫돌바위를 알아보는 데 맞는 설명 묶음은 무엇인가요?</ns0:t>
        </ns0:is>
      </ns0:c>
      <ns0:c r="C193" s="12" t="n">
        <ns0:v>1</ns0:v>
      </ns0:c>
      <ns0:c r="D193" s="12" t="inlineStr"/>
      <ns0:c r="E193" s="12" t="inlineStr">
        <ns0:is>
          <ns0:t>숫돌바위는 동도 선착장 가까이에 있다. 이름은 숫돌과 비슷한 암질에서 설명되며, 수평 주상절리가 나타난다.</ns0:t>
        </ns0:is>
      </ns0:c>
      <ns0:c r="F193" s="12" t="inlineStr"/>
      <ns0:c r="G193" s="12" t="inlineStr">
        <ns0:is>
          <ns0:t>sutdol: 동도 선착장 근처 / 숫돌과 비슷한 암질 / 수평 주상절리
names: 천장굴·독립문바위·숫돌바위·가제바위·탕건봉의 지명 유래; 지도용 정확한 좌표로 사용하지 않음</ns0:t>
        </ns0:is>
      </ns0:c>
      <ns0:c r="H193" s="12" t="inlineStr">
        <ns0:is>
          <ns0:t>대한민국 한국관광공사 · 숫돌바위
https://korean.visitkorea.or.kr/detail/ms_detail.do?cotid=603167d6-1056-43c1-8a3d-c8640dd25938
대한민국 한국해양과학기술원 · 독도의 지명
https://www.dokdo.re.kr/home/cms/cmsCont.do?cntnts_sn=65</ns0:t>
        </ns0:is>
      </ns0:c>
    </ns0:row>
    <ns0:row r="194" ht="53" customHeight="1">
      <ns0:c r="A194" s="10" t="n">
        <ns0:v>920193</ns0:v>
      </ns0:c>
      <ns0:c r="B194" s="10" t="inlineStr">
        <ns0:is>
          <ns0:t>독도 ‘가제바위’의 가제는 어떤 동물의 옛 이름인가요?</ns0:t>
        </ns0:is>
      </ns0:c>
      <ns0:c r="C194" s="10" t="n">
        <ns0:v>0</ns0:v>
      </ns0:c>
      <ns0:c r="D194" s="10" t="inlineStr"/>
      <ns0:c r="E194" s="10" t="inlineStr"/>
      <ns0:c r="F194" s="10" t="inlineStr"/>
      <ns0:c r="G194" s="10" t="inlineStr">
        <ns0:is>
          <ns0:t>names: 천장굴·독립문바위·숫돌바위·가제바위·탕건봉의 지명 유래; 지도용 정확한 좌표로 사용하지 않음</ns0:t>
        </ns0:is>
      </ns0:c>
      <ns0:c r="H194" s="10" t="inlineStr">
        <ns0:is>
          <ns0:t>대한민국 한국해양과학기술원 · 독도의 지명
https://www.dokdo.re.kr/home/cms/cmsCont.do?cntnts_sn=65</ns0:t>
        </ns0:is>
      </ns0:c>
    </ns0:row>
    <ns0:row r="195" ht="53" customHeight="1">
      <ns0:c r="A195" s="12" t="n">
        <ns0:v>920194</ns0:v>
      </ns0:c>
      <ns0:c r="B195" s="12" t="inlineStr">
        <ns0:is>
          <ns0:t>가제바위의 이름에 남아 있는 독도의 역사는 무엇인가요?</ns0:t>
        </ns0:is>
      </ns0:c>
      <ns0:c r="C195" s="12" t="n">
        <ns0:v>0</ns0:v>
      </ns0:c>
      <ns0:c r="D195" s="12" t="inlineStr"/>
      <ns0:c r="E195" s="12" t="inlineStr"/>
      <ns0:c r="F195" s="12" t="inlineStr"/>
      <ns0:c r="G195" s="12" t="inlineStr">
        <ns0:is>
          <ns0:t>names: 천장굴·독립문바위·숫돌바위·가제바위·탕건봉의 지명 유래; 지도용 정확한 좌표로 사용하지 않음</ns0:t>
        </ns0:is>
      </ns0:c>
      <ns0:c r="H195" s="12" t="inlineStr">
        <ns0:is>
          <ns0:t>대한민국 한국해양과학기술원 · 독도의 지명
https://www.dokdo.re.kr/home/cms/cmsCont.do?cntnts_sn=65</ns0:t>
        </ns0:is>
      </ns0:c>
    </ns0:row>
    <ns0:row r="196" ht="53" customHeight="1">
      <ns0:c r="A196" s="10" t="n">
        <ns0:v>920195</ns0:v>
      </ns0:c>
      <ns0:c r="B196" s="10" t="inlineStr">
        <ns0:is>
          <ns0:t>‘가제는 강치의 옛 이름’이라는 풀이로 연결할 수 있는 지명은 무엇인가요?</ns0:t>
        </ns0:is>
      </ns0:c>
      <ns0:c r="C196" s="10" t="n">
        <ns0:v>1</ns0:v>
      </ns0:c>
      <ns0:c r="D196" s="10" t="inlineStr"/>
      <ns0:c r="E196" s="10" t="inlineStr">
        <ns0:is>
          <ns0:t>지명 풀이: 가제 — 강치를 부르던 옛말 / 탕건 — 머리에 쓰던 관모 / 숫돌 — 날을 가는 돌.</ns0:t>
        </ns0:is>
      </ns0:c>
      <ns0:c r="F196" s="10" t="inlineStr"/>
      <ns0:c r="G196" s="10" t="inlineStr">
        <ns0:is>
          <ns0:t>names: 천장굴·독립문바위·숫돌바위·가제바위·탕건봉의 지명 유래; 지도용 정확한 좌표로 사용하지 않음</ns0:t>
        </ns0:is>
      </ns0:c>
      <ns0:c r="H196" s="10" t="inlineStr">
        <ns0:is>
          <ns0:t>대한민국 한국해양과학기술원 · 독도의 지명
https://www.dokdo.re.kr/home/cms/cmsCont.do?cntnts_sn=65</ns0:t>
        </ns0:is>
      </ns0:c>
    </ns0:row>
    <ns0:row r="197" ht="53" customHeight="1">
      <ns0:c r="A197" s="12" t="n">
        <ns0:v>920196</ns0:v>
      </ns0:c>
      <ns0:c r="B197" s="12" t="inlineStr">
        <ns0:is>
          <ns0:t>가제바위 이름만으로 현재 강치 수를 알 수 없는 이유는 무엇인가요?</ns0:t>
        </ns0:is>
      </ns0:c>
      <ns0:c r="C197" s="12" t="n">
        <ns0:v>1</ns0:v>
      </ns0:c>
      <ns0:c r="D197" s="12" t="inlineStr"/>
      <ns0:c r="E197" s="12" t="inlineStr">
        <ns0:is>
          <ns0:t>가제바위는 강치의 옛 이름을 간직한 지명이에요. 강치는 멸종한 동물이며, 게임 속 방문 연출은 실제 동물의 관측과 구분해요.</ns0:t>
        </ns0:is>
      </ns0:c>
      <ns0:c r="F197" s="12" t="inlineStr"/>
      <ns0:c r="G197" s="12" t="inlineStr">
        <ns0:is>
          <ns0:t>names: 천장굴·독립문바위·숫돌바위·가제바위·탕건봉의 지명 유래; 지도용 정확한 좌표로 사용하지 않음</ns0:t>
        </ns0:is>
      </ns0:c>
      <ns0:c r="H197" s="12" t="inlineStr">
        <ns0:is>
          <ns0:t>대한민국 한국해양과학기술원 · 독도의 지명
https://www.dokdo.re.kr/home/cms/cmsCont.do?cntnts_sn=65</ns0:t>
        </ns0:is>
      </ns0:c>
    </ns0:row>
    <ns0:row r="198" ht="53" customHeight="1">
      <ns0:c r="A198" s="10" t="n">
        <ns0:v>920197</ns0:v>
      </ns0:c>
      <ns0:c r="B198" s="10" t="inlineStr">
        <ns0:is>
          <ns0:t>독도의 탕건봉은 어느 큰 섬에 있나요?</ns0:t>
        </ns0:is>
      </ns0:c>
      <ns0:c r="C198" s="10" t="n">
        <ns0:v>0</ns0:v>
      </ns0:c>
      <ns0:c r="D198" s="10" t="inlineStr"/>
      <ns0:c r="E198" s="10" t="inlineStr"/>
      <ns0:c r="F198" s="10" t="inlineStr"/>
      <ns0:c r="G198" s="10" t="inlineStr">
        <ns0:is>
          <ns0:t>names: 천장굴·독립문바위·숫돌바위·가제바위·탕건봉의 지명 유래; 지도용 정확한 좌표로 사용하지 않음</ns0:t>
        </ns0:is>
      </ns0:c>
      <ns0:c r="H198" s="10" t="inlineStr">
        <ns0:is>
          <ns0:t>대한민국 한국해양과학기술원 · 독도의 지명
https://www.dokdo.re.kr/home/cms/cmsCont.do?cntnts_sn=65</ns0:t>
        </ns0:is>
      </ns0:c>
    </ns0:row>
    <ns0:row r="199" ht="53" customHeight="1">
      <ns0:c r="A199" s="12" t="n">
        <ns0:v>920198</ns0:v>
      </ns0:c>
      <ns0:c r="B199" s="12" t="inlineStr">
        <ns0:is>
          <ns0:t>‘탕건봉’의 이름과 관련된 모양은 무엇인가요?</ns0:t>
        </ns0:is>
      </ns0:c>
      <ns0:c r="C199" s="12" t="n">
        <ns0:v>0</ns0:v>
      </ns0:c>
      <ns0:c r="D199" s="12" t="inlineStr"/>
      <ns0:c r="E199" s="12" t="inlineStr"/>
      <ns0:c r="F199" s="12" t="inlineStr"/>
      <ns0:c r="G199" s="12" t="inlineStr">
        <ns0:is>
          <ns0:t>names: 천장굴·독립문바위·숫돌바위·가제바위·탕건봉의 지명 유래; 지도용 정확한 좌표로 사용하지 않음</ns0:t>
        </ns0:is>
      </ns0:c>
      <ns0:c r="H199" s="12" t="inlineStr">
        <ns0:is>
          <ns0:t>대한민국 한국해양과학기술원 · 독도의 지명
https://www.dokdo.re.kr/home/cms/cmsCont.do?cntnts_sn=65</ns0:t>
        </ns0:is>
      </ns0:c>
    </ns0:row>
    <ns0:row r="200" ht="53" customHeight="1">
      <ns0:c r="A200" s="10" t="n">
        <ns0:v>920199</ns0:v>
      </ns0:c>
      <ns0:c r="B200" s="10" t="inlineStr">
        <ns0:is>
          <ns0:t>지명 유래표에서 탕건 모양에 해당하는 독도 지명은 무엇인가요?</ns0:t>
        </ns0:is>
      </ns0:c>
      <ns0:c r="C200" s="10" t="n">
        <ns0:v>1</ns0:v>
      </ns0:c>
      <ns0:c r="D200" s="10" t="inlineStr"/>
      <ns0:c r="E200" s="10" t="inlineStr">
        <ns0:is>
          <ns0:t>지명과 유래: 탕건봉 — 탕건을 닮은 모양 / 가제바위 — 강치의 옛말 / 숫돌바위 — 숫돌을 닮은 암질.</ns0:t>
        </ns0:is>
      </ns0:c>
      <ns0:c r="F200" s="10" t="inlineStr"/>
      <ns0:c r="G200" s="10" t="inlineStr">
        <ns0:is>
          <ns0:t>names: 천장굴·독립문바위·숫돌바위·가제바위·탕건봉의 지명 유래; 지도용 정확한 좌표로 사용하지 않음</ns0:t>
        </ns0:is>
      </ns0:c>
      <ns0:c r="H200" s="10" t="inlineStr">
        <ns0:is>
          <ns0:t>대한민국 한국해양과학기술원 · 독도의 지명
https://www.dokdo.re.kr/home/cms/cmsCont.do?cntnts_sn=65</ns0:t>
        </ns0:is>
      </ns0:c>
    </ns0:row>
    <ns0:row r="201" ht="53" customHeight="1">
      <ns0:c r="A201" s="12" t="n">
        <ns0:v>920200</ns0:v>
      </ns0:c>
      <ns0:c r="B201" s="12" t="inlineStr">
        <ns0:is>
          <ns0:t>독도 바위 이름의 유래를 ‘모양’과 ‘동물’로 나누면 어떤 짝이 맞나요?</ns0:t>
        </ns0:is>
      </ns0:c>
      <ns0:c r="C201" s="12" t="n">
        <ns0:v>1</ns0:v>
      </ns0:c>
      <ns0:c r="D201" s="12" t="inlineStr"/>
      <ns0:c r="E201" s="12" t="inlineStr">
        <ns0:is>
          <ns0:t>탕건은 전통 머리쓰개이고 가제는 강치의 옛말이에요. 독도 지명 안내는 이 뜻을 탕건봉·가제바위의 유래와 연결해요.</ns0:t>
        </ns0:is>
      </ns0:c>
      <ns0:c r="F201" s="12" t="inlineStr"/>
      <ns0:c r="G201" s="12" t="inlineStr">
        <ns0:is>
          <ns0:t>names: 천장굴·독립문바위·숫돌바위·가제바위·탕건봉의 지명 유래; 지도용 정확한 좌표로 사용하지 않음</ns0:t>
        </ns0:is>
      </ns0:c>
      <ns0:c r="H201" s="12" t="inlineStr">
        <ns0:is>
          <ns0:t>대한민국 한국해양과학기술원 · 독도의 지명
https://www.dokdo.re.kr/home/cms/cmsCont.do?cntnts_sn=65</ns0:t>
        </ns0:is>
      </ns0:c>
    </ns0:row>
    <ns0:row r="202" ht="98" customHeight="1">
      <ns0:c r="A202" s="10" t="n">
        <ns0:v>920201</ns0:v>
      </ns0:c>
      <ns0:c r="B202" s="10" t="inlineStr">
        <ns0:is>
          <ns0:t>1877년 일본이 울릉도·독도를 일본과 관계없다고 한 문서는 무엇인가요?</ns0:t>
        </ns0:is>
      </ns0:c>
      <ns0:c r="C202" s="10" t="n">
        <ns0:v>0</ns0:v>
      </ns0:c>
      <ns0:c r="D202" s="10" t="inlineStr">
        <ns0:is>
          <ns0:t>태정관은 당시 일본의 최고 행정기관이에요. ‘지령’은 상급 기관이 내리는 업무 지시예요.</ns0:t>
        </ns0:is>
      </ns0:c>
      <ns0:c r="E202" s="10" t="inlineStr"/>
      <ns0:c r="F202" s="10" t="inlineStr">
        <ns0:is>
          <ns0:t>원문은 ‘다케시마 외 1도’예요. 울릉도·독도라는 현대 지명 풀이는 대한민국 외교부가 공개한 역문·첨부 지도 해설을 따랐어요.</ns0:t>
        </ns0:is>
      </ns0:c>
      <ns0:c r="G202" s="10" t="inlineStr">
        <ns0:is>
          <ns0:t>dajokan: 행정 질의·지령, 다케시마 외 일도; 현대 지명 식별은 외교부 해설
dajokan-analysis: 지령 배경, 첨부 지도, 외 1도=독도 해설과 역문</ns0:t>
        </ns0:is>
      </ns0:c>
      <ns0:c r="H202" s="10" t="inlineStr">
        <ns0:is>
          <ns0:t>대한민국 외교부 자료실 · 태정관지령(1877)
https://dokdo.mofa.go.kr/kor/pds/part05_view03.jsp
대한민국 외교부 · 태정관지령과 기죽도약도(1877)
https://dokdo.mofa.go.kr/kor/pds/part06_view09.jsp</ns0:t>
        </ns0:is>
      </ns0:c>
    </ns0:row>
    <ns0:row r="203" ht="98" customHeight="1">
      <ns0:c r="A203" s="12" t="n">
        <ns0:v>920202</ns0:v>
      </ns0:c>
      <ns0:c r="B203" s="12" t="inlineStr">
        <ns0:is>
          <ns0:t>일본 태정관은 1877년 울릉도·독도를 어떻게 판단했나요?</ns0:t>
        </ns0:is>
      </ns0:c>
      <ns0:c r="C203" s="12" t="n">
        <ns0:v>0</ns0:v>
      </ns0:c>
      <ns0:c r="D203" s="12" t="inlineStr"/>
      <ns0:c r="E203" s="12" t="inlineStr"/>
      <ns0:c r="F203" s="12" t="inlineStr">
        <ns0:is>
          <ns0:t>원문은 ‘다케시마 외 1도’예요. 울릉도·독도라는 현대 지명 풀이는 대한민국 외교부가 공개한 역문·첨부 지도 해설을 따랐어요.</ns0:t>
        </ns0:is>
      </ns0:c>
      <ns0:c r="G203" s="12" t="inlineStr">
        <ns0:is>
          <ns0:t>dajokan: 행정 질의·지령, 다케시마 외 일도; 현대 지명 식별은 외교부 해설
dajokan-analysis: 지령 배경, 첨부 지도, 외 1도=독도 해설과 역문</ns0:t>
        </ns0:is>
      </ns0:c>
      <ns0:c r="H203" s="12" t="inlineStr">
        <ns0:is>
          <ns0:t>대한민국 외교부 자료실 · 태정관지령(1877)
https://dokdo.mofa.go.kr/kor/pds/part05_view03.jsp
대한민국 외교부 · 태정관지령과 기죽도약도(1877)
https://dokdo.mofa.go.kr/kor/pds/part06_view09.jsp</ns0:t>
        </ns0:is>
      </ns0:c>
    </ns0:row>
    <ns0:row r="204" ht="98" customHeight="1">
      <ns0:c r="A204" s="10" t="n">
        <ns0:v>920203</ns0:v>
      </ns0:c>
      <ns0:c r="B204" s="10" t="inlineStr">
        <ns0:is>
          <ns0:t>태정관지령 역문의 ‘본방’은 어느 나라를 가리키나요?</ns0:t>
        </ns0:is>
      </ns0:c>
      <ns0:c r="C204" s="10" t="n">
        <ns0:v>1</ns0:v>
      </ns0:c>
      <ns0:c r="D204" s="10" t="inlineStr"/>
      <ns0:c r="E204" s="10" t="inlineStr">
        <ns0:is>
          <ns0:t>문서 작성 주체: 1877년 일본 태정관. 역문에는 두 섬의 건을 ‘본방(일본)과 관계가 없다는 것을 알아둘 것’이라고 풀이해요.</ns0:t>
        </ns0:is>
      </ns0:c>
      <ns0:c r="F204" s="10" t="inlineStr">
        <ns0:is>
          <ns0:t>원문은 ‘다케시마 외 1도’예요. 울릉도·독도라는 현대 지명 풀이는 대한민국 외교부가 공개한 역문·첨부 지도 해설을 따랐어요.</ns0:t>
        </ns0:is>
      </ns0:c>
      <ns0:c r="G204" s="10" t="inlineStr">
        <ns0:is>
          <ns0:t>dajokan: 행정 질의·지령, 다케시마 외 일도; 현대 지명 식별은 외교부 해설
dajokan-analysis: 지령 배경, 첨부 지도, 외 1도=독도 해설과 역문</ns0:t>
        </ns0:is>
      </ns0:c>
      <ns0:c r="H204" s="10" t="inlineStr">
        <ns0:is>
          <ns0:t>대한민국 외교부 자료실 · 태정관지령(1877)
https://dokdo.mofa.go.kr/kor/pds/part05_view03.jsp
대한민국 외교부 · 태정관지령과 기죽도약도(1877)
https://dokdo.mofa.go.kr/kor/pds/part06_view09.jsp</ns0:t>
        </ns0:is>
      </ns0:c>
    </ns0:row>
    <ns0:row r="205" ht="98" customHeight="1">
      <ns0:c r="A205" s="12" t="n">
        <ns0:v>920204</ns0:v>
      </ns0:c>
      <ns0:c r="B205" s="12" t="inlineStr">
        <ns0:is>
          <ns0:t>태정관지령과 첨부 지도를 함께 읽으면 당시 일본 정부의 어떤 판단을 확인할 수 있나요?</ns0:t>
        </ns0:is>
      </ns0:c>
      <ns0:c r="C205" s="12" t="n">
        <ns0:v>1</ns0:v>
      </ns0:c>
      <ns0:c r="D205" s="12" t="inlineStr"/>
      <ns0:c r="E205" s="12" t="inlineStr">
        <ns0:is>
          <ns0:t>지령 요약: 다케시마 외 1도는 일본과 관계없는 것으로 알아둘 것.
첨부 지도 해설: 이 자료의 다케시마는 울릉도, 외 1도는 독도에 해당한다.</ns0:t>
        </ns0:is>
      </ns0:c>
      <ns0:c r="F205" s="12" t="inlineStr">
        <ns0:is>
          <ns0:t>원문은 ‘다케시마 외 1도’예요. 울릉도·독도라는 현대 지명 풀이는 대한민국 외교부가 공개한 역문·첨부 지도 해설을 따랐어요.</ns0:t>
        </ns0:is>
      </ns0:c>
      <ns0:c r="G205" s="12" t="inlineStr">
        <ns0:is>
          <ns0:t>dajokan: 행정 질의·지령, 다케시마 외 일도; 현대 지명 식별은 외교부 해설
dajokan-analysis: 지령 배경, 첨부 지도, 외 1도=독도 해설과 역문</ns0:t>
        </ns0:is>
      </ns0:c>
      <ns0:c r="H205" s="12" t="inlineStr">
        <ns0:is>
          <ns0:t>대한민국 외교부 자료실 · 태정관지령(1877)
https://dokdo.mofa.go.kr/kor/pds/part05_view03.jsp
대한민국 외교부 · 태정관지령과 기죽도약도(1877)
https://dokdo.mofa.go.kr/kor/pds/part06_view09.jsp</ns0:t>
        </ns0:is>
      </ns0:c>
    </ns0:row>
    <ns0:row r="206" ht="98" customHeight="1">
      <ns0:c r="A206" s="10" t="n">
        <ns0:v>920205</ns0:v>
      </ns0:c>
      <ns0:c r="B206" s="10" t="inlineStr">
        <ns0:is>
          <ns0:t>1696년 일본 에도 막부가 일본 어민의 울릉도 도항을 금지한 명령은 무엇인가요?</ns0:t>
        </ns0:is>
      </ns0:c>
      <ns0:c r="C206" s="10" t="n">
        <ns0:v>0</ns0:v>
      </ns0:c>
      <ns0:c r="D206" s="10" t="inlineStr"/>
      <ns0:c r="E206" s="10" t="inlineStr"/>
      <ns0:c r="F206" s="10" t="inlineStr">
        <ns0:is>
          <ns0:t>제시된 금지령의 도항 목적지는 울릉도예요. 독도와 연결되는 역사적 의미와 원문에 명시된 대상을 구분해요.</ns0:t>
        </ns0:is>
      </ns0:c>
      <ns0:c r="G206" s="10" t="inlineStr">
        <ns0:is>
          <ns0:t>ban1696: 1696년 금지령 역문, 다케시마(울릉도)로의 도항 금지
timeline: 1694 수토 / 1696년 1월 금지령·5월 도일 / 1900·1905·1906 순서</ns0:t>
        </ns0:is>
      </ns0:c>
      <ns0:c r="H206" s="10" t="inlineStr">
        <ns0:is>
          <ns0:t>대한민국 외교부 · 울릉도 도해금지령(1696)
https://dokdo.mofa.go.kr/kor/pds/part05_view06.jsp
대한민국 외교부 · 독도 연표
https://dokdo.mofa.go.kr/m/kor/dokdo/reason_list.jsp</ns0:t>
        </ns0:is>
      </ns0:c>
    </ns0:row>
    <ns0:row r="207" ht="98" customHeight="1">
      <ns0:c r="A207" s="12" t="n">
        <ns0:v>920206</ns0:v>
      </ns0:c>
      <ns0:c r="B207" s="12" t="inlineStr">
        <ns0:is>
          <ns0:t>1696년 울릉도 도해금지령에서 금지한 ‘도해’는 무슨 뜻인가요?</ns0:t>
        </ns0:is>
      </ns0:c>
      <ns0:c r="C207" s="12" t="n">
        <ns0:v>0</ns0:v>
      </ns0:c>
      <ns0:c r="D207" s="12" t="inlineStr"/>
      <ns0:c r="E207" s="12" t="inlineStr"/>
      <ns0:c r="F207" s="12" t="inlineStr">
        <ns0:is>
          <ns0:t>제시된 금지령의 도항 목적지는 울릉도예요. 독도와 연결되는 역사적 의미와 원문에 명시된 대상을 구분해요.</ns0:t>
        </ns0:is>
      </ns0:c>
      <ns0:c r="G207" s="12" t="inlineStr">
        <ns0:is>
          <ns0:t>ban1696: 1696년 금지령 역문, 다케시마(울릉도)로의 도항 금지
timeline: 1694 수토 / 1696년 1월 금지령·5월 도일 / 1900·1905·1906 순서</ns0:t>
        </ns0:is>
      </ns0:c>
      <ns0:c r="H207" s="12" t="inlineStr">
        <ns0:is>
          <ns0:t>대한민국 외교부 · 울릉도 도해금지령(1696)
https://dokdo.mofa.go.kr/kor/pds/part05_view06.jsp
대한민국 외교부 · 독도 연표
https://dokdo.mofa.go.kr/m/kor/dokdo/reason_list.jsp</ns0:t>
        </ns0:is>
      </ns0:c>
    </ns0:row>
    <ns0:row r="208" ht="98" customHeight="1">
      <ns0:c r="A208" s="10" t="n">
        <ns0:v>920207</ns0:v>
      </ns0:c>
      <ns0:c r="B208" s="10" t="inlineStr">
        <ns0:is>
          <ns0:t>1696년 금지령에서 ‘다케시마’로 적힌 도항 목적지는 오늘날 어느 섬인가요?</ns0:t>
        </ns0:is>
      </ns0:c>
      <ns0:c r="C208" s="10" t="n">
        <ns0:v>1</ns0:v>
      </ns0:c>
      <ns0:c r="D208" s="10" t="inlineStr"/>
      <ns0:c r="E208" s="10" t="inlineStr">
        <ns0:is>
          <ns0:t>1696년 금지령 역문 요약: 일본 어민이 다케시마(이 기록에서는 울릉도)로 건너가는 일을 앞으로 금지한다.</ns0:t>
        </ns0:is>
      </ns0:c>
      <ns0:c r="F208" s="10" t="inlineStr">
        <ns0:is>
          <ns0:t>제시된 금지령의 도항 목적지는 울릉도예요. 독도와 연결되는 역사적 의미와 원문에 명시된 대상을 구분해요.</ns0:t>
        </ns0:is>
      </ns0:c>
      <ns0:c r="G208" s="10" t="inlineStr">
        <ns0:is>
          <ns0:t>ban1696: 1696년 금지령 역문, 다케시마(울릉도)로의 도항 금지
timeline: 1694 수토 / 1696년 1월 금지령·5월 도일 / 1900·1905·1906 순서</ns0:t>
        </ns0:is>
      </ns0:c>
      <ns0:c r="H208" s="10" t="inlineStr">
        <ns0:is>
          <ns0:t>대한민국 외교부 · 울릉도 도해금지령(1696)
https://dokdo.mofa.go.kr/kor/pds/part05_view06.jsp
대한민국 외교부 · 독도 연표
https://dokdo.mofa.go.kr/m/kor/dokdo/reason_list.jsp</ns0:t>
        </ns0:is>
      </ns0:c>
    </ns0:row>
    <ns0:row r="209" ht="98" customHeight="1">
      <ns0:c r="A209" s="12" t="n">
        <ns0:v>920208</ns0:v>
      </ns0:c>
      <ns0:c r="B209" s="12" t="inlineStr">
        <ns0:is>
          <ns0:t>1696년 명령의 발령 주체·대상·목적지를 바르게 연결한 것은 무엇인가요?</ns0:t>
        </ns0:is>
      </ns0:c>
      <ns0:c r="C209" s="12" t="n">
        <ns0:v>1</ns0:v>
      </ns0:c>
      <ns0:c r="D209" s="12" t="inlineStr"/>
      <ns0:c r="E209" s="12" t="inlineStr">
        <ns0:is>
          <ns0:t>자료 요약: 일본 에도 막부는 일본 어민에게 울릉도로 건너가지 못하도록 지시했다. 시기는 1696년이다.</ns0:t>
        </ns0:is>
      </ns0:c>
      <ns0:c r="F209" s="12" t="inlineStr">
        <ns0:is>
          <ns0:t>제시된 금지령의 도항 목적지는 울릉도예요. 독도와 연결되는 역사적 의미와 원문에 명시된 대상을 구분해요.</ns0:t>
        </ns0:is>
      </ns0:c>
      <ns0:c r="G209" s="12" t="inlineStr">
        <ns0:is>
          <ns0:t>ban1696: 1696년 금지령 역문, 다케시마(울릉도)로의 도항 금지
timeline: 1694 수토 / 1696년 1월 금지령·5월 도일 / 1900·1905·1906 순서</ns0:t>
        </ns0:is>
      </ns0:c>
      <ns0:c r="H209" s="12" t="inlineStr">
        <ns0:is>
          <ns0:t>대한민국 외교부 · 울릉도 도해금지령(1696)
https://dokdo.mofa.go.kr/kor/pds/part05_view06.jsp
대한민국 외교부 · 독도 연표
https://dokdo.mofa.go.kr/m/kor/dokdo/reason_list.jsp</ns0:t>
        </ns0:is>
      </ns0:c>
    </ns0:row>
    <ns0:row r="210" ht="98" customHeight="1">
      <ns0:c r="A210" s="10" t="n">
        <ns0:v>920209</ns0:v>
      </ns0:c>
      <ns0:c r="B210" s="10" t="inlineStr">
        <ns0:is>
          <ns0:t>태정관지령 관련 서류에 첨부된 지도 이름은 무엇인가요?</ns0:t>
        </ns0:is>
      </ns0:c>
      <ns0:c r="C210" s="10" t="n">
        <ns0:v>0</ns0:v>
      </ns0:c>
      <ns0:c r="D210" s="10" t="inlineStr">
        <ns0:is>
          <ns0:t>기죽도약도는 두 섬을 그린 옛 지도 이름이에요. 1877년 태정관지령을 검토한 서류와 함께 소개돼요.</ns0:t>
        </ns0:is>
      </ns0:c>
      <ns0:c r="E210" s="10" t="inlineStr"/>
      <ns0:c r="F210" s="10" t="inlineStr">
        <ns0:is>
          <ns0:t>첨부 지도의 지명 대응과 역사적 의미는 대한민국 외교부 해설을 따랐어요. 지도 제작국만으로 영유권을 판단하는 문제가 아니에요.</ns0:t>
        </ns0:is>
      </ns0:c>
      <ns0:c r="G210" s="10" t="inlineStr">
        <ns0:is>
          <ns0:t>dajokan-analysis: 지령 배경, 첨부 지도, 외 1도=독도 해설과 역문
dajokanmap: 첨부 지도와 문서의 지명 대응</ns0:t>
        </ns0:is>
      </ns0:c>
      <ns0:c r="H210" s="10" t="inlineStr">
        <ns0:is>
          <ns0:t>대한민국 외교부 · 태정관지령과 기죽도약도(1877)
https://dokdo.mofa.go.kr/kor/pds/part06_view09.jsp
대한민국 외교부 · 태정관지령과 기죽도약도
https://dokdo.mofa.go.kr/kor/include/print_faq.jsp?class_faq=q7</ns0:t>
        </ns0:is>
      </ns0:c>
    </ns0:row>
    <ns0:row r="211" ht="98" customHeight="1">
      <ns0:c r="A211" s="12" t="n">
        <ns0:v>920210</ns0:v>
      </ns0:c>
      <ns0:c r="B211" s="12" t="inlineStr">
        <ns0:is>
          <ns0:t>태정관지령의 ‘외 1도’는 현대 지명으로 어느 섬에 해당하나요?</ns0:t>
        </ns0:is>
      </ns0:c>
      <ns0:c r="C211" s="12" t="n">
        <ns0:v>0</ns0:v>
      </ns0:c>
      <ns0:c r="D211" s="12" t="inlineStr"/>
      <ns0:c r="E211" s="12" t="inlineStr"/>
      <ns0:c r="F211" s="12" t="inlineStr">
        <ns0:is>
          <ns0:t>첨부 지도의 지명 대응과 역사적 의미는 대한민국 외교부 해설을 따랐어요. 지도 제작국만으로 영유권을 판단하는 문제가 아니에요.</ns0:t>
        </ns0:is>
      </ns0:c>
      <ns0:c r="G211" s="12" t="inlineStr">
        <ns0:is>
          <ns0:t>dajokan-analysis: 지령 배경, 첨부 지도, 외 1도=독도 해설과 역문
dajokanmap: 첨부 지도와 문서의 지명 대응</ns0:t>
        </ns0:is>
      </ns0:c>
      <ns0:c r="H211" s="12" t="inlineStr">
        <ns0:is>
          <ns0:t>대한민국 외교부 · 태정관지령과 기죽도약도(1877)
https://dokdo.mofa.go.kr/kor/pds/part06_view09.jsp
대한민국 외교부 · 태정관지령과 기죽도약도
https://dokdo.mofa.go.kr/kor/include/print_faq.jsp?class_faq=q7</ns0:t>
        </ns0:is>
      </ns0:c>
    </ns0:row>
    <ns0:row r="212" ht="98" customHeight="1">
      <ns0:c r="A212" s="10" t="n">
        <ns0:v>920211</ns0:v>
      </ns0:c>
      <ns0:c r="B212" s="10" t="inlineStr">
        <ns0:is>
          <ns0:t>첨부 지도 해설에서 울릉도와 독도를 가리키는 옛 이름의 짝은 무엇인가요?</ns0:t>
        </ns0:is>
      </ns0:c>
      <ns0:c r="C212" s="10" t="n">
        <ns0:v>1</ns0:v>
      </ns0:c>
      <ns0:c r="D212" s="10" t="inlineStr"/>
      <ns0:c r="E212" s="10" t="inlineStr">
        <ns0:is>
          <ns0:t>첨부 지도 해설을 정리한 지명표: 다케시마(기죽도) — 울릉도 / 마쓰시마(송도) — 독도. 지도 이미지 판독이 아니라 해설 표를 읽는 문제예요.</ns0:t>
        </ns0:is>
      </ns0:c>
      <ns0:c r="F212" s="10" t="inlineStr">
        <ns0:is>
          <ns0:t>첨부 지도의 지명 대응과 역사적 의미는 대한민국 외교부 해설을 따랐어요. 지도 제작국만으로 영유권을 판단하는 문제가 아니에요.</ns0:t>
        </ns0:is>
      </ns0:c>
      <ns0:c r="G212" s="10" t="inlineStr">
        <ns0:is>
          <ns0:t>dajokan-analysis: 지령 배경, 첨부 지도, 외 1도=독도 해설과 역문
dajokanmap: 첨부 지도와 문서의 지명 대응</ns0:t>
        </ns0:is>
      </ns0:c>
      <ns0:c r="H212" s="10" t="inlineStr">
        <ns0:is>
          <ns0:t>대한민국 외교부 · 태정관지령과 기죽도약도(1877)
https://dokdo.mofa.go.kr/kor/pds/part06_view09.jsp
대한민국 외교부 · 태정관지령과 기죽도약도
https://dokdo.mofa.go.kr/kor/include/print_faq.jsp?class_faq=q7</ns0:t>
        </ns0:is>
      </ns0:c>
    </ns0:row>
    <ns0:row r="213" ht="98" customHeight="1">
      <ns0:c r="A213" s="12" t="n">
        <ns0:v>920212</ns0:v>
      </ns0:c>
      <ns0:c r="B213" s="12" t="inlineStr">
        <ns0:is>
          <ns0:t>기죽도약도가 태정관지령 해석에 중요한 까닭은 무엇인가요?</ns0:t>
        </ns0:is>
      </ns0:c>
      <ns0:c r="C213" s="12" t="n">
        <ns0:v>1</ns0:v>
      </ns0:c>
      <ns0:c r="D213" s="12" t="inlineStr"/>
      <ns0:c r="E213" s="12" t="inlineStr">
        <ns0:is>
          <ns0:t>지령은 ‘다케시마 외 1도’를 일본과 관계없는 것으로 알아두라고 지시해요. 첨부 지도 해설은 다케시마를 울릉도, 그 밖의 섬을 독도로 확인하는 근거를 제시해요.</ns0:t>
        </ns0:is>
      </ns0:c>
      <ns0:c r="F213" s="12" t="inlineStr">
        <ns0:is>
          <ns0:t>첨부 지도의 지명 대응과 역사적 의미는 대한민국 외교부 해설을 따랐어요. 지도 제작국만으로 영유권을 판단하는 문제가 아니에요.</ns0:t>
        </ns0:is>
      </ns0:c>
      <ns0:c r="G213" s="12" t="inlineStr">
        <ns0:is>
          <ns0:t>dajokan-analysis: 지령 배경, 첨부 지도, 외 1도=독도 해설과 역문
dajokanmap: 첨부 지도와 문서의 지명 대응</ns0:t>
        </ns0:is>
      </ns0:c>
      <ns0:c r="H213" s="12" t="inlineStr">
        <ns0:is>
          <ns0:t>대한민국 외교부 · 태정관지령과 기죽도약도(1877)
https://dokdo.mofa.go.kr/kor/pds/part06_view09.jsp
대한민국 외교부 · 태정관지령과 기죽도약도
https://dokdo.mofa.go.kr/kor/include/print_faq.jsp?class_faq=q7</ns0:t>
        </ns0:is>
      </ns0:c>
    </ns0:row>
    <ns0:row r="214" ht="160" customHeight="1">
      <ns0:c r="A214" s="10" t="n">
        <ns0:v>920213</ns0:v>
      </ns0:c>
      <ns0:c r="B214" s="10" t="inlineStr">
        <ns0:is>
          <ns0:t>심흥택이 현지 상황을 상부에 알린 자료의 종류는 무엇인가요?</ns0:t>
        </ns0:is>
      </ns0:c>
      <ns0:c r="C214" s="10" t="n">
        <ns0:v>0</ns0:v>
      </ns0:c>
      <ns0:c r="D214" s="10" t="inlineStr"/>
      <ns0:c r="E214" s="10" t="inlineStr"/>
      <ns0:c r="F214" s="10" t="inlineStr"/>
      <ns0:c r="G214" s="10" t="inlineStr">
        <ns0:is>
          <ns0:t>sejong: 우산·무릉과 맑은 날의 가시성; 괄호 안 현대 지명은 외교부 해석
decree: 1900.10.25 / 제1조 울도·군수 / 제2조 울릉전도·죽도·석도
shim: 본군 소속 독도 / 일본 관리 발언의 인용 / 보고 전달
order: 일본 주장 부인과 형편·행동 재조사 지시
dajokan-analysis: 지령 배경, 첨부 지도, 외 1도=독도 해설과 역문</ns0:t>
        </ns0:is>
      </ns0:c>
      <ns0:c r="H214" s="10" t="inlineStr">
        <ns0:is>
          <ns0:t>대한민국 외교부 자료실 · 세종실록 지리지(1454)
https://dokdo.mofa.go.kr/kor/pds/part06_view02.jsp
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
대한민국 외교부 · 태정관지령과 기죽도약도(1877)
https://dokdo.mofa.go.kr/kor/pds/part06_view09.jsp</ns0:t>
        </ns0:is>
      </ns0:c>
    </ns0:row>
    <ns0:row r="215" ht="160" customHeight="1">
      <ns0:c r="A215" s="12" t="n">
        <ns0:v>920214</ns0:v>
      </ns0:c>
      <ns0:c r="B215" s="12" t="inlineStr">
        <ns0:is>
          <ns0:t>독도와 관련된 행정 구역을 정하는 ‘칙령’은 어떤 자료인가요?</ns0:t>
        </ns0:is>
      </ns0:c>
      <ns0:c r="C215" s="12" t="n">
        <ns0:v>0</ns0:v>
      </ns0:c>
      <ns0:c r="D215" s="12" t="inlineStr"/>
      <ns0:c r="E215" s="12" t="inlineStr"/>
      <ns0:c r="F215" s="12" t="inlineStr"/>
      <ns0:c r="G215" s="12" t="inlineStr">
        <ns0:is>
          <ns0:t>sejong: 우산·무릉과 맑은 날의 가시성; 괄호 안 현대 지명은 외교부 해석
decree: 1900.10.25 / 제1조 울도·군수 / 제2조 울릉전도·죽도·석도
shim: 본군 소속 독도 / 일본 관리 발언의 인용 / 보고 전달
order: 일본 주장 부인과 형편·행동 재조사 지시
dajokan-analysis: 지령 배경, 첨부 지도, 외 1도=독도 해설과 역문</ns0:t>
        </ns0:is>
      </ns0:c>
      <ns0:c r="H215" s="12" t="inlineStr">
        <ns0:is>
          <ns0:t>대한민국 외교부 자료실 · 세종실록 지리지(1454)
https://dokdo.mofa.go.kr/kor/pds/part06_view02.jsp
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
대한민국 외교부 · 태정관지령과 기죽도약도(1877)
https://dokdo.mofa.go.kr/kor/pds/part06_view09.jsp</ns0:t>
        </ns0:is>
      </ns0:c>
    </ns0:row>
    <ns0:row r="216" ht="160" customHeight="1">
      <ns0:c r="A216" s="10" t="n">
        <ns0:v>920215</ns0:v>
      </ns0:c>
      <ns0:c r="B216" s="10" t="inlineStr">
        <ns0:is>
          <ns0:t>문서 종류가 ‘명령문’인 자료끼리 묶인 것은 무엇인가요?</ns0:t>
        </ns0:is>
      </ns0:c>
      <ns0:c r="C216" s="10" t="n">
        <ns0:v>1</ns0:v>
      </ns0:c>
      <ns0:c r="D216" s="10" t="inlineStr"/>
      <ns0:c r="E216" s="10" t="inlineStr">
        <ns0:is>
          <ns0:t>자료 종류: 칙령 — 황제의 명령 / 지령 — 기관의 지시 / 보고서 — 상황 전달 / 지도 — 공간 표현.</ns0:t>
        </ns0:is>
      </ns0:c>
      <ns0:c r="F216" s="10" t="inlineStr"/>
      <ns0:c r="G216" s="10" t="inlineStr">
        <ns0:is>
          <ns0:t>sejong: 우산·무릉과 맑은 날의 가시성; 괄호 안 현대 지명은 외교부 해석
decree: 1900.10.25 / 제1조 울도·군수 / 제2조 울릉전도·죽도·석도
shim: 본군 소속 독도 / 일본 관리 발언의 인용 / 보고 전달
order: 일본 주장 부인과 형편·행동 재조사 지시
dajokan-analysis: 지령 배경, 첨부 지도, 외 1도=독도 해설과 역문</ns0:t>
        </ns0:is>
      </ns0:c>
      <ns0:c r="H216" s="10" t="inlineStr">
        <ns0:is>
          <ns0:t>대한민국 외교부 자료실 · 세종실록 지리지(1454)
https://dokdo.mofa.go.kr/kor/pds/part06_view02.jsp
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
대한민국 외교부 · 태정관지령과 기죽도약도(1877)
https://dokdo.mofa.go.kr/kor/pds/part06_view09.jsp</ns0:t>
        </ns0:is>
      </ns0:c>
    </ns0:row>
    <ns0:row r="217" ht="160" customHeight="1">
      <ns0:c r="A217" s="12" t="n">
        <ns0:v>920216</ns0:v>
      </ns0:c>
      <ns0:c r="B217" s="12" t="inlineStr">
        <ns0:is>
          <ns0:t>칙령과 현지 보고를 함께 보면 각각 무엇을 확인할 수 있나요?</ns0:t>
        </ns0:is>
      </ns0:c>
      <ns0:c r="C217" s="12" t="n">
        <ns0:v>1</ns0:v>
      </ns0:c>
      <ns0:c r="D217" s="12" t="inlineStr"/>
      <ns0:c r="E217" s="12" t="inlineStr">
        <ns0:is>
          <ns0:t>비교할 자료: 1900년 칙령 제41호는 울도 행정을 정한다. 1906년 심흥택 보고는 독도 관련 현지 상황을 전한다.</ns0:t>
        </ns0:is>
      </ns0:c>
      <ns0:c r="F217" s="12" t="inlineStr"/>
      <ns0:c r="G217" s="12" t="inlineStr">
        <ns0:is>
          <ns0:t>sejong: 우산·무릉과 맑은 날의 가시성; 괄호 안 현대 지명은 외교부 해석
decree: 1900.10.25 / 제1조 울도·군수 / 제2조 울릉전도·죽도·석도
shim: 본군 소속 독도 / 일본 관리 발언의 인용 / 보고 전달
order: 일본 주장 부인과 형편·행동 재조사 지시
dajokan-analysis: 지령 배경, 첨부 지도, 외 1도=독도 해설과 역문</ns0:t>
        </ns0:is>
      </ns0:c>
      <ns0:c r="H217" s="12" t="inlineStr">
        <ns0:is>
          <ns0:t>대한민국 외교부 자료실 · 세종실록 지리지(1454)
https://dokdo.mofa.go.kr/kor/pds/part06_view02.jsp
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
대한민국 외교부 · 태정관지령과 기죽도약도(1877)
https://dokdo.mofa.go.kr/kor/pds/part06_view09.jsp</ns0:t>
        </ns0:is>
      </ns0:c>
    </ns0:row>
    <ns0:row r="218" ht="143" customHeight="1">
      <ns0:c r="A218" s="10" t="n">
        <ns0:v>920217</ns0:v>
      </ns0:c>
      <ns0:c r="B218" s="10" t="inlineStr">
        <ns0:is>
          <ns0:t>1877년 태정관지령을 내린 일본 기관은 어디인가요?</ns0:t>
        </ns0:is>
      </ns0:c>
      <ns0:c r="C218" s="10" t="n">
        <ns0:v>0</ns0:v>
      </ns0:c>
      <ns0:c r="D218" s="10" t="inlineStr"/>
      <ns0:c r="E218" s="10" t="inlineStr"/>
      <ns0:c r="F218" s="10" t="inlineStr"/>
      <ns0:c r="G218" s="10" t="inlineStr">
        <ns0:is>
          <ns0:t>dajokan: 행정 질의·지령, 다케시마 외 일도; 현대 지명 식별은 외교부 해설
dajokan-analysis: 지령 배경, 첨부 지도, 외 1도=독도 해설과 역문
ban1696: 1696년 금지령 역문, 다케시마(울릉도)로의 도항 금지</ns0:t>
        </ns0:is>
      </ns0:c>
      <ns0:c r="H218" s="10" t="inlineStr">
        <ns0:is>
          <ns0:t>대한민국 외교부 자료실 · 태정관지령(1877)
https://dokdo.mofa.go.kr/kor/pds/part05_view03.jsp
대한민국 외교부 · 태정관지령과 기죽도약도(1877)
https://dokdo.mofa.go.kr/kor/pds/part06_view09.jsp
대한민국 외교부 · 울릉도 도해금지령(1696)
https://dokdo.mofa.go.kr/kor/pds/part05_view06.jsp</ns0:t>
        </ns0:is>
      </ns0:c>
    </ns0:row>
    <ns0:row r="219" ht="143" customHeight="1">
      <ns0:c r="A219" s="12" t="n">
        <ns0:v>920218</ns0:v>
      </ns0:c>
      <ns0:c r="B219" s="12" t="inlineStr">
        <ns0:is>
          <ns0:t>1877년 두 섬의 처리를 태정관에 문의한 일본 기관은 어디인가요?</ns0:t>
        </ns0:is>
      </ns0:c>
      <ns0:c r="C219" s="12" t="n">
        <ns0:v>0</ns0:v>
      </ns0:c>
      <ns0:c r="D219" s="12" t="inlineStr"/>
      <ns0:c r="E219" s="12" t="inlineStr"/>
      <ns0:c r="F219" s="12" t="inlineStr"/>
      <ns0:c r="G219" s="12" t="inlineStr">
        <ns0:is>
          <ns0:t>dajokan: 행정 질의·지령, 다케시마 외 일도; 현대 지명 식별은 외교부 해설
dajokan-analysis: 지령 배경, 첨부 지도, 외 1도=독도 해설과 역문
ban1696: 1696년 금지령 역문, 다케시마(울릉도)로의 도항 금지</ns0:t>
        </ns0:is>
      </ns0:c>
      <ns0:c r="H219" s="12" t="inlineStr">
        <ns0:is>
          <ns0:t>대한민국 외교부 자료실 · 태정관지령(1877)
https://dokdo.mofa.go.kr/kor/pds/part05_view03.jsp
대한민국 외교부 · 태정관지령과 기죽도약도(1877)
https://dokdo.mofa.go.kr/kor/pds/part06_view09.jsp
대한민국 외교부 · 울릉도 도해금지령(1696)
https://dokdo.mofa.go.kr/kor/pds/part05_view06.jsp</ns0:t>
        </ns0:is>
      </ns0:c>
    </ns0:row>
    <ns0:row r="220" ht="143" customHeight="1">
      <ns0:c r="A220" s="10" t="n">
        <ns0:v>920219</ns0:v>
      </ns0:c>
      <ns0:c r="B220" s="10" t="inlineStr">
        <ns0:is>
          <ns0:t>자료 카드에서 현대의 역문·해설을 공개한 기관은 어디인가요?</ns0:t>
        </ns0:is>
      </ns0:c>
      <ns0:c r="C220" s="10" t="n">
        <ns0:v>1</ns0:v>
      </ns0:c>
      <ns0:c r="D220" s="10" t="inlineStr"/>
      <ns0:c r="E220" s="10" t="inlineStr">
        <ns0:is>
          <ns0:t>원문 지시: 1877년 일본 태정관.
질의 기관: 일본 내무성.
현재 한국어 역문·해설 공개: 대한민국 외교부 독도 홈페이지.</ns0:t>
        </ns0:is>
      </ns0:c>
      <ns0:c r="F220" s="10" t="inlineStr"/>
      <ns0:c r="G220" s="10" t="inlineStr">
        <ns0:is>
          <ns0:t>dajokan: 행정 질의·지령, 다케시마 외 일도; 현대 지명 식별은 외교부 해설
dajokan-analysis: 지령 배경, 첨부 지도, 외 1도=독도 해설과 역문
ban1696: 1696년 금지령 역문, 다케시마(울릉도)로의 도항 금지</ns0:t>
        </ns0:is>
      </ns0:c>
      <ns0:c r="H220" s="10" t="inlineStr">
        <ns0:is>
          <ns0:t>대한민국 외교부 자료실 · 태정관지령(1877)
https://dokdo.mofa.go.kr/kor/pds/part05_view03.jsp
대한민국 외교부 · 태정관지령과 기죽도약도(1877)
https://dokdo.mofa.go.kr/kor/pds/part06_view09.jsp
대한민국 외교부 · 울릉도 도해금지령(1696)
https://dokdo.mofa.go.kr/kor/pds/part05_view06.jsp</ns0:t>
        </ns0:is>
      </ns0:c>
    </ns0:row>
    <ns0:row r="221" ht="143" customHeight="1">
      <ns0:c r="A221" s="12" t="n">
        <ns0:v>920220</ns0:v>
      </ns0:c>
      <ns0:c r="B221" s="12" t="inlineStr">
        <ns0:is>
          <ns0:t>태정관지령의 출처를 적을 때 작성자와 해설 기관을 바르게 나눈 것은 무엇인가요?</ns0:t>
        </ns0:is>
      </ns0:c>
      <ns0:c r="C221" s="12" t="n">
        <ns0:v>1</ns0:v>
      </ns0:c>
      <ns0:c r="D221" s="12" t="inlineStr"/>
      <ns0:c r="E221" s="12" t="inlineStr">
        <ns0:is>
          <ns0:t>1877년 일본 내무성의 질의에 일본 태정관이 지시를 내렸다. 오늘날 대한민국 외교부는 이 문서의 역문과 첨부 지도 해설을 공개한다.</ns0:t>
        </ns0:is>
      </ns0:c>
      <ns0:c r="F221" s="12" t="inlineStr"/>
      <ns0:c r="G221" s="12" t="inlineStr">
        <ns0:is>
          <ns0:t>dajokan: 행정 질의·지령, 다케시마 외 일도; 현대 지명 식별은 외교부 해설
dajokan-analysis: 지령 배경, 첨부 지도, 외 1도=독도 해설과 역문
ban1696: 1696년 금지령 역문, 다케시마(울릉도)로의 도항 금지</ns0:t>
        </ns0:is>
      </ns0:c>
      <ns0:c r="H221" s="12" t="inlineStr">
        <ns0:is>
          <ns0:t>대한민국 외교부 자료실 · 태정관지령(1877)
https://dokdo.mofa.go.kr/kor/pds/part05_view03.jsp
대한민국 외교부 · 태정관지령과 기죽도약도(1877)
https://dokdo.mofa.go.kr/kor/pds/part06_view09.jsp
대한민국 외교부 · 울릉도 도해금지령(1696)
https://dokdo.mofa.go.kr/kor/pds/part05_view06.jsp</ns0:t>
        </ns0:is>
      </ns0:c>
    </ns0:row>
    <ns0:row r="222" ht="53" customHeight="1">
      <ns0:c r="A222" s="10" t="n">
        <ns0:v>920221</ns0:v>
      </ns0:c>
      <ns0:c r="B222" s="10" t="inlineStr">
        <ns0:is>
          <ns0:t>독도 배가 접안하기 어려워지는 바다 상태는 무엇인가요?</ns0:t>
        </ns0:is>
      </ns0:c>
      <ns0:c r="C222" s="10" t="n">
        <ns0:v>0</ns0:v>
      </ns0:c>
      <ns0:c r="D222" s="10" t="inlineStr"/>
      <ns0:c r="E222" s="10" t="inlineStr"/>
      <ns0:c r="F222" s="10" t="inlineStr">
        <ns0:is>
          <ns0:t>실제 방문은 최신 선사·관할 기관 안내를 확인해야 해요. 이 수업은 실시간 운항 안내가 아니에요.</ns0:t>
        </ns0:is>
      </ns0:c>
      <ns0:c r="G222" s="10" t="inlineStr">
        <ns0:is>
          <ns0:t>visit: 입도 유의사항·동도 선착장 관람 / 2026년 7월 기준 표기. 실제 방문 전 최신 안내 확인</ns0:t>
        </ns0:is>
      </ns0:c>
      <ns0:c r="H222" s="10" t="inlineStr">
        <ns0:is>
          <ns0:t>대한민국 외교부 · 주민 및 입도 안내
https://dokdo.mofa.go.kr/kor/introduce/residence.jsp</ns0:t>
        </ns0:is>
      </ns0:c>
    </ns0:row>
    <ns0:row r="223" ht="53" customHeight="1">
      <ns0:c r="A223" s="12" t="n">
        <ns0:v>920222</ns0:v>
      </ns0:c>
      <ns0:c r="B223" s="12" t="inlineStr">
        <ns0:is>
          <ns0:t>독도 배표가 있어도 상륙하지 못할 수 있는 까닭은 무엇인가요?</ns0:t>
        </ns0:is>
      </ns0:c>
      <ns0:c r="C223" s="12" t="n">
        <ns0:v>0</ns0:v>
      </ns0:c>
      <ns0:c r="D223" s="12" t="inlineStr"/>
      <ns0:c r="E223" s="12" t="inlineStr"/>
      <ns0:c r="F223" s="12" t="inlineStr">
        <ns0:is>
          <ns0:t>실제 방문은 최신 선사·관할 기관 안내를 확인해야 해요. 이 수업은 실시간 운항 안내가 아니에요.</ns0:t>
        </ns0:is>
      </ns0:c>
      <ns0:c r="G223" s="12" t="inlineStr">
        <ns0:is>
          <ns0:t>visit: 입도 유의사항·동도 선착장 관람 / 2026년 7월 기준 표기. 실제 방문 전 최신 안내 확인</ns0:t>
        </ns0:is>
      </ns0:c>
      <ns0:c r="H223" s="12" t="inlineStr">
        <ns0:is>
          <ns0:t>대한민국 외교부 · 주민 및 입도 안내
https://dokdo.mofa.go.kr/kor/introduce/residence.jsp</ns0:t>
        </ns0:is>
      </ns0:c>
    </ns0:row>
    <ns0:row r="224" ht="53" customHeight="1">
      <ns0:c r="A224" s="10" t="n">
        <ns0:v>920223</ns0:v>
      </ns0:c>
      <ns0:c r="B224" s="10" t="inlineStr">
        <ns0:is>
          <ns0:t>입도 안내를 보고 여행 계획에 넣어야 할 조건은 무엇인가요?</ns0:t>
        </ns0:is>
      </ns0:c>
      <ns0:c r="C224" s="10" t="n">
        <ns0:v>1</ns0:v>
      </ns0:c>
      <ns0:c r="D224" s="10" t="inlineStr"/>
      <ns0:c r="E224" s="10" t="inlineStr">
        <ns0:is>
          <ns0:t>독도 입도 안내 요약: 기상이나 선박 사정 등에 따라 입도에 제한이 있을 수 있다. 실제 출발 전 선사 등의 최신 안내를 확인한다.</ns0:t>
        </ns0:is>
      </ns0:c>
      <ns0:c r="F224" s="10" t="inlineStr">
        <ns0:is>
          <ns0:t>실제 방문은 최신 선사·관할 기관 안내를 확인해야 해요. 이 수업은 실시간 운항 안내가 아니에요.</ns0:t>
        </ns0:is>
      </ns0:c>
      <ns0:c r="G224" s="10" t="inlineStr">
        <ns0:is>
          <ns0:t>visit: 입도 유의사항·동도 선착장 관람 / 2026년 7월 기준 표기. 실제 방문 전 최신 안내 확인</ns0:t>
        </ns0:is>
      </ns0:c>
      <ns0:c r="H224" s="10" t="inlineStr">
        <ns0:is>
          <ns0:t>대한민국 외교부 · 주민 및 입도 안내
https://dokdo.mofa.go.kr/kor/introduce/residence.jsp</ns0:t>
        </ns0:is>
      </ns0:c>
    </ns0:row>
    <ns0:row r="225" ht="53" customHeight="1">
      <ns0:c r="A225" s="12" t="n">
        <ns0:v>920224</ns0:v>
      </ns0:c>
      <ns0:c r="B225" s="12" t="inlineStr">
        <ns0:is>
          <ns0:t>독도에 가는 날의 입도 가능성을 확인하려면 무엇을 우선 확인해야 하나요?</ns0:t>
        </ns0:is>
      </ns0:c>
      <ns0:c r="C225" s="12" t="n">
        <ns0:v>1</ns0:v>
      </ns0:c>
      <ns0:c r="D225" s="12" t="inlineStr"/>
      <ns0:c r="E225" s="12" t="inlineStr">
        <ns0:is>
          <ns0:t>계획 상황: 독도행 표를 예약했고 오늘 출발할 예정이에요. 기상과 선박 사정에 따라 입도가 제한될 수 있다는 안내가 있어요.</ns0:t>
        </ns0:is>
      </ns0:c>
      <ns0:c r="F225" s="12" t="inlineStr">
        <ns0:is>
          <ns0:t>실제 방문은 최신 선사·관할 기관 안내를 확인해야 해요. 이 수업은 실시간 운항 안내가 아니에요.</ns0:t>
        </ns0:is>
      </ns0:c>
      <ns0:c r="G225" s="12" t="inlineStr">
        <ns0:is>
          <ns0:t>visit: 입도 유의사항·동도 선착장 관람 / 2026년 7월 기준 표기. 실제 방문 전 최신 안내 확인</ns0:t>
        </ns0:is>
      </ns0:c>
      <ns0:c r="H225" s="12" t="inlineStr">
        <ns0:is>
          <ns0:t>대한민국 외교부 · 주민 및 입도 안내
https://dokdo.mofa.go.kr/kor/introduce/residence.jsp</ns0:t>
        </ns0:is>
      </ns0:c>
    </ns0:row>
    <ns0:row r="226" ht="53" customHeight="1">
      <ns0:c r="A226" s="10" t="n">
        <ns0:v>920225</ns0:v>
      </ns0:c>
      <ns0:c r="B226" s="10" t="inlineStr">
        <ns0:is>
          <ns0:t>독도 부근에서 겨울철에 주로 내리는 것은 무엇인가요?</ns0:t>
        </ns0:is>
      </ns0:c>
      <ns0:c r="C226" s="10" t="n">
        <ns0:v>0</ns0:v>
      </ns0:c>
      <ns0:c r="D226" s="10" t="inlineStr"/>
      <ns0:c r="E226" s="10" t="inlineStr"/>
      <ns0:c r="F226" s="10" t="inlineStr">
        <ns0:is>
          <ns0:t>기후 설명의 적용 범위는 독도를 포함한 울릉도 부근 지역이에요. 독도 단독의 실시간 관측값이 아니에요.</ns0:t>
        </ns0:is>
      </ns0:c>
      <ns0:c r="G226" s="10" t="inlineStr">
        <ns0:is>
          <ns0:t>nature: 독도 식물·조류·해양생물 / 철새 이동경로의 휴식처</ns0:t>
        </ns0:is>
      </ns0:c>
      <ns0:c r="H226" s="10" t="inlineStr">
        <ns0:is>
          <ns0:t>대한민국 외교부 · 독도의 자연환경
https://dokdo.mofa.go.kr/kor/introduce/nature.jsp</ns0:t>
        </ns0:is>
      </ns0:c>
    </ns0:row>
    <ns0:row r="227" ht="53" customHeight="1">
      <ns0:c r="A227" s="12" t="n">
        <ns0:v>920226</ns0:v>
      </ns0:c>
      <ns0:c r="B227" s="12" t="inlineStr">
        <ns0:is>
          <ns0:t>바다의 영향을 많이 받는 독도 부근의 기후를 무엇이라고 하나요?</ns0:t>
        </ns0:is>
      </ns0:c>
      <ns0:c r="C227" s="12" t="n">
        <ns0:v>0</ns0:v>
      </ns0:c>
      <ns0:c r="D227" s="12" t="inlineStr"/>
      <ns0:c r="E227" s="12" t="inlineStr"/>
      <ns0:c r="F227" s="12" t="inlineStr">
        <ns0:is>
          <ns0:t>기후 설명의 적용 범위는 독도를 포함한 울릉도 부근 지역이에요. 독도 단독의 실시간 관측값이 아니에요.</ns0:t>
        </ns0:is>
      </ns0:c>
      <ns0:c r="G227" s="12" t="inlineStr">
        <ns0:is>
          <ns0:t>nature: 독도 식물·조류·해양생물 / 철새 이동경로의 휴식처</ns0:t>
        </ns0:is>
      </ns0:c>
      <ns0:c r="H227" s="12" t="inlineStr">
        <ns0:is>
          <ns0:t>대한민국 외교부 · 독도의 자연환경
https://dokdo.mofa.go.kr/kor/introduce/nature.jsp</ns0:t>
        </ns0:is>
      </ns0:c>
    </ns0:row>
    <ns0:row r="228" ht="53" customHeight="1">
      <ns0:c r="A228" s="10" t="n">
        <ns0:v>920227</ns0:v>
      </ns0:c>
      <ns0:c r="B228" s="10" t="inlineStr">
        <ns0:is>
          <ns0:t>독도 부근 기후의 특징을 자료와 맞게 고른 것은 무엇인가요?</ns0:t>
        </ns0:is>
      </ns0:c>
      <ns0:c r="C228" s="10" t="n">
        <ns0:v>1</ns0:v>
      </ns0:c>
      <ns0:c r="D228" s="10" t="inlineStr"/>
      <ns0:c r="E228" s="10" t="inlineStr">
        <ns0:is>
          <ns0:t>지역 기후 요약: 바다의 영향을 많이 받는다. 안개와 흐린 날이 잦다. 겨울철 강수는 대부분 눈의 형태다.</ns0:t>
        </ns0:is>
      </ns0:c>
      <ns0:c r="F228" s="10" t="inlineStr">
        <ns0:is>
          <ns0:t>기후 설명의 적용 범위는 독도를 포함한 울릉도 부근 지역이에요. 독도 단독의 실시간 관측값이 아니에요.</ns0:t>
        </ns0:is>
      </ns0:c>
      <ns0:c r="G228" s="10" t="inlineStr">
        <ns0:is>
          <ns0:t>nature: 독도 식물·조류·해양생물 / 철새 이동경로의 휴식처</ns0:t>
        </ns0:is>
      </ns0:c>
      <ns0:c r="H228" s="10" t="inlineStr">
        <ns0:is>
          <ns0:t>대한민국 외교부 · 독도의 자연환경
https://dokdo.mofa.go.kr/kor/introduce/nature.jsp</ns0:t>
        </ns0:is>
      </ns0:c>
    </ns0:row>
    <ns0:row r="229" ht="53" customHeight="1">
      <ns0:c r="A229" s="12" t="n">
        <ns0:v>920228</ns0:v>
      </ns0:c>
      <ns0:c r="B229" s="12" t="inlineStr">
        <ns0:is>
          <ns0:t>독도 여행 안내에 ‘겨울에는 눈이 주로 내리니 오늘도 반드시 눈이 온다’고 쓰면 무엇을 고쳐야 하나요?</ns0:t>
        </ns0:is>
      </ns0:c>
      <ns0:c r="C229" s="12" t="n">
        <ns0:v>1</ns0:v>
      </ns0:c>
      <ns0:c r="D229" s="12" t="inlineStr"/>
      <ns0:c r="E229" s="12" t="inlineStr">
        <ns0:is>
          <ns0:t>기후: 오랜 기간에 걸친 날씨의 특징. 날씨: 특정 시각이나 날짜의 대기 상태. 독도 포함 울릉도 부근의 겨울 강수는 주로 눈이지만, 매일 눈이 온다는 뜻은 아니에요.</ns0:t>
        </ns0:is>
      </ns0:c>
      <ns0:c r="F229" s="12" t="inlineStr">
        <ns0:is>
          <ns0:t>기후 설명의 적용 범위는 독도를 포함한 울릉도 부근 지역이에요. 독도 단독의 실시간 관측값이 아니에요.</ns0:t>
        </ns0:is>
      </ns0:c>
      <ns0:c r="G229" s="12" t="inlineStr">
        <ns0:is>
          <ns0:t>nature: 독도 식물·조류·해양생물 / 철새 이동경로의 휴식처</ns0:t>
        </ns0:is>
      </ns0:c>
      <ns0:c r="H229" s="12" t="inlineStr">
        <ns0:is>
          <ns0:t>대한민국 외교부 · 독도의 자연환경
https://dokdo.mofa.go.kr/kor/introduce/nature.jsp</ns0:t>
        </ns0:is>
      </ns0:c>
    </ns0:row>
    <ns0:row r="230" ht="53" customHeight="1">
      <ns0:c r="A230" s="10" t="n">
        <ns0:v>920229</ns0:v>
      </ns0:c>
      <ns0:c r="B230" s="10" t="inlineStr">
        <ns0:is>
          <ns0:t>독도안용복길 3에 있는 시설은 무엇인가요?</ns0:t>
        </ns0:is>
      </ns0:c>
      <ns0:c r="C230" s="10" t="n">
        <ns0:v>0</ns0:v>
      </ns0:c>
      <ns0:c r="D230" s="10" t="inlineStr"/>
      <ns0:c r="E230" s="10" t="inlineStr"/>
      <ns0:c r="F230" s="10" t="inlineStr"/>
      <ns0:c r="G230" s="10" t="inlineStr">
        <ns0:is>
          <ns0:t>address: 동도·서도의 도로명 주소와 위치; 2018년 등록 자료, 2026-09-11 대조</ns0:t>
        </ns0:is>
      </ns0:c>
      <ns0:c r="H230" s="10" t="inlineStr">
        <ns0:is>
          <ns0:t>대한민국 해양수산부 · 독도의 주소와 위치
https://www.mof.go.kr/doc/ko/selectDoc.do?bbsSeq=27&amp;docSeq=20937&amp;menuSeq=929</ns0:t>
        </ns0:is>
      </ns0:c>
    </ns0:row>
    <ns0:row r="231" ht="53" customHeight="1">
      <ns0:c r="A231" s="12" t="n">
        <ns0:v>920230</ns0:v>
      </ns0:c>
      <ns0:c r="B231" s="12" t="inlineStr">
        <ns0:is>
          <ns0:t>동도의 경비대와 등대 주소에 공통으로 들어가는 길 이름은 무엇인가요?</ns0:t>
        </ns0:is>
      </ns0:c>
      <ns0:c r="C231" s="12" t="n">
        <ns0:v>0</ns0:v>
      </ns0:c>
      <ns0:c r="D231" s="12" t="inlineStr"/>
      <ns0:c r="E231" s="12" t="inlineStr"/>
      <ns0:c r="F231" s="12" t="inlineStr"/>
      <ns0:c r="G231" s="12" t="inlineStr">
        <ns0:is>
          <ns0:t>address: 동도·서도의 도로명 주소와 위치; 2018년 등록 자료, 2026-09-11 대조</ns0:t>
        </ns0:is>
      </ns0:c>
      <ns0:c r="H231" s="12" t="inlineStr">
        <ns0:is>
          <ns0:t>대한민국 해양수산부 · 독도의 주소와 위치
https://www.mof.go.kr/doc/ko/selectDoc.do?bbsSeq=27&amp;docSeq=20937&amp;menuSeq=929</ns0:t>
        </ns0:is>
      </ns0:c>
    </ns0:row>
    <ns0:row r="232" ht="83" customHeight="1">
      <ns0:c r="A232" s="10" t="n">
        <ns0:v>920231</ns0:v>
      </ns0:c>
      <ns0:c r="B232" s="10" t="inlineStr">
        <ns0:is>
          <ns0:t>주소표에서 독도이사부길 63에 해당하는 시설은 무엇인가요?</ns0:t>
        </ns0:is>
      </ns0:c>
      <ns0:c r="C232" s="10" t="n">
        <ns0:v>1</ns0:v>
      </ns0:c>
      <ns0:c r="D232" s="10" t="inlineStr"/>
      <ns0:c r="E232" s="10" t="inlineStr">
        <ns0:is>
          <ns0:t>주소표:
독도이사부길 55 — 동도 독도경비대
독도이사부길 63 — 동도 독도등대
독도안용복길 3 — 서도 주민숙소</ns0:t>
        </ns0:is>
      </ns0:c>
      <ns0:c r="F232" s="10" t="inlineStr"/>
      <ns0:c r="G232" s="10" t="inlineStr">
        <ns0:is>
          <ns0:t>address: 동도·서도의 도로명 주소와 위치; 2018년 등록 자료, 2026-09-11 대조</ns0:t>
        </ns0:is>
      </ns0:c>
      <ns0:c r="H232" s="10" t="inlineStr">
        <ns0:is>
          <ns0:t>대한민국 해양수산부 · 독도의 주소와 위치
https://www.mof.go.kr/doc/ko/selectDoc.do?bbsSeq=27&amp;docSeq=20937&amp;menuSeq=929</ns0:t>
        </ns0:is>
      </ns0:c>
    </ns0:row>
    <ns0:row r="233" ht="83" customHeight="1">
      <ns0:c r="A233" s="12" t="n">
        <ns0:v>920232</ns0:v>
      </ns0:c>
      <ns0:c r="B233" s="12" t="inlineStr">
        <ns0:is>
          <ns0:t>서도 주민숙소와 동도 등대에 편지를 보낼 주소를 순서대로 고르면 무엇인가요?</ns0:t>
        </ns0:is>
      </ns0:c>
      <ns0:c r="C233" s="12" t="n">
        <ns0:v>1</ns0:v>
      </ns0:c>
      <ns0:c r="D233" s="12" t="inlineStr"/>
      <ns0:c r="E233" s="12" t="inlineStr">
        <ns0:is>
          <ns0:t>서도 주민숙소 — 독도안용복길 3.
동도 경비대 — 독도이사부길 55.
동도 등대 — 독도이사부길 63.
도로명 번호를 방위나 지도 좌표로 해석하지 않아요.</ns0:t>
        </ns0:is>
      </ns0:c>
      <ns0:c r="F233" s="12" t="inlineStr"/>
      <ns0:c r="G233" s="12" t="inlineStr">
        <ns0:is>
          <ns0:t>address: 동도·서도의 도로명 주소와 위치; 2018년 등록 자료, 2026-09-11 대조</ns0:t>
        </ns0:is>
      </ns0:c>
      <ns0:c r="H233" s="12" t="inlineStr">
        <ns0:is>
          <ns0:t>대한민국 해양수산부 · 독도의 주소와 위치
https://www.mof.go.kr/doc/ko/selectDoc.do?bbsSeq=27&amp;docSeq=20937&amp;menuSeq=929</ns0:t>
        </ns0:is>
      </ns0:c>
    </ns0:row>
    <ns0:row r="234" ht="53" customHeight="1">
      <ns0:c r="A234" s="10" t="n">
        <ns0:v>920233</ns0:v>
      </ns0:c>
      <ns0:c r="B234" s="10" t="inlineStr">
        <ns0:is>
          <ns0:t>일반적인 독도 탐방에서 기본 관람 구역으로 안내하는 곳은 어디인가요?</ns0:t>
        </ns0:is>
      </ns0:c>
      <ns0:c r="C234" s="10" t="n">
        <ns0:v>0</ns0:v>
      </ns0:c>
      <ns0:c r="D234" s="10" t="inlineStr"/>
      <ns0:c r="E234" s="10" t="inlineStr"/>
      <ns0:c r="F234" s="10" t="inlineStr">
        <ns0:is>
          <ns0:t>출입 조건은 바뀔 수 있어 실제 방문 전 최신 안내를 확인해야 해요.</ns0:t>
        </ns0:is>
      </ns0:c>
      <ns0:c r="G234" s="10" t="inlineStr">
        <ns0:is>
          <ns0:t>visit: 입도 유의사항·동도 선착장 관람 / 2026년 7월 기준 표기. 실제 방문 전 최신 안내 확인</ns0:t>
        </ns0:is>
      </ns0:c>
      <ns0:c r="H234" s="10" t="inlineStr">
        <ns0:is>
          <ns0:t>대한민국 외교부 · 주민 및 입도 안내
https://dokdo.mofa.go.kr/kor/introduce/residence.jsp</ns0:t>
        </ns0:is>
      </ns0:c>
    </ns0:row>
    <ns0:row r="235" ht="53" customHeight="1">
      <ns0:c r="A235" s="12" t="n">
        <ns0:v>920234</ns0:v>
      </ns0:c>
      <ns0:c r="B235" s="12" t="inlineStr">
        <ns0:is>
          <ns0:t>독도 배표만 있으면 섬의 모든 곳에 들어갈 수 있나요?</ns0:t>
        </ns0:is>
      </ns0:c>
      <ns0:c r="C235" s="12" t="n">
        <ns0:v>0</ns0:v>
      </ns0:c>
      <ns0:c r="D235" s="12" t="inlineStr"/>
      <ns0:c r="E235" s="12" t="inlineStr"/>
      <ns0:c r="F235" s="12" t="inlineStr">
        <ns0:is>
          <ns0:t>출입 조건은 바뀔 수 있어 실제 방문 전 최신 안내를 확인해야 해요.</ns0:t>
        </ns0:is>
      </ns0:c>
      <ns0:c r="G235" s="12" t="inlineStr">
        <ns0:is>
          <ns0:t>visit: 입도 유의사항·동도 선착장 관람 / 2026년 7월 기준 표기. 실제 방문 전 최신 안내 확인</ns0:t>
        </ns0:is>
      </ns0:c>
      <ns0:c r="H235" s="12" t="inlineStr">
        <ns0:is>
          <ns0:t>대한민국 외교부 · 주민 및 입도 안내
https://dokdo.mofa.go.kr/kor/introduce/residence.jsp</ns0:t>
        </ns0:is>
      </ns0:c>
    </ns0:row>
    <ns0:row r="236" ht="53" customHeight="1">
      <ns0:c r="A236" s="10" t="n">
        <ns0:v>920235</ns0:v>
      </ns0:c>
      <ns0:c r="B236" s="10" t="inlineStr">
        <ns0:is>
          <ns0:t>서도를 방문하려는 사람이 먼저 확인해야 할 것은 무엇인가요?</ns0:t>
        </ns0:is>
      </ns0:c>
      <ns0:c r="C236" s="10" t="n">
        <ns0:v>1</ns0:v>
      </ns0:c>
      <ns0:c r="D236" s="10" t="inlineStr"/>
      <ns0:c r="E236" s="10" t="inlineStr">
        <ns0:is>
          <ns0:t>입도 안내 구분: 일반 탐방은 동도 선착장 구역. 서도 방문은 관할 기관의 별도 허가 등을 확인해야 한다.</ns0:t>
        </ns0:is>
      </ns0:c>
      <ns0:c r="F236" s="10" t="inlineStr">
        <ns0:is>
          <ns0:t>출입 조건은 바뀔 수 있어 실제 방문 전 최신 안내를 확인해야 해요.</ns0:t>
        </ns0:is>
      </ns0:c>
      <ns0:c r="G236" s="10" t="inlineStr">
        <ns0:is>
          <ns0:t>visit: 입도 유의사항·동도 선착장 관람 / 2026년 7월 기준 표기. 실제 방문 전 최신 안내 확인</ns0:t>
        </ns0:is>
      </ns0:c>
      <ns0:c r="H236" s="10" t="inlineStr">
        <ns0:is>
          <ns0:t>대한민국 외교부 · 주민 및 입도 안내
https://dokdo.mofa.go.kr/kor/introduce/residence.jsp</ns0:t>
        </ns0:is>
      </ns0:c>
    </ns0:row>
    <ns0:row r="237" ht="53" customHeight="1">
      <ns0:c r="A237" s="12" t="n">
        <ns0:v>920236</ns0:v>
      </ns0:c>
      <ns0:c r="B237" s="12" t="inlineStr">
        <ns0:is>
          <ns0:t>독도 여행 안내문에서 고쳐야 할 약속은 무엇인가요?</ns0:t>
        </ns0:is>
      </ns0:c>
      <ns0:c r="C237" s="12" t="n">
        <ns0:v>1</ns0:v>
      </ns0:c>
      <ns0:c r="D237" s="12" t="inlineStr"/>
      <ns0:c r="E237" s="12" t="inlineStr">
        <ns0:is>
          <ns0:t>검토 기준: 일반 탐방은 동도 선착장 구역 중심이며, 날씨와 선박 사정에 따라 입도가 제한될 수 있다. 그 밖의 구역에는 별도 조건이 있을 수 있다.</ns0:t>
        </ns0:is>
      </ns0:c>
      <ns0:c r="F237" s="12" t="inlineStr">
        <ns0:is>
          <ns0:t>출입 조건은 바뀔 수 있어 실제 방문 전 최신 안내를 확인해야 해요.</ns0:t>
        </ns0:is>
      </ns0:c>
      <ns0:c r="G237" s="12" t="inlineStr">
        <ns0:is>
          <ns0:t>visit: 입도 유의사항·동도 선착장 관람 / 2026년 7월 기준 표기. 실제 방문 전 최신 안내 확인</ns0:t>
        </ns0:is>
      </ns0:c>
      <ns0:c r="H237" s="12" t="inlineStr">
        <ns0:is>
          <ns0:t>대한민국 외교부 · 주민 및 입도 안내
https://dokdo.mofa.go.kr/kor/introduce/residence.jsp</ns0:t>
        </ns0:is>
      </ns0:c>
    </ns0:row>
    <ns0:row r="238" ht="160" customHeight="1">
      <ns0:c r="A238" s="10" t="n">
        <ns0:v>920237</ns0:v>
      </ns0:c>
      <ns0:c r="B238" s="10" t="inlineStr">
        <ns0:is>
          <ns0:t>독도의 큰 두 섬 이름을 모두 적은 것은 무엇인가요?</ns0:t>
        </ns0:is>
      </ns0:c>
      <ns0:c r="C238" s="10" t="n">
        <ns0:v>0</ns0:v>
      </ns0:c>
      <ns0:c r="D238" s="10" t="inlineStr"/>
      <ns0:c r="E238" s="10" t="inlineStr"/>
      <ns0:c r="F238" s="10" t="inlineStr"/>
      <ns0:c r="G238" s="10" t="inlineStr">
        <ns0:is>
          <ns0:t>location: 두 큰 섬·부속 도서 / 높이·면적 / 울릉도·오키섬 거리
geology: 해저 화산의 형성 / 해안 침식 지형 / 물골 / 지형 변화
facility: 서도 주민숙소 / 동도 접안시설·등대·경비대 / 담수시설
decree: 1900.10.25 / 제1조 울도·군수 / 제2조 울릉전도·죽도·석도</ns0:t>
        </ns0:is>
      </ns0:c>
      <ns0:c r="H238" s="10" t="inlineStr">
        <ns0:is>
          <ns0:t>대한민국 외교부 · 독도의 구성 및 위치
https://dokdo.mofa.go.kr/kor/introduce/location.jsp
대한민국 한국해양과학기술원 · 독도 지형 및 지질
https://www.dokdo.re.kr/home/cms/cmsCont.do?cntnts_sn=66
대한민국 외교부 · 독도 주요시설물
https://dokdo.mofa.go.kr/kor/introduce/facility.jsp
대한민국 외교부 자료실 · 대한제국 칙령 제41호
https://dokdo.mofa.go.kr/kor/pds/part02_view02.jsp</ns0:t>
        </ns0:is>
      </ns0:c>
    </ns0:row>
    <ns0:row r="239" ht="160" customHeight="1">
      <ns0:c r="A239" s="12" t="n">
        <ns0:v>920238</ns0:v>
      </ns0:c>
      <ns0:c r="B239" s="12" t="inlineStr">
        <ns0:is>
          <ns0:t>독도에서 더 높은 큰 섬과 등대가 있는 섬을 순서대로 고르면 무엇인가요?</ns0:t>
        </ns0:is>
      </ns0:c>
      <ns0:c r="C239" s="12" t="n">
        <ns0:v>0</ns0:v>
      </ns0:c>
      <ns0:c r="D239" s="12" t="inlineStr"/>
      <ns0:c r="E239" s="12" t="inlineStr"/>
      <ns0:c r="F239" s="12" t="inlineStr"/>
      <ns0:c r="G239" s="12" t="inlineStr">
        <ns0:is>
          <ns0:t>location: 두 큰 섬·부속 도서 / 높이·면적 / 울릉도·오키섬 거리
geology: 해저 화산의 형성 / 해안 침식 지형 / 물골 / 지형 변화
facility: 서도 주민숙소 / 동도 접안시설·등대·경비대 / 담수시설
decree: 1900.10.25 / 제1조 울도·군수 / 제2조 울릉전도·죽도·석도</ns0:t>
        </ns0:is>
      </ns0:c>
      <ns0:c r="H239" s="12" t="inlineStr">
        <ns0:is>
          <ns0:t>대한민국 외교부 · 독도의 구성 및 위치
https://dokdo.mofa.go.kr/kor/introduce/location.jsp
대한민국 한국해양과학기술원 · 독도 지형 및 지질
https://www.dokdo.re.kr/home/cms/cmsCont.do?cntnts_sn=66
대한민국 외교부 · 독도 주요시설물
https://dokdo.mofa.go.kr/kor/introduce/facility.jsp
대한민국 외교부 자료실 · 대한제국 칙령 제41호
https://dokdo.mofa.go.kr/kor/pds/part02_view02.jsp</ns0:t>
        </ns0:is>
      </ns0:c>
    </ns0:row>
    <ns0:row r="240" ht="160" customHeight="1">
      <ns0:c r="A240" s="10" t="n">
        <ns0:v>920239</ns0:v>
      </ns0:c>
      <ns0:c r="B240" s="10" t="inlineStr">
        <ns0:is>
          <ns0:t>독도 안내 카드의 수치와 시설을 바르게 연결한 것은 무엇인가요?</ns0:t>
        </ns0:is>
      </ns0:c>
      <ns0:c r="C240" s="10" t="n">
        <ns0:v>1</ns0:v>
      </ns0:c>
      <ns0:c r="D240" s="10" t="inlineStr"/>
      <ns0:c r="E240" s="10" t="inlineStr">
        <ns0:is>
          <ns0:t>안내 카드:
서도 — 최고 높이 168.5m, 주민숙소.
동도 — 최고 높이 98.6m, 등대와 주요 접안시설.</ns0:t>
        </ns0:is>
      </ns0:c>
      <ns0:c r="F240" s="10" t="inlineStr"/>
      <ns0:c r="G240" s="10" t="inlineStr">
        <ns0:is>
          <ns0:t>location: 두 큰 섬·부속 도서 / 높이·면적 / 울릉도·오키섬 거리
geology: 해저 화산의 형성 / 해안 침식 지형 / 물골 / 지형 변화
facility: 서도 주민숙소 / 동도 접안시설·등대·경비대 / 담수시설
decree: 1900.10.25 / 제1조 울도·군수 / 제2조 울릉전도·죽도·석도</ns0:t>
        </ns0:is>
      </ns0:c>
      <ns0:c r="H240" s="10" t="inlineStr">
        <ns0:is>
          <ns0:t>대한민국 외교부 · 독도의 구성 및 위치
https://dokdo.mofa.go.kr/kor/introduce/location.jsp
대한민국 한국해양과학기술원 · 독도 지형 및 지질
https://www.dokdo.re.kr/home/cms/cmsCont.do?cntnts_sn=66
대한민국 외교부 · 독도 주요시설물
https://dokdo.mofa.go.kr/kor/introduce/facility.jsp
대한민국 외교부 자료실 · 대한제국 칙령 제41호
https://dokdo.mofa.go.kr/kor/pds/part02_view02.jsp</ns0:t>
        </ns0:is>
      </ns0:c>
    </ns0:row>
    <ns0:row r="241" ht="160" customHeight="1">
      <ns0:c r="A241" s="12" t="n">
        <ns0:v>920240</ns0:v>
      </ns0:c>
      <ns0:c r="B241" s="12" t="inlineStr">
        <ns0:is>
          <ns0:t>독도 소개문에 넣을 설명으로 사실에 맞는 것은 무엇인가요?</ns0:t>
        </ns0:is>
      </ns0:c>
      <ns0:c r="C241" s="12" t="n">
        <ns0:v>1</ns0:v>
      </ns0:c>
      <ns0:c r="D241" s="12" t="inlineStr"/>
      <ns0:c r="E241" s="12" t="inlineStr">
        <ns0:is>
          <ns0:t>기초 정보: 독도는 동도와 서도, 주변 작은 바위섬으로 이루어져요. 해저 화산활동으로 큰 화산체가 만들어지고 일부가 물 위로 드러났어요.</ns0:t>
        </ns0:is>
      </ns0:c>
      <ns0:c r="F241" s="12" t="inlineStr"/>
      <ns0:c r="G241" s="12" t="inlineStr">
        <ns0:is>
          <ns0:t>location: 두 큰 섬·부속 도서 / 높이·면적 / 울릉도·오키섬 거리
geology: 해저 화산의 형성 / 해안 침식 지형 / 물골 / 지형 변화
facility: 서도 주민숙소 / 동도 접안시설·등대·경비대 / 담수시설
decree: 1900.10.25 / 제1조 울도·군수 / 제2조 울릉전도·죽도·석도</ns0:t>
        </ns0:is>
      </ns0:c>
      <ns0:c r="H241" s="12" t="inlineStr">
        <ns0:is>
          <ns0:t>대한민국 외교부 · 독도의 구성 및 위치
https://dokdo.mofa.go.kr/kor/introduce/location.jsp
대한민국 한국해양과학기술원 · 독도 지형 및 지질
https://www.dokdo.re.kr/home/cms/cmsCont.do?cntnts_sn=66
대한민국 외교부 · 독도 주요시설물
https://dokdo.mofa.go.kr/kor/introduce/facility.jsp
대한민국 외교부 자료실 · 대한제국 칙령 제41호
https://dokdo.mofa.go.kr/kor/pds/part02_view02.jsp</ns0:t>
        </ns0:is>
      </ns0:c>
    </ns0:row>
  </ns0:sheetData>
  <ns0:autoFilter ref="A1:H241"/>
  <ns0:pageMargins left="0.75" right="0.75" top="1" bottom="1" header="0.5" footer="0.5"/>
  <ns0:pageSetup orientation="landscape" paperSize="8" fitToHeight="0" fitToWidth="1"/>
</ns0:worksheet>
</file>

<file path=xl/worksheets/sheet5.xml><?xml version="1.0" encoding="utf-8"?>
<ns0:worksheet xmlns:ns0="http://schemas.openxmlformats.org/spreadsheetml/2006/main">
  <ns0:sheetPr>
    <ns0:outlinePr summaryBelow="1" summaryRight="1"/>
    <ns0:pageSetUpPr fitToPage="1"/>
  </ns0:sheetPr>
  <ns0:dimension ref="A1:K241"/>
  <ns0:sheetViews>
    <ns0:sheetView showGridLines="0" workbookViewId="0">
      <ns0:pane xSplit="2" ySplit="1" topLeftCell="C2" activePane="bottomRight" state="frozen"/>
      <ns0:selection pane="topRight"/>
      <ns0:selection pane="bottomLeft"/>
      <ns0:selection pane="bottomRight" activeCell="A1" sqref="A1"/>
    </ns0:sheetView>
  </ns0:sheetViews>
  <ns0:sheetFormatPr baseColWidth="8" defaultRowHeight="15"/>
  <ns0:cols>
    <ns0:col width="12" customWidth="1" min="1" max="1"/>
    <ns0:col width="72" customWidth="1" min="2" max="2"/>
    <ns0:col width="44" customWidth="1" min="3" max="3"/>
    <ns0:col width="44" customWidth="1" min="4" max="4"/>
    <ns0:col width="44" customWidth="1" min="5" max="5"/>
    <ns0:col width="44" customWidth="1" min="6" max="6"/>
    <ns0:col width="9" customWidth="1" min="7" max="7"/>
    <ns0:col width="90" customWidth="1" min="8" max="8"/>
    <ns0:col width="75" customWidth="1" min="9" max="9"/>
    <ns0:col width="95" customWidth="1" min="10" max="10"/>
    <ns0:col width="80" customWidth="1" min="11" max="11"/>
  </ns0:cols>
  <ns0:sheetData>
    <ns0:row r="1" ht="34" customHeight="1">
      <ns0:c r="A1" s="9" t="inlineStr">
        <ns0:is>
          <ns0:t>ID</ns0:t>
        </ns0:is>
      </ns0:c>
      <ns0:c r="B1" s="9" t="inlineStr">
        <ns0:is>
          <ns0:t>Question</ns0:t>
        </ns0:is>
      </ns0:c>
      <ns0:c r="C1" s="9" t="inlineStr">
        <ns0:is>
          <ns0:t>A</ns0:t>
        </ns0:is>
      </ns0:c>
      <ns0:c r="D1" s="9" t="inlineStr">
        <ns0:is>
          <ns0:t>B</ns0:t>
        </ns0:is>
      </ns0:c>
      <ns0:c r="E1" s="9" t="inlineStr">
        <ns0:is>
          <ns0:t>C</ns0:t>
        </ns0:is>
      </ns0:c>
      <ns0:c r="F1" s="9" t="inlineStr">
        <ns0:is>
          <ns0:t>D</ns0:t>
        </ns0:is>
      </ns0:c>
      <ns0:c r="G1" s="9" t="inlineStr">
        <ns0:is>
          <ns0:t>Answer</ns0:t>
        </ns0:is>
      </ns0:c>
      <ns0:c r="H1" s="9" t="inlineStr">
        <ns0:is>
          <ns0:t>Why correct</ns0:t>
        </ns0:is>
      </ns0:c>
      <ns0:c r="I1" s="9" t="inlineStr">
        <ns0:is>
          <ns0:t>Takeaway</ns0:t>
        </ns0:is>
      </ns0:c>
      <ns0:c r="J1" s="9" t="inlineStr">
        <ns0:is>
          <ns0:t>Material / context</ns0:t>
        </ns0:is>
      </ns0:c>
      <ns0:c r="K1" s="9" t="inlineStr">
        <ns0:is>
          <ns0:t>Source</ns0:t>
        </ns0:is>
      </ns0:c>
    </ns0:row>
    <ns0:row r="2" ht="53" customHeight="1">
      <ns0:c r="A2" s="10" t="n">
        <ns0:v>920001</ns0:v>
      </ns0:c>
      <ns0:c r="B2" s="10" t="inlineStr">
        <ns0:is>
          <ns0:t>What are the names of Dokdo’s two main islands?</ns0:t>
        </ns0:is>
      </ns0:c>
      <ns0:c r="C2" s="10" t="inlineStr">
        <ns0:is>
          <ns0:t>Dongdo and Seodo</ns0:t>
        </ns0:is>
      </ns0:c>
      <ns0:c r="D2" s="10" t="inlineStr">
        <ns0:is>
          <ns0:t>Ulleungdo and Dongdo</ns0:t>
        </ns0:is>
      </ns0:c>
      <ns0:c r="E2" s="10" t="inlineStr">
        <ns0:is>
          <ns0:t>Jejudo and Seodo</ns0:t>
        </ns0:is>
      </ns0:c>
      <ns0:c r="F2" s="10" t="inlineStr">
        <ns0:is>
          <ns0:t>Ulleungdo and Jejudo</ns0:t>
        </ns0:is>
      </ns0:c>
      <ns0:c r="G2" s="10" t="n">
        <ns0:v>1</ns0:v>
      </ns0:c>
      <ns0:c r="H2" s="10" t="inlineStr">
        <ns0:is>
          <ns0:t>Dongdo and Seodo are the two main islands, surrounded by smaller islets.</ns0:t>
        </ns0:is>
      </ns0:c>
      <ns0:c r="I2" s="10" t="inlineStr">
        <ns0:is>
          <ns0:t>Dokdo consists of Dongdo, Seodo and the smaller islets around them.</ns0:t>
        </ns0:is>
      </ns0:c>
      <ns0:c r="J2" s="10" t="inlineStr"/>
      <ns0:c r="K2" s="10" t="inlineStr">
        <ns0:is>
          <ns0:t>대한민국 외교부 · 독도의 구성 및 위치
https://dokdo.mofa.go.kr/kor/introduce/location.jsp</ns0:t>
        </ns0:is>
      </ns0:c>
    </ns0:row>
    <ns0:row r="3" ht="53" customHeight="1">
      <ns0:c r="A3" s="12" t="n">
        <ns0:v>920002</ns0:v>
      </ns0:c>
      <ns0:c r="B3" s="12" t="inlineStr">
        <ns0:is>
          <ns0:t>What other land surrounds Dokdo’s two main islands?</ns0:t>
        </ns0:is>
      </ns0:c>
      <ns0:c r="C3" s="12" t="inlineStr">
        <ns0:is>
          <ns0:t>Smaller rocky islets</ns0:t>
        </ns0:is>
      </ns0:c>
      <ns0:c r="D3" s="12" t="inlineStr">
        <ns0:is>
          <ns0:t>The main island of Ulleungdo</ns0:t>
        </ns0:is>
      </ns0:c>
      <ns0:c r="E3" s="12" t="inlineStr">
        <ns0:is>
          <ns0:t>Japan’s Oki Islands</ns0:t>
        </ns0:is>
      </ns0:c>
      <ns0:c r="F3" s="12" t="inlineStr"/>
      <ns0:c r="G3" s="12" t="n">
        <ns0:v>1</ns0:v>
      </ns0:c>
      <ns0:c r="H3" s="12" t="inlineStr">
        <ns0:is>
          <ns0:t>Dokdo includes the surrounding rocky islets as well as Dongdo and Seodo.</ns0:t>
        </ns0:is>
      </ns0:c>
      <ns0:c r="I3" s="12" t="inlineStr">
        <ns0:is>
          <ns0:t>Dokdo consists of Dongdo, Seodo and the smaller islets around them.</ns0:t>
        </ns0:is>
      </ns0:c>
      <ns0:c r="J3" s="12" t="inlineStr"/>
      <ns0:c r="K3" s="12" t="inlineStr">
        <ns0:is>
          <ns0:t>대한민국 외교부 · 독도의 구성 및 위치
https://dokdo.mofa.go.kr/kor/introduce/location.jsp</ns0:t>
        </ns0:is>
      </ns0:c>
    </ns0:row>
    <ns0:row r="4" ht="53" customHeight="1">
      <ns0:c r="A4" s="10" t="n">
        <ns0:v>920003</ns0:v>
      </ns0:c>
      <ns0:c r="B4" s="10" t="inlineStr">
        <ns0:is>
          <ns0:t>What land should be added to a Dokdo sign that shows only its two main islands?</ns0:t>
        </ns0:is>
      </ns0:c>
      <ns0:c r="C4" s="10" t="inlineStr">
        <ns0:is>
          <ns0:t>All of Ulleungdo</ns0:t>
        </ns0:is>
      </ns0:c>
      <ns0:c r="D4" s="10" t="inlineStr">
        <ns0:is>
          <ns0:t>The surrounding associated islets</ns0:t>
        </ns0:is>
      </ns0:c>
      <ns0:c r="E4" s="10" t="inlineStr">
        <ns0:is>
          <ns0:t>All of Japan’s Oki Islands</ns0:t>
        </ns0:is>
      </ns0:c>
      <ns0:c r="F4" s="10" t="inlineStr"/>
      <ns0:c r="G4" s="10" t="n">
        <ns0:v>2</ns0:v>
      </ns0:c>
      <ns0:c r="H4" s="10" t="inlineStr">
        <ns0:is>
          <ns0:t>The description includes the associated islets as well as the two main islands.</ns0:t>
        </ns0:is>
      </ns0:c>
      <ns0:c r="I4" s="10" t="inlineStr">
        <ns0:is>
          <ns0:t>Dokdo consists of Dongdo, Seodo and the smaller islets around them.</ns0:t>
        </ns0:is>
      </ns0:c>
      <ns0:c r="J4" s="10" t="inlineStr">
        <ns0:is>
          <ns0:t>Dokdo’s composition: Dongdo + Seodo + 89 associated islets. These are smaller islands around the two main islands.</ns0:t>
        </ns0:is>
      </ns0:c>
      <ns0:c r="K4" s="10" t="inlineStr">
        <ns0:is>
          <ns0:t>대한민국 외교부 · 독도의 구성 및 위치
https://dokdo.mofa.go.kr/kor/introduce/location.jsp</ns0:t>
        </ns0:is>
      </ns0:c>
    </ns0:row>
    <ns0:row r="5" ht="53" customHeight="1">
      <ns0:c r="A5" s="12" t="n">
        <ns0:v>920004</ns0:v>
      </ns0:c>
      <ns0:c r="B5" s="12" t="inlineStr">
        <ns0:is>
          <ns0:t>How should the statement “Dokdo is the name of Dongdo alone” be corrected?</ns0:t>
        </ns0:is>
      </ns0:c>
      <ns0:c r="C5" s="12" t="inlineStr">
        <ns0:is>
          <ns0:t>It names Dongdo and Ulleungdo</ns0:t>
        </ns0:is>
      </ns0:c>
      <ns0:c r="D5" s="12" t="inlineStr">
        <ns0:is>
          <ns0:t>It names Seodo alone</ns0:t>
        </ns0:is>
      </ns0:c>
      <ns0:c r="E5" s="12" t="inlineStr">
        <ns0:is>
          <ns0:t>It names Dongdo, Seodo and the surrounding islets</ns0:t>
        </ns0:is>
      </ns0:c>
      <ns0:c r="F5" s="12" t="inlineStr"/>
      <ns0:c r="G5" s="12" t="n">
        <ns0:v>3</ns0:v>
      </ns0:c>
      <ns0:c r="H5" s="12" t="inlineStr">
        <ns0:is>
          <ns0:t>Dongdo is only part of Dokdo, which also includes Seodo and associated islets.</ns0:t>
        </ns0:is>
      </ns0:c>
      <ns0:c r="I5" s="12" t="inlineStr">
        <ns0:is>
          <ns0:t>Dokdo consists of Dongdo, Seodo and the smaller islets around them.</ns0:t>
        </ns0:is>
      </ns0:c>
      <ns0:c r="J5" s="12" t="inlineStr">
        <ns0:is>
          <ns0:t>The composition data includes Dongdo, Seodo and 89 associated islets within Dokdo.</ns0:t>
        </ns0:is>
      </ns0:c>
      <ns0:c r="K5" s="12" t="inlineStr">
        <ns0:is>
          <ns0:t>대한민국 외교부 · 독도의 구성 및 위치
https://dokdo.mofa.go.kr/kor/introduce/location.jsp</ns0:t>
        </ns0:is>
      </ns0:c>
    </ns0:row>
    <ns0:row r="6" ht="98" customHeight="1">
      <ns0:c r="A6" s="10" t="n">
        <ns0:v>920005</ns0:v>
      </ns0:c>
      <ns0:c r="B6" s="10" t="inlineStr">
        <ns0:is>
          <ns0:t>In which direction from Ulleungdo is Dokdo?</ns0:t>
        </ns0:is>
      </ns0:c>
      <ns0:c r="C6" s="10" t="inlineStr">
        <ns0:is>
          <ns0:t>Northeast</ns0:t>
        </ns0:is>
      </ns0:c>
      <ns0:c r="D6" s="10" t="inlineStr">
        <ns0:is>
          <ns0:t>Southeast</ns0:t>
        </ns0:is>
      </ns0:c>
      <ns0:c r="E6" s="10" t="inlineStr">
        <ns0:is>
          <ns0:t>Southwest</ns0:t>
        </ns0:is>
      </ns0:c>
      <ns0:c r="F6" s="10" t="inlineStr">
        <ns0:is>
          <ns0:t>Northwest</ns0:t>
        </ns0:is>
      </ns0:c>
      <ns0:c r="G6" s="10" t="n">
        <ns0:v>2</ns0:v>
      </ns0:c>
      <ns0:c r="H6" s="10" t="inlineStr">
        <ns0:is>
          <ns0:t>Dokdo is both east and south of Ulleungdo: southeast.</ns0:t>
        </ns0:is>
      </ns0:c>
      <ns0:c r="I6" s="10" t="inlineStr">
        <ns0:is>
          <ns0:t>Dokdo lies about 87.4 km southeast of Ulleungdo.</ns0:t>
        </ns0:is>
      </ns0:c>
      <ns0:c r="J6" s="10" t="inlineStr"/>
      <ns0:c r="K6" s="10" t="inlineStr">
        <ns0:is>
          <ns0:t>대한민국 해양수산부 · 독도의 주소와 위치
https://www.mof.go.kr/doc/ko/selectDoc.do?bbsSeq=27&amp;docSeq=20937&amp;menuSeq=929
대한민국 외교부 · 독도의 구성 및 위치
https://dokdo.mofa.go.kr/kor/introduce/location.jsp</ns0:t>
        </ns0:is>
      </ns0:c>
    </ns0:row>
    <ns0:row r="7" ht="98" customHeight="1">
      <ns0:c r="A7" s="12" t="n">
        <ns0:v>920006</ns0:v>
      </ns0:c>
      <ns0:c r="B7" s="12" t="inlineStr">
        <ns0:is>
          <ns0:t>Approximately how far apart are Ulleungdo and Dokdo?</ns0:t>
        </ns0:is>
      </ns0:c>
      <ns0:c r="C7" s="12" t="inlineStr">
        <ns0:is>
          <ns0:t>157.5 km</ns0:t>
        </ns0:is>
      </ns0:c>
      <ns0:c r="D7" s="12" t="inlineStr">
        <ns0:is>
          <ns0:t>8.74 km</ns0:t>
        </ns0:is>
      </ns0:c>
      <ns0:c r="E7" s="12" t="inlineStr">
        <ns0:is>
          <ns0:t>87.4 km</ns0:t>
        </ns0:is>
      </ns0:c>
      <ns0:c r="F7" s="12" t="inlineStr">
        <ns0:is>
          <ns0:t>874 km</ns0:t>
        </ns0:is>
      </ns0:c>
      <ns0:c r="G7" s="12" t="n">
        <ns0:v>3</ns0:v>
      </ns0:c>
      <ns0:c r="H7" s="12" t="inlineStr">
        <ns0:is>
          <ns0:t>The distance between Ulleungdo and Dokdo is about 87.4 km.</ns0:t>
        </ns0:is>
      </ns0:c>
      <ns0:c r="I7" s="12" t="inlineStr">
        <ns0:is>
          <ns0:t>Dokdo lies about 87.4 km southeast of Ulleungdo.</ns0:t>
        </ns0:is>
      </ns0:c>
      <ns0:c r="J7" s="12" t="inlineStr"/>
      <ns0:c r="K7" s="12" t="inlineStr">
        <ns0:is>
          <ns0:t>대한민국 해양수산부 · 독도의 주소와 위치
https://www.mof.go.kr/doc/ko/selectDoc.do?bbsSeq=27&amp;docSeq=20937&amp;menuSeq=929
대한민국 외교부 · 독도의 구성 및 위치
https://dokdo.mofa.go.kr/kor/introduce/location.jsp</ns0:t>
        </ns0:is>
      </ns0:c>
    </ns0:row>
    <ns0:row r="8" ht="98" customHeight="1">
      <ns0:c r="A8" s="10" t="n">
        <ns0:v>920007</ns0:v>
      </ns0:c>
      <ns0:c r="B8" s="10" t="inlineStr">
        <ns0:is>
          <ns0:t>Which place is nearer to Dokdo in the distance table?</ns0:t>
        </ns0:is>
      </ns0:c>
      <ns0:c r="C8" s="10" t="inlineStr">
        <ns0:is>
          <ns0:t>Ulleungdo</ns0:t>
        </ns0:is>
      </ns0:c>
      <ns0:c r="D8" s="10" t="inlineStr">
        <ns0:is>
          <ns0:t>Japan’s Oki Islands</ns0:t>
        </ns0:is>
      </ns0:c>
      <ns0:c r="E8" s="10" t="inlineStr"/>
      <ns0:c r="F8" s="10" t="inlineStr"/>
      <ns0:c r="G8" s="10" t="n">
        <ns0:v>1</ns0:v>
      </ns0:c>
      <ns0:c r="H8" s="10" t="inlineStr">
        <ns0:is>
          <ns0:t>87.4 km is less than 157.5 km, so Ulleungdo is nearer.</ns0:t>
        </ns0:is>
      </ns0:c>
      <ns0:c r="I8" s="10" t="inlineStr">
        <ns0:is>
          <ns0:t>Dokdo lies about 87.4 km southeast of Ulleungdo.</ns0:t>
        </ns0:is>
      </ns0:c>
      <ns0:c r="J8" s="10" t="inlineStr">
        <ns0:is>
          <ns0:t>Dokdo to Ulleungdo: 87.4 km
Dokdo to Japan’s Oki Islands: 157.5 km</ns0:t>
        </ns0:is>
      </ns0:c>
      <ns0:c r="K8" s="10" t="inlineStr">
        <ns0:is>
          <ns0:t>대한민국 해양수산부 · 독도의 주소와 위치
https://www.mof.go.kr/doc/ko/selectDoc.do?bbsSeq=27&amp;docSeq=20937&amp;menuSeq=929
대한민국 외교부 · 독도의 구성 및 위치
https://dokdo.mofa.go.kr/kor/introduce/location.jsp</ns0:t>
        </ns0:is>
      </ns0:c>
    </ns0:row>
    <ns0:row r="9" ht="98" customHeight="1">
      <ns0:c r="A9" s="12" t="n">
        <ns0:v>920008</ns0:v>
      </ns0:c>
      <ns0:c r="B9" s="12" t="inlineStr">
        <ns0:is>
          <ns0:t>How many kilometres nearer to Dokdo is Ulleungdo than the Oki Islands?</ns0:t>
        </ns0:is>
      </ns0:c>
      <ns0:c r="C9" s="12" t="inlineStr">
        <ns0:is>
          <ns0:t>244.9 km</ns0:t>
        </ns0:is>
      </ns0:c>
      <ns0:c r="D9" s="12" t="inlineStr">
        <ns0:is>
          <ns0:t>87.4 km</ns0:t>
        </ns0:is>
      </ns0:c>
      <ns0:c r="E9" s="12" t="inlineStr">
        <ns0:is>
          <ns0:t>157.5 km</ns0:t>
        </ns0:is>
      </ns0:c>
      <ns0:c r="F9" s="12" t="inlineStr">
        <ns0:is>
          <ns0:t>70.1 km</ns0:t>
        </ns0:is>
      </ns0:c>
      <ns0:c r="G9" s="12" t="n">
        <ns0:v>4</ns0:v>
      </ns0:c>
      <ns0:c r="H9" s="12" t="inlineStr">
        <ns0:is>
          <ns0:t>Subtracting gives 157.5 − 87.4 = 70.1 km, the difference in distance.</ns0:t>
        </ns0:is>
      </ns0:c>
      <ns0:c r="I9" s="12" t="inlineStr">
        <ns0:is>
          <ns0:t>Dokdo lies about 87.4 km southeast of Ulleungdo.</ns0:t>
        </ns0:is>
      </ns0:c>
      <ns0:c r="J9" s="12" t="inlineStr">
        <ns0:is>
          <ns0:t>Dokdo–Ulleungdo: 87.4 km. Dokdo–Japan’s Oki Islands: 157.5 km. Use these distances to calculate the difference.</ns0:t>
        </ns0:is>
      </ns0:c>
      <ns0:c r="K9" s="12" t="inlineStr">
        <ns0:is>
          <ns0:t>대한민국 해양수산부 · 독도의 주소와 위치
https://www.mof.go.kr/doc/ko/selectDoc.do?bbsSeq=27&amp;docSeq=20937&amp;menuSeq=929
대한민국 외교부 · 독도의 구성 및 위치
https://dokdo.mofa.go.kr/kor/introduce/location.jsp</ns0:t>
        </ns0:is>
      </ns0:c>
    </ns0:row>
    <ns0:row r="10" ht="53" customHeight="1">
      <ns0:c r="A10" s="10" t="n">
        <ns0:v>920009</ns0:v>
      </ns0:c>
      <ns0:c r="B10" s="10" t="inlineStr">
        <ns0:is>
          <ns0:t>Which main island is on Dokdo’s eastern side?</ns0:t>
        </ns0:is>
      </ns0:c>
      <ns0:c r="C10" s="10" t="inlineStr">
        <ns0:is>
          <ns0:t>Seodo</ns0:t>
        </ns0:is>
      </ns0:c>
      <ns0:c r="D10" s="10" t="inlineStr">
        <ns0:is>
          <ns0:t>Dongdo</ns0:t>
        </ns0:is>
      </ns0:c>
      <ns0:c r="E10" s="10" t="inlineStr"/>
      <ns0:c r="F10" s="10" t="inlineStr"/>
      <ns0:c r="G10" s="10" t="n">
        <ns0:v>2</ns0:v>
      </ns0:c>
      <ns0:c r="H10" s="10" t="inlineStr">
        <ns0:is>
          <ns0:t>“Dong” means east; Dongdo is the eastern main island.</ns0:t>
        </ns0:is>
      </ns0:c>
      <ns0:c r="I10" s="10" t="inlineStr">
        <ns0:is>
          <ns0:t>Dongdo is the eastern main island and Seodo is the western one.</ns0:t>
        </ns0:is>
      </ns0:c>
      <ns0:c r="J10" s="10" t="inlineStr">
        <ns0:is>
          <ns0:t>This simplifies their directional relationship; it is not a coastline map.</ns0:t>
        </ns0:is>
      </ns0:c>
      <ns0:c r="K10" s="10" t="inlineStr">
        <ns0:is>
          <ns0:t>대한민국 외교부 · 독도의 구성 및 위치
https://dokdo.mofa.go.kr/kor/introduce/location.jsp</ns0:t>
        </ns0:is>
      </ns0:c>
    </ns0:row>
    <ns0:row r="11" ht="53" customHeight="1">
      <ns0:c r="A11" s="12" t="n">
        <ns0:v>920010</ns0:v>
      </ns0:c>
      <ns0:c r="B11" s="12" t="inlineStr">
        <ns0:is>
          <ns0:t>What name labels Dokdo’s western main island?</ns0:t>
        </ns0:is>
      </ns0:c>
      <ns0:c r="C11" s="12" t="inlineStr">
        <ns0:is>
          <ns0:t>Seodo</ns0:t>
        </ns0:is>
      </ns0:c>
      <ns0:c r="D11" s="12" t="inlineStr">
        <ns0:is>
          <ns0:t>Dongdo</ns0:t>
        </ns0:is>
      </ns0:c>
      <ns0:c r="E11" s="12" t="inlineStr"/>
      <ns0:c r="F11" s="12" t="inlineStr"/>
      <ns0:c r="G11" s="12" t="n">
        <ns0:v>1</ns0:v>
      </ns0:c>
      <ns0:c r="H11" s="12" t="inlineStr">
        <ns0:is>
          <ns0:t>Seodo is the western island; Dongdo is the eastern one.</ns0:t>
        </ns0:is>
      </ns0:c>
      <ns0:c r="I11" s="12" t="inlineStr">
        <ns0:is>
          <ns0:t>Dongdo is the eastern main island and Seodo is the western one.</ns0:t>
        </ns0:is>
      </ns0:c>
      <ns0:c r="J11" s="12" t="inlineStr">
        <ns0:is>
          <ns0:t>This simplifies their directional relationship; it is not a coastline map.</ns0:t>
        </ns0:is>
      </ns0:c>
      <ns0:c r="K11" s="12" t="inlineStr">
        <ns0:is>
          <ns0:t>대한민국 외교부 · 독도의 구성 및 위치
https://dokdo.mofa.go.kr/kor/introduce/location.jsp</ns0:t>
        </ns0:is>
      </ns0:c>
    </ns0:row>
    <ns0:row r="12" ht="68" customHeight="1">
      <ns0:c r="A12" s="10" t="n">
        <ns0:v>920011</ns0:v>
      </ns0:c>
      <ns0:c r="B12" s="10" t="inlineStr">
        <ns0:is>
          <ns0:t>Which island name belongs at A in the position key?</ns0:t>
        </ns0:is>
      </ns0:c>
      <ns0:c r="C12" s="10" t="inlineStr">
        <ns0:is>
          <ns0:t>Dongdo</ns0:t>
        </ns0:is>
      </ns0:c>
      <ns0:c r="D12" s="10" t="inlineStr">
        <ns0:is>
          <ns0:t>Seodo</ns0:t>
        </ns0:is>
      </ns0:c>
      <ns0:c r="E12" s="10" t="inlineStr"/>
      <ns0:c r="F12" s="10" t="inlineStr"/>
      <ns0:c r="G12" s="10" t="n">
        <ns0:v>2</ns0:v>
      </ns0:c>
      <ns0:c r="H12" s="10" t="inlineStr">
        <ns0:is>
          <ns0:t>A occupies the western position, so it is Seodo.</ns0:t>
        </ns0:is>
      </ns0:c>
      <ns0:c r="I12" s="10" t="inlineStr">
        <ns0:is>
          <ns0:t>Dongdo is the eastern main island and Seodo is the western one.</ns0:t>
        </ns0:is>
      </ns0:c>
      <ns0:c r="J12" s="10" t="inlineStr">
        <ns0:is>
          <ns0:t>West ← [ A ] ··· [ Dongdo ] → East
This key shows only the simplified east–west relationship.
This simplifies their directional relationship; it is not a coastline map.</ns0:t>
        </ns0:is>
      </ns0:c>
      <ns0:c r="K12" s="10" t="inlineStr">
        <ns0:is>
          <ns0:t>대한민국 외교부 · 독도의 구성 및 위치
https://dokdo.mofa.go.kr/kor/introduce/location.jsp</ns0:t>
        </ns0:is>
      </ns0:c>
    </ns0:row>
    <ns0:row r="13" ht="83" customHeight="1">
      <ns0:c r="A13" s="12" t="n">
        <ns0:v>920012</ns0:v>
      </ns0:c>
      <ns0:c r="B13" s="12" t="inlineStr">
        <ns0:is>
          <ns0:t>On a position key with east pointing left, on which side is Dongdo placed?</ns0:t>
        </ns0:is>
      </ns0:c>
      <ns0:c r="C13" s="12" t="inlineStr">
        <ns0:is>
          <ns0:t>Left</ns0:t>
        </ns0:is>
      </ns0:c>
      <ns0:c r="D13" s="12" t="inlineStr">
        <ns0:is>
          <ns0:t>Right</ns0:t>
        </ns0:is>
      </ns0:c>
      <ns0:c r="E13" s="12" t="inlineStr"/>
      <ns0:c r="F13" s="12" t="inlineStr"/>
      <ns0:c r="G13" s="12" t="n">
        <ns0:v>1</ns0:v>
      </ns0:c>
      <ns0:c r="H13" s="12" t="inlineStr">
        <ns0:is>
          <ns0:t>East points left in this key, so the eastern island, Dongdo, is on the left.</ns0:t>
        </ns0:is>
      </ns0:c>
      <ns0:c r="I13" s="12" t="inlineStr">
        <ns0:is>
          <ns0:t>Dongdo is the eastern main island and Seodo is the western one.</ns0:t>
        </ns0:is>
      </ns0:c>
      <ns0:c r="J13" s="12" t="inlineStr">
        <ns0:is>
          <ns0:t>East ← [ A ] ··· [ B ] → West
Dongdo is the eastern island and Seodo is the western island. Follow the arrows in this key.
This simplifies their directional relationship; it is not a coastline map.</ns0:t>
        </ns0:is>
      </ns0:c>
      <ns0:c r="K13" s="12" t="inlineStr">
        <ns0:is>
          <ns0:t>대한민국 외교부 · 독도의 구성 및 위치
https://dokdo.mofa.go.kr/kor/introduce/location.jsp</ns0:t>
        </ns0:is>
      </ns0:c>
    </ns0:row>
    <ns0:row r="14" ht="98" customHeight="1">
      <ns0:c r="A14" s="10" t="n">
        <ns0:v>920013</ns0:v>
      </ns0:c>
      <ns0:c r="B14" s="10" t="inlineStr">
        <ns0:is>
          <ns0:t>What weather offers a good chance of seeing Dokdo from Ulleungdo?</ns0:t>
        </ns0:is>
      </ns0:c>
      <ns0:c r="C14" s="10" t="inlineStr">
        <ns0:is>
          <ns0:t>Clear weather with good visibility</ns0:t>
        </ns0:is>
      </ns0:c>
      <ns0:c r="D14" s="10" t="inlineStr">
        <ns0:is>
          <ns0:t>Dense fog</ns0:t>
        </ns0:is>
      </ns0:c>
      <ns0:c r="E14" s="10" t="inlineStr">
        <ns0:is>
          <ns0:t>Rain that obscures the view</ns0:t>
        </ns0:is>
      </ns0:c>
      <ns0:c r="F14" s="10" t="inlineStr"/>
      <ns0:c r="G14" s="10" t="n">
        <ns0:v>1</ns0:v>
      </ns0:c>
      <ns0:c r="H14" s="10" t="inlineStr">
        <ns0:is>
          <ns0:t>Clear air allows a distant island such as Dokdo to be visible.</ns0:t>
        </ns0:is>
      </ns0:c>
      <ns0:c r="I14" s="10" t="inlineStr">
        <ns0:is>
          <ns0:t>Dokdo can be seen from Ulleungdo in clear weather with good visibility.</ns0:t>
        </ns0:is>
      </ns0:c>
      <ns0:c r="J14" s="10" t="inlineStr"/>
      <ns0:c r="K14" s="10" t="inlineStr">
        <ns0:is>
          <ns0:t>대한민국 외교부 자료실 · 세종실록 지리지(1454)
https://dokdo.mofa.go.kr/kor/pds/part06_view02.jsp
대한민국 외교부 · 독도의 구성 및 위치
https://dokdo.mofa.go.kr/kor/introduce/location.jsp</ns0:t>
        </ns0:is>
      </ns0:c>
    </ns0:row>
    <ns0:row r="15" ht="98" customHeight="1">
      <ns0:c r="A15" s="12" t="n">
        <ns0:v>920014</ns0:v>
      </ns0:c>
      <ns0:c r="B15" s="12" t="inlineStr">
        <ns0:is>
          <ns0:t>Which atmospheric condition helps observers see distant Dokdo from Ulleungdo?</ns0:t>
        </ns0:is>
      </ns0:c>
      <ns0:c r="C15" s="12" t="inlineStr">
        <ns0:is>
          <ns0:t>Dense fog over the sea</ns0:t>
        </ns0:is>
      </ns0:c>
      <ns0:c r="D15" s="12" t="inlineStr">
        <ns0:is>
          <ns0:t>Little fog and clear visibility</ns0:t>
        </ns0:is>
      </ns0:c>
      <ns0:c r="E15" s="12" t="inlineStr">
        <ns0:is>
          <ns0:t>Heavy rain reducing visibility</ns0:t>
        </ns0:is>
      </ns0:c>
      <ns0:c r="F15" s="12" t="inlineStr"/>
      <ns0:c r="G15" s="12" t="n">
        <ns0:v>2</ns0:v>
      </ns0:c>
      <ns0:c r="H15" s="12" t="inlineStr">
        <ns0:is>
          <ns0:t>Distant viewing requires conditions with little obscuring fog.</ns0:t>
        </ns0:is>
      </ns0:c>
      <ns0:c r="I15" s="12" t="inlineStr">
        <ns0:is>
          <ns0:t>Dokdo can be seen from Ulleungdo in clear weather with good visibility.</ns0:t>
        </ns0:is>
      </ns0:c>
      <ns0:c r="J15" s="12" t="inlineStr"/>
      <ns0:c r="K15" s="12" t="inlineStr">
        <ns0:is>
          <ns0:t>대한민국 외교부 자료실 · 세종실록 지리지(1454)
https://dokdo.mofa.go.kr/kor/pds/part06_view02.jsp
대한민국 외교부 · 독도의 구성 및 위치
https://dokdo.mofa.go.kr/kor/introduce/location.jsp</ns0:t>
        </ns0:is>
      </ns0:c>
    </ns0:row>
    <ns0:row r="16" ht="98" customHeight="1">
      <ns0:c r="A16" s="10" t="n">
        <ns0:v>920015</ns0:v>
      </ns0:c>
      <ns0:c r="B16" s="10" t="inlineStr">
        <ns0:is>
          <ns0:t>What weather does the Sejong geographical record associate with seeing the two islands?</ns0:t>
        </ns0:is>
      </ns0:c>
      <ns0:c r="C16" s="10" t="inlineStr">
        <ns0:is>
          <ns0:t>When there is dense fog</ns0:t>
        </ns0:is>
      </ns0:c>
      <ns0:c r="D16" s="10" t="inlineStr">
        <ns0:is>
          <ns0:t>Every day regardless of conditions</ns0:t>
        </ns0:is>
      </ns0:c>
      <ns0:c r="E16" s="10" t="inlineStr">
        <ns0:is>
          <ns0:t>When the weather is clear</ns0:t>
        </ns0:is>
      </ns0:c>
      <ns0:c r="F16" s="10" t="inlineStr"/>
      <ns0:c r="G16" s="10" t="n">
        <ns0:v>3</ns0:v>
      </ns0:c>
      <ns0:c r="H16" s="10" t="inlineStr">
        <ns0:is>
          <ns0:t>The translation says the islands can be seen when the weather is clear.</ns0:t>
        </ns0:is>
      </ns0:c>
      <ns0:c r="I16" s="10" t="inlineStr">
        <ns0:is>
          <ns0:t>Dokdo can be seen from Ulleungdo in clear weather with good visibility.</ns0:t>
        </ns0:is>
      </ns0:c>
      <ns0:c r="J16" s="10" t="inlineStr">
        <ns0:is>
          <ns0:t>Summary of the translated 1454 Sejong geographical record: Usan and Mureung are not far apart and can be seen in clear weather. The cited commentary identifies them as Dokdo and Ulleungdo.</ns0:t>
        </ns0:is>
      </ns0:c>
      <ns0:c r="K16" s="10" t="inlineStr">
        <ns0:is>
          <ns0:t>대한민국 외교부 자료실 · 세종실록 지리지(1454)
https://dokdo.mofa.go.kr/kor/pds/part06_view02.jsp
대한민국 외교부 · 독도의 구성 및 위치
https://dokdo.mofa.go.kr/kor/introduce/location.jsp</ns0:t>
        </ns0:is>
      </ns0:c>
    </ns0:row>
    <ns0:row r="17" ht="98" customHeight="1">
      <ns0:c r="A17" s="12" t="n">
        <ns0:v>920016</ns0:v>
      </ns0:c>
      <ns0:c r="B17" s="12" t="inlineStr">
        <ns0:is>
          <ns0:t>Which of the two days is more suitable for viewing Dokdo from Ulleungdo?</ns0:t>
        </ns0:is>
      </ns0:c>
      <ns0:c r="C17" s="12" t="inlineStr">
        <ns0:is>
          <ns0:t>Day B</ns0:t>
        </ns0:is>
      </ns0:c>
      <ns0:c r="D17" s="12" t="inlineStr">
        <ns0:is>
          <ns0:t>Day A</ns0:t>
        </ns0:is>
      </ns0:c>
      <ns0:c r="E17" s="12" t="inlineStr"/>
      <ns0:c r="F17" s="12" t="inlineStr"/>
      <ns0:c r="G17" s="12" t="n">
        <ns0:v>2</ns0:v>
      </ns0:c>
      <ns0:c r="H17" s="12" t="inlineStr">
        <ns0:is>
          <ns0:t>Day A has clearer visibility for viewing the distant islands.</ns0:t>
        </ns0:is>
      </ns0:c>
      <ns0:c r="I17" s="12" t="inlineStr">
        <ns0:is>
          <ns0:t>Dokdo can be seen from Ulleungdo in clear weather with good visibility.</ns0:t>
        </ns0:is>
      </ns0:c>
      <ns0:c r="J17" s="12" t="inlineStr">
        <ns0:is>
          <ns0:t>Illustrative plan: day A has clear visibility without fog; on day B dense fog obscures the distant sea. Both observations would use the same point on Ulleungdo.</ns0:t>
        </ns0:is>
      </ns0:c>
      <ns0:c r="K17" s="12" t="inlineStr">
        <ns0:is>
          <ns0:t>대한민국 외교부 자료실 · 세종실록 지리지(1454)
https://dokdo.mofa.go.kr/kor/pds/part06_view02.jsp
대한민국 외교부 · 독도의 구성 및 위치
https://dokdo.mofa.go.kr/kor/introduce/location.jsp</ns0:t>
        </ns0:is>
      </ns0:c>
    </ns0:row>
    <ns0:row r="18" ht="98" customHeight="1">
      <ns0:c r="A18" s="10" t="n">
        <ns0:v>920017</ns0:v>
      </ns0:c>
      <ns0:c r="B18" s="10" t="inlineStr">
        <ns0:is>
          <ns0:t>Which two main islands are counted separately from Dokdo’s 89 associated islets?</ns0:t>
        </ns0:is>
      </ns0:c>
      <ns0:c r="C18" s="10" t="inlineStr">
        <ns0:is>
          <ns0:t>Dongdo and Seodo</ns0:t>
        </ns0:is>
      </ns0:c>
      <ns0:c r="D18" s="10" t="inlineStr">
        <ns0:is>
          <ns0:t>Ulleungdo and Dokdo</ns0:t>
        </ns0:is>
      </ns0:c>
      <ns0:c r="E18" s="10" t="inlineStr">
        <ns0:is>
          <ns0:t>Dongdo and Ulleungdo</ns0:t>
        </ns0:is>
      </ns0:c>
      <ns0:c r="F18" s="10" t="inlineStr"/>
      <ns0:c r="G18" s="10" t="n">
        <ns0:v>1</ns0:v>
      </ns0:c>
      <ns0:c r="H18" s="10" t="inlineStr">
        <ns0:is>
          <ns0:t>The 89 associated islets are in addition to Dongdo and Seodo.</ns0:t>
        </ns0:is>
      </ns0:c>
      <ns0:c r="I18" s="10" t="inlineStr">
        <ns0:is>
          <ns0:t>Dokdo’s 89 associated islets are counted separately from Dongdo and Seodo.</ns0:t>
        </ns0:is>
      </ns0:c>
      <ns0:c r="J18" s="10" t="inlineStr"/>
      <ns0:c r="K18" s="10" t="inlineStr">
        <ns0:is>
          <ns0:t>대한민국 외교부 · 독도의 구성 및 위치
https://dokdo.mofa.go.kr/kor/introduce/location.jsp
대한민국 한국해양과학기술원 · 독도 위치 및 규모
https://www.dokdo.re.kr/home/cms/cmsCont.do?cntnts_sn=64</ns0:t>
        </ns0:is>
      </ns0:c>
    </ns0:row>
    <ns0:row r="19" ht="98" customHeight="1">
      <ns0:c r="A19" s="12" t="n">
        <ns0:v>920018</ns0:v>
      </ns0:c>
      <ns0:c r="B19" s="12" t="inlineStr">
        <ns0:is>
          <ns0:t>How many islands are there when Dongdo, Seodo and 89 associated islets are counted together?</ns0:t>
        </ns0:is>
      </ns0:c>
      <ns0:c r="C19" s="12" t="inlineStr">
        <ns0:is>
          <ns0:t>91</ns0:t>
        </ns0:is>
      </ns0:c>
      <ns0:c r="D19" s="12" t="inlineStr">
        <ns0:is>
          <ns0:t>89</ns0:t>
        </ns0:is>
      </ns0:c>
      <ns0:c r="E19" s="12" t="inlineStr">
        <ns0:is>
          <ns0:t>90</ns0:t>
        </ns0:is>
      </ns0:c>
      <ns0:c r="F19" s="12" t="inlineStr">
        <ns0:is>
          <ns0:t>93</ns0:t>
        </ns0:is>
      </ns0:c>
      <ns0:c r="G19" s="12" t="n">
        <ns0:v>1</ns0:v>
      </ns0:c>
      <ns0:c r="H19" s="12" t="inlineStr">
        <ns0:is>
          <ns0:t>Two main islands plus 89 associated islets equals 91.</ns0:t>
        </ns0:is>
      </ns0:c>
      <ns0:c r="I19" s="12" t="inlineStr">
        <ns0:is>
          <ns0:t>Dokdo’s 89 associated islets are counted separately from Dongdo and Seodo.</ns0:t>
        </ns0:is>
      </ns0:c>
      <ns0:c r="J19" s="12" t="inlineStr"/>
      <ns0:c r="K19" s="12" t="inlineStr">
        <ns0:is>
          <ns0:t>대한민국 외교부 · 독도의 구성 및 위치
https://dokdo.mofa.go.kr/kor/introduce/location.jsp
대한민국 한국해양과학기술원 · 독도 위치 및 규모
https://www.dokdo.re.kr/home/cms/cmsCont.do?cntnts_sn=64</ns0:t>
        </ns0:is>
      </ns0:c>
    </ns0:row>
    <ns0:row r="20" ht="98" customHeight="1">
      <ns0:c r="A20" s="10" t="n">
        <ns0:v>920019</ns0:v>
      </ns0:c>
      <ns0:c r="B20" s="10" t="inlineStr">
        <ns0:is>
          <ns0:t>What is the combined area of the associated islets in the table?</ns0:t>
        </ns0:is>
      </ns0:c>
      <ns0:c r="C20" s="10" t="inlineStr">
        <ns0:is>
          <ns0:t>73,297 m²</ns0:t>
        </ns0:is>
      </ns0:c>
      <ns0:c r="D20" s="10" t="inlineStr">
        <ns0:is>
          <ns0:t>25,517 m²</ns0:t>
        </ns0:is>
      </ns0:c>
      <ns0:c r="E20" s="10" t="inlineStr">
        <ns0:is>
          <ns0:t>88,740 m²</ns0:t>
        </ns0:is>
      </ns0:c>
      <ns0:c r="F20" s="10" t="inlineStr">
        <ns0:is>
          <ns0:t>187,554 m²</ns0:t>
        </ns0:is>
      </ns0:c>
      <ns0:c r="G20" s="10" t="n">
        <ns0:v>2</ns0:v>
      </ns0:c>
      <ns0:c r="H20" s="10" t="inlineStr">
        <ns0:is>
          <ns0:t>The associated-islets row is 25,517 m², not the total or a main island’s area.</ns0:t>
        </ns0:is>
      </ns0:c>
      <ns0:c r="I20" s="10" t="inlineStr">
        <ns0:is>
          <ns0:t>Dokdo’s 89 associated islets are counted separately from Dongdo and Seodo.</ns0:t>
        </ns0:is>
      </ns0:c>
      <ns0:c r="J20" s="10" t="inlineStr">
        <ns0:is>
          <ns0:t>Dongdo: 73,297 m²
Seodo: 88,740 m²
89 associated islets: 25,517 m²
Total: 187,554 m²</ns0:t>
        </ns0:is>
      </ns0:c>
      <ns0:c r="K20" s="10" t="inlineStr">
        <ns0:is>
          <ns0:t>대한민국 외교부 · 독도의 구성 및 위치
https://dokdo.mofa.go.kr/kor/introduce/location.jsp
대한민국 한국해양과학기술원 · 독도 위치 및 규모
https://www.dokdo.re.kr/home/cms/cmsCont.do?cntnts_sn=64</ns0:t>
        </ns0:is>
      </ns0:c>
    </ns0:row>
    <ns0:row r="21" ht="98" customHeight="1">
      <ns0:c r="A21" s="12" t="n">
        <ns0:v>920020</ns0:v>
      </ns0:c>
      <ns0:c r="B21" s="12" t="inlineStr">
        <ns0:is>
          <ns0:t>What is left out when Dokdo’s total area is calculated using only Dongdo and Seodo?</ns0:t>
        </ns0:is>
      </ns0:c>
      <ns0:c r="C21" s="12" t="inlineStr">
        <ns0:is>
          <ns0:t>25,517 m² of sea between the islands</ns0:t>
        </ns0:is>
      </ns0:c>
      <ns0:c r="D21" s="12" t="inlineStr">
        <ns0:is>
          <ns0:t>25,517 m² of associated islets</ns0:t>
        </ns0:is>
      </ns0:c>
      <ns0:c r="E21" s="12" t="inlineStr">
        <ns0:is>
          <ns0:t>25,517 m² of Ulleungdo</ns0:t>
        </ns0:is>
      </ns0:c>
      <ns0:c r="F21" s="12" t="inlineStr"/>
      <ns0:c r="G21" s="12" t="n">
        <ns0:v>2</ns0:v>
      </ns0:c>
      <ns0:c r="H21" s="12" t="inlineStr">
        <ns0:is>
          <ns0:t>187,554 − 73,297 − 88,740 = 25,517 m², the land area of the associated islets.</ns0:t>
        </ns0:is>
      </ns0:c>
      <ns0:c r="I21" s="12" t="inlineStr">
        <ns0:is>
          <ns0:t>Dokdo’s 89 associated islets are counted separately from Dongdo and Seodo.</ns0:t>
        </ns0:is>
      </ns0:c>
      <ns0:c r="J21" s="12" t="inlineStr">
        <ns0:is>
          <ns0:t>Dokdo total land area: 187,554 m²; Dongdo: 73,297 m²; Seodo: 88,740 m². Associated islets also contribute land area.</ns0:t>
        </ns0:is>
      </ns0:c>
      <ns0:c r="K21" s="12" t="inlineStr">
        <ns0:is>
          <ns0:t>대한민국 외교부 · 독도의 구성 및 위치
https://dokdo.mofa.go.kr/kor/introduce/location.jsp
대한민국 한국해양과학기술원 · 독도 위치 및 규모
https://www.dokdo.re.kr/home/cms/cmsCont.do?cntnts_sn=64</ns0:t>
        </ns0:is>
      </ns0:c>
    </ns0:row>
    <ns0:row r="22" ht="98" customHeight="1">
      <ns0:c r="A22" s="10" t="n">
        <ns0:v>920021</ns0:v>
      </ns0:c>
      <ns0:c r="B22" s="10" t="inlineStr">
        <ns0:is>
          <ns0:t>Which of Dokdo’s two main islands is higher?</ns0:t>
        </ns0:is>
      </ns0:c>
      <ns0:c r="C22" s="10" t="inlineStr">
        <ns0:is>
          <ns0:t>Seodo</ns0:t>
        </ns0:is>
      </ns0:c>
      <ns0:c r="D22" s="10" t="inlineStr">
        <ns0:is>
          <ns0:t>Dongdo</ns0:t>
        </ns0:is>
      </ns0:c>
      <ns0:c r="E22" s="10" t="inlineStr"/>
      <ns0:c r="F22" s="10" t="inlineStr"/>
      <ns0:c r="G22" s="10" t="n">
        <ns0:v>1</ns0:v>
      </ns0:c>
      <ns0:c r="H22" s="10" t="inlineStr">
        <ns0:is>
          <ns0:t>Seodo reaches 168.5 m, higher than Dongdo’s 98.6 m.</ns0:t>
        </ns0:is>
      </ns0:c>
      <ns0:c r="I22" s="10" t="inlineStr">
        <ns0:is>
          <ns0:t>Seodo is the higher main island: 168.5 m, compared with Dongdo’s 98.6 m.</ns0:t>
        </ns0:is>
      </ns0:c>
      <ns0:c r="J22" s="10" t="inlineStr"/>
      <ns0:c r="K22" s="10" t="inlineStr">
        <ns0:is>
          <ns0:t>대한민국 외교부 · 독도의 구성 및 위치
https://dokdo.mofa.go.kr/kor/introduce/location.jsp
대한민국 한국해양과학기술원 · 독도 위치 및 규모
https://www.dokdo.re.kr/home/cms/cmsCont.do?cntnts_sn=64</ns0:t>
        </ns0:is>
      </ns0:c>
    </ns0:row>
    <ns0:row r="23" ht="98" customHeight="1">
      <ns0:c r="A23" s="12" t="n">
        <ns0:v>920022</ns0:v>
      </ns0:c>
      <ns0:c r="B23" s="12" t="inlineStr">
        <ns0:is>
          <ns0:t>Which main island of Dokdo reaches a maximum height of 98.6 m?</ns0:t>
        </ns0:is>
      </ns0:c>
      <ns0:c r="C23" s="12" t="inlineStr">
        <ns0:is>
          <ns0:t>Seodo</ns0:t>
        </ns0:is>
      </ns0:c>
      <ns0:c r="D23" s="12" t="inlineStr">
        <ns0:is>
          <ns0:t>Dongdo</ns0:t>
        </ns0:is>
      </ns0:c>
      <ns0:c r="E23" s="12" t="inlineStr"/>
      <ns0:c r="F23" s="12" t="inlineStr"/>
      <ns0:c r="G23" s="12" t="n">
        <ns0:v>2</ns0:v>
      </ns0:c>
      <ns0:c r="H23" s="12" t="inlineStr">
        <ns0:is>
          <ns0:t>98.6 m is Dongdo’s maximum elevation.</ns0:t>
        </ns0:is>
      </ns0:c>
      <ns0:c r="I23" s="12" t="inlineStr">
        <ns0:is>
          <ns0:t>Seodo is the higher main island: 168.5 m, compared with Dongdo’s 98.6 m.</ns0:t>
        </ns0:is>
      </ns0:c>
      <ns0:c r="J23" s="12" t="inlineStr"/>
      <ns0:c r="K23" s="12" t="inlineStr">
        <ns0:is>
          <ns0:t>대한민국 외교부 · 독도의 구성 및 위치
https://dokdo.mofa.go.kr/kor/introduce/location.jsp
대한민국 한국해양과학기술원 · 독도 위치 및 규모
https://www.dokdo.re.kr/home/cms/cmsCont.do?cntnts_sn=64</ns0:t>
        </ns0:is>
      </ns0:c>
    </ns0:row>
    <ns0:row r="24" ht="98" customHeight="1">
      <ns0:c r="A24" s="10" t="n">
        <ns0:v>920023</ns0:v>
      </ns0:c>
      <ns0:c r="B24" s="10" t="inlineStr">
        <ns0:is>
          <ns0:t>According to the height table, how many metres higher is Seodo than Dongdo?</ns0:t>
        </ns0:is>
      </ns0:c>
      <ns0:c r="C24" s="10" t="inlineStr">
        <ns0:is>
          <ns0:t>267.1 m</ns0:t>
        </ns0:is>
      </ns0:c>
      <ns0:c r="D24" s="10" t="inlineStr">
        <ns0:is>
          <ns0:t>98.6 m</ns0:t>
        </ns0:is>
      </ns0:c>
      <ns0:c r="E24" s="10" t="inlineStr">
        <ns0:is>
          <ns0:t>69.9 m</ns0:t>
        </ns0:is>
      </ns0:c>
      <ns0:c r="F24" s="10" t="inlineStr">
        <ns0:is>
          <ns0:t>151 m</ns0:t>
        </ns0:is>
      </ns0:c>
      <ns0:c r="G24" s="10" t="n">
        <ns0:v>3</ns0:v>
      </ns0:c>
      <ns0:c r="H24" s="10" t="inlineStr">
        <ns0:is>
          <ns0:t>Subtracting the two elevations gives 168.5 − 98.6 = 69.9 m.</ns0:t>
        </ns0:is>
      </ns0:c>
      <ns0:c r="I24" s="10" t="inlineStr">
        <ns0:is>
          <ns0:t>Seodo is the higher main island: 168.5 m, compared with Dongdo’s 98.6 m.</ns0:t>
        </ns0:is>
      </ns0:c>
      <ns0:c r="J24" s="10" t="inlineStr">
        <ns0:is>
          <ns0:t>Seodo maximum elevation: 168.5 m
Dongdo maximum elevation: 98.6 m
Both elevations are measured relative to sea level.</ns0:t>
        </ns0:is>
      </ns0:c>
      <ns0:c r="K24" s="10" t="inlineStr">
        <ns0:is>
          <ns0:t>대한민국 외교부 · 독도의 구성 및 위치
https://dokdo.mofa.go.kr/kor/introduce/location.jsp
대한민국 한국해양과학기술원 · 독도 위치 및 규모
https://www.dokdo.re.kr/home/cms/cmsCont.do?cntnts_sn=64</ns0:t>
        </ns0:is>
      </ns0:c>
    </ns0:row>
    <ns0:row r="25" ht="98" customHeight="1">
      <ns0:c r="A25" s="12" t="n">
        <ns0:v>920024</ns0:v>
      </ns0:c>
      <ns0:c r="B25" s="12" t="inlineStr">
        <ns0:is>
          <ns0:t>Which island has land above 100 m, based on the elevations in the table?</ns0:t>
        </ns0:is>
      </ns0:c>
      <ns0:c r="C25" s="12" t="inlineStr">
        <ns0:is>
          <ns0:t>Dongdo only</ns0:t>
        </ns0:is>
      </ns0:c>
      <ns0:c r="D25" s="12" t="inlineStr">
        <ns0:is>
          <ns0:t>Both islands</ns0:t>
        </ns0:is>
      </ns0:c>
      <ns0:c r="E25" s="12" t="inlineStr">
        <ns0:is>
          <ns0:t>Neither island</ns0:t>
        </ns0:is>
      </ns0:c>
      <ns0:c r="F25" s="12" t="inlineStr">
        <ns0:is>
          <ns0:t>Seodo only</ns0:t>
        </ns0:is>
      </ns0:c>
      <ns0:c r="G25" s="12" t="n">
        <ns0:v>4</ns0:v>
      </ns0:c>
      <ns0:c r="H25" s="12" t="inlineStr">
        <ns0:is>
          <ns0:t>Seodo reaches 168.5 m; Dongdo peaks at 98.6 m and therefore has no point at 100 m.</ns0:t>
        </ns0:is>
      </ns0:c>
      <ns0:c r="I25" s="12" t="inlineStr">
        <ns0:is>
          <ns0:t>Seodo is the higher main island: 168.5 m, compared with Dongdo’s 98.6 m.</ns0:t>
        </ns0:is>
      </ns0:c>
      <ns0:c r="J25" s="12" t="inlineStr">
        <ns0:is>
          <ns0:t>Seodo: 168.5 m; Dongdo: 98.6 m. Consider which island could have a 100 m contour.</ns0:t>
        </ns0:is>
      </ns0:c>
      <ns0:c r="K25" s="12" t="inlineStr">
        <ns0:is>
          <ns0:t>대한민국 외교부 · 독도의 구성 및 위치
https://dokdo.mofa.go.kr/kor/introduce/location.jsp
대한민국 한국해양과학기술원 · 독도 위치 및 규모
https://www.dokdo.re.kr/home/cms/cmsCont.do?cntnts_sn=64</ns0:t>
        </ns0:is>
      </ns0:c>
    </ns0:row>
    <ns0:row r="26" ht="98" customHeight="1">
      <ns0:c r="A26" s="10" t="n">
        <ns0:v>920025</ns0:v>
      </ns0:c>
      <ns0:c r="B26" s="10" t="inlineStr">
        <ns0:is>
          <ns0:t>Which of Dokdo’s main islands has the larger land area?</ns0:t>
        </ns0:is>
      </ns0:c>
      <ns0:c r="C26" s="10" t="inlineStr">
        <ns0:is>
          <ns0:t>Seodo</ns0:t>
        </ns0:is>
      </ns0:c>
      <ns0:c r="D26" s="10" t="inlineStr">
        <ns0:is>
          <ns0:t>Dongdo</ns0:t>
        </ns0:is>
      </ns0:c>
      <ns0:c r="E26" s="10" t="inlineStr"/>
      <ns0:c r="F26" s="10" t="inlineStr"/>
      <ns0:c r="G26" s="10" t="n">
        <ns0:v>1</ns0:v>
      </ns0:c>
      <ns0:c r="H26" s="10" t="inlineStr">
        <ns0:is>
          <ns0:t>Seodo’s 88,740 m² exceeds Dongdo’s 73,297 m².</ns0:t>
        </ns0:is>
      </ns0:c>
      <ns0:c r="I26" s="10" t="inlineStr">
        <ns0:is>
          <ns0:t>Seodo has the larger area, but Dongdo has the longer coastline.</ns0:t>
        </ns0:is>
      </ns0:c>
      <ns0:c r="J26" s="10" t="inlineStr"/>
      <ns0:c r="K26" s="10" t="inlineStr">
        <ns0:is>
          <ns0:t>대한민국 외교부 · 독도의 구성 및 위치
https://dokdo.mofa.go.kr/kor/introduce/location.jsp
대한민국 한국해양과학기술원 · 독도 위치 및 규모
https://www.dokdo.re.kr/home/cms/cmsCont.do?cntnts_sn=64</ns0:t>
        </ns0:is>
      </ns0:c>
    </ns0:row>
    <ns0:row r="27" ht="98" customHeight="1">
      <ns0:c r="A27" s="12" t="n">
        <ns0:v>920026</ns0:v>
      </ns0:c>
      <ns0:c r="B27" s="12" t="inlineStr">
        <ns0:is>
          <ns0:t>What does m² measure in Dokdo’s area table?</ns0:t>
        </ns0:is>
      </ns0:c>
      <ns0:c r="C27" s="12" t="inlineStr">
        <ns0:is>
          <ns0:t>Peak elevation</ns0:t>
        </ns0:is>
      </ns0:c>
      <ns0:c r="D27" s="12" t="inlineStr">
        <ns0:is>
          <ns0:t>Length along the coastline</ns0:t>
        </ns0:is>
      </ns0:c>
      <ns0:c r="E27" s="12" t="inlineStr">
        <ns0:is>
          <ns0:t>Land area</ns0:t>
        </ns0:is>
      </ns0:c>
      <ns0:c r="F27" s="12" t="inlineStr"/>
      <ns0:c r="G27" s="12" t="n">
        <ns0:v>3</ns0:v>
      </ns0:c>
      <ns0:c r="H27" s="12" t="inlineStr">
        <ns0:is>
          <ns0:t>Square metres measure area, unlike metres used for elevation.</ns0:t>
        </ns0:is>
      </ns0:c>
      <ns0:c r="I27" s="12" t="inlineStr">
        <ns0:is>
          <ns0:t>Seodo has the larger area, but Dongdo has the longer coastline.</ns0:t>
        </ns0:is>
      </ns0:c>
      <ns0:c r="J27" s="12" t="inlineStr">
        <ns0:is>
          <ns0:t>Seodo: 88,740 m² / Dongdo: 73,297 m²</ns0:t>
        </ns0:is>
      </ns0:c>
      <ns0:c r="K27" s="12" t="inlineStr">
        <ns0:is>
          <ns0:t>대한민국 외교부 · 독도의 구성 및 위치
https://dokdo.mofa.go.kr/kor/introduce/location.jsp
대한민국 한국해양과학기술원 · 독도 위치 및 규모
https://www.dokdo.re.kr/home/cms/cmsCont.do?cntnts_sn=64</ns0:t>
        </ns0:is>
      </ns0:c>
    </ns0:row>
    <ns0:row r="28" ht="98" customHeight="1">
      <ns0:c r="A28" s="10" t="n">
        <ns0:v>920027</ns0:v>
      </ns0:c>
      <ns0:c r="B28" s="10" t="inlineStr">
        <ns0:is>
          <ns0:t>Which main island has the longer coastline in the table?</ns0:t>
        </ns0:is>
      </ns0:c>
      <ns0:c r="C28" s="10" t="inlineStr">
        <ns0:is>
          <ns0:t>Seodo</ns0:t>
        </ns0:is>
      </ns0:c>
      <ns0:c r="D28" s="10" t="inlineStr">
        <ns0:is>
          <ns0:t>Dongdo</ns0:t>
        </ns0:is>
      </ns0:c>
      <ns0:c r="E28" s="10" t="inlineStr"/>
      <ns0:c r="F28" s="10" t="inlineStr"/>
      <ns0:c r="G28" s="10" t="n">
        <ns0:v>2</ns0:v>
      </ns0:c>
      <ns0:c r="H28" s="10" t="inlineStr">
        <ns0:is>
          <ns0:t>Dongdo’s 2.8 km coastline is longer than Seodo’s 2.6 km.</ns0:t>
        </ns0:is>
      </ns0:c>
      <ns0:c r="I28" s="10" t="inlineStr">
        <ns0:is>
          <ns0:t>Seodo has the larger area, but Dongdo has the longer coastline.</ns0:t>
        </ns0:is>
      </ns0:c>
      <ns0:c r="J28" s="10" t="inlineStr">
        <ns0:is>
          <ns0:t>Dongdo: area 73,297 m²; coastline 2.8 km
Seodo: area 88,740 m²; coastline 2.6 km</ns0:t>
        </ns0:is>
      </ns0:c>
      <ns0:c r="K28" s="10" t="inlineStr">
        <ns0:is>
          <ns0:t>대한민국 외교부 · 독도의 구성 및 위치
https://dokdo.mofa.go.kr/kor/introduce/location.jsp
대한민국 한국해양과학기술원 · 독도 위치 및 규모
https://www.dokdo.re.kr/home/cms/cmsCont.do?cntnts_sn=64</ns0:t>
        </ns0:is>
      </ns0:c>
    </ns0:row>
    <ns0:row r="29" ht="98" customHeight="1">
      <ns0:c r="A29" s="12" t="n">
        <ns0:v>920028</ns0:v>
      </ns0:c>
      <ns0:c r="B29" s="12" t="inlineStr">
        <ns0:is>
          <ns0:t>Which comparison of both area and coastline agrees with the table?</ns0:t>
        </ns0:is>
      </ns0:c>
      <ns0:c r="C29" s="12" t="inlineStr">
        <ns0:is>
          <ns0:t>Seodo has more area; Dongdo has a longer coastline</ns0:t>
        </ns0:is>
      </ns0:c>
      <ns0:c r="D29" s="12" t="inlineStr">
        <ns0:is>
          <ns0:t>Seodo has more area and therefore a longer coastline</ns0:t>
        </ns0:is>
      </ns0:c>
      <ns0:c r="E29" s="12" t="inlineStr">
        <ns0:is>
          <ns0:t>Dongdo has both more area and a longer coastline</ns0:t>
        </ns0:is>
      </ns0:c>
      <ns0:c r="F29" s="12" t="inlineStr"/>
      <ns0:c r="G29" s="12" t="n">
        <ns0:v>1</ns0:v>
      </ns0:c>
      <ns0:c r="H29" s="12" t="inlineStr">
        <ns0:is>
          <ns0:t>Area and coastline length are distinct quantities; different islands lead in each.</ns0:t>
        </ns0:is>
      </ns0:c>
      <ns0:c r="I29" s="12" t="inlineStr">
        <ns0:is>
          <ns0:t>Seodo has the larger area, but Dongdo has the longer coastline.</ns0:t>
        </ns0:is>
      </ns0:c>
      <ns0:c r="J29" s="12" t="inlineStr">
        <ns0:is>
          <ns0:t>Dongdo: 73,297 m² / coastline 2.8 km
Seodo: 88,740 m² / coastline 2.6 km
Area measures land extent; coastline length follows the shore.</ns0:t>
        </ns0:is>
      </ns0:c>
      <ns0:c r="K29" s="12" t="inlineStr">
        <ns0:is>
          <ns0:t>대한민국 외교부 · 독도의 구성 및 위치
https://dokdo.mofa.go.kr/kor/introduce/location.jsp
대한민국 한국해양과학기술원 · 독도 위치 및 규모
https://www.dokdo.re.kr/home/cms/cmsCont.do?cntnts_sn=64</ns0:t>
        </ns0:is>
      </ns0:c>
    </ns0:row>
    <ns0:row r="30" ht="113" customHeight="1">
      <ns0:c r="A30" s="10" t="n">
        <ns0:v>920029</ns0:v>
      </ns0:c>
      <ns0:c r="B30" s="10" t="inlineStr">
        <ns0:is>
          <ns0:t>What separates Dongdo and Seodo?</ns0:t>
        </ns0:is>
      </ns0:c>
      <ns0:c r="C30" s="10" t="inlineStr">
        <ns0:is>
          <ns0:t>A land road</ns0:t>
        </ns0:is>
      </ns0:c>
      <ns0:c r="D30" s="10" t="inlineStr">
        <ns0:is>
          <ns0:t>Sea</ns0:t>
        </ns0:is>
      </ns0:c>
      <ns0:c r="E30" s="10" t="inlineStr">
        <ns0:is>
          <ns0:t>A river</ns0:t>
        </ns0:is>
      </ns0:c>
      <ns0:c r="F30" s="10" t="inlineStr"/>
      <ns0:c r="G30" s="10" t="n">
        <ns0:v>2</ns0:v>
      </ns0:c>
      <ns0:c r="H30" s="10" t="inlineStr">
        <ns0:is>
          <ns0:t>Their exposed land areas are separated by seawater.</ns0:t>
        </ns0:is>
      </ns0:c>
      <ns0:c r="I30" s="10" t="inlineStr">
        <ns0:is>
          <ns0:t>The nearest shores of Dongdo and Seodo are about 151 m apart.</ns0:t>
        </ns0:is>
      </ns0:c>
      <ns0:c r="J30" s="10" t="inlineStr">
        <ns0:is>
          <ns0:t>This is a shore-to-shore gap, not the peak-to-peak distance or a walking route.</ns0:t>
        </ns0:is>
      </ns0:c>
      <ns0:c r="K30" s="10" t="inlineStr">
        <ns0:is>
          <ns0:t>대한민국 한국해양과학기술원 · 독도 지형 및 지질
https://www.dokdo.re.kr/home/cms/cmsCont.do?cntnts_sn=66
대한민국 국가유산청 · 독도 천연보호구역
https://www.heritage.go.kr/heri/cul/culSelectDetail.do?VdkVgwKey=16%2C03360000%2C37&amp;pageNo=1_1_2_0</ns0:t>
        </ns0:is>
      </ns0:c>
    </ns0:row>
    <ns0:row r="31" ht="113" customHeight="1">
      <ns0:c r="A31" s="12" t="n">
        <ns0:v>920030</ns0:v>
      </ns0:c>
      <ns0:c r="B31" s="12" t="inlineStr">
        <ns0:is>
          <ns0:t>Approximately how far apart are the nearest shores of Dongdo and Seodo?</ns0:t>
        </ns0:is>
      </ns0:c>
      <ns0:c r="C31" s="12" t="inlineStr">
        <ns0:is>
          <ns0:t>151 m</ns0:t>
        </ns0:is>
      </ns0:c>
      <ns0:c r="D31" s="12" t="inlineStr">
        <ns0:is>
          <ns0:t>87.4 km</ns0:t>
        </ns0:is>
      </ns0:c>
      <ns0:c r="E31" s="12" t="inlineStr">
        <ns0:is>
          <ns0:t>98.6 m</ns0:t>
        </ns0:is>
      </ns0:c>
      <ns0:c r="F31" s="12" t="inlineStr">
        <ns0:is>
          <ns0:t>168.5 m</ns0:t>
        </ns0:is>
      </ns0:c>
      <ns0:c r="G31" s="12" t="n">
        <ns0:v>1</ns0:v>
      </ns0:c>
      <ns0:c r="H31" s="12" t="inlineStr">
        <ns0:is>
          <ns0:t>About 151 m is the gap between the nearest shores of the main islands.</ns0:t>
        </ns0:is>
      </ns0:c>
      <ns0:c r="I31" s="12" t="inlineStr">
        <ns0:is>
          <ns0:t>The nearest shores of Dongdo and Seodo are about 151 m apart.</ns0:t>
        </ns0:is>
      </ns0:c>
      <ns0:c r="J31" s="12" t="inlineStr">
        <ns0:is>
          <ns0:t>This is a shore-to-shore gap, not the peak-to-peak distance or a walking route.</ns0:t>
        </ns0:is>
      </ns0:c>
      <ns0:c r="K31" s="12" t="inlineStr">
        <ns0:is>
          <ns0:t>대한민국 한국해양과학기술원 · 독도 지형 및 지질
https://www.dokdo.re.kr/home/cms/cmsCont.do?cntnts_sn=66
대한민국 국가유산청 · 독도 천연보호구역
https://www.heritage.go.kr/heri/cul/culSelectDetail.do?VdkVgwKey=16%2C03360000%2C37&amp;pageNo=1_1_2_0</ns0:t>
        </ns0:is>
      </ns0:c>
    </ns0:row>
    <ns0:row r="32" ht="113" customHeight="1">
      <ns0:c r="A32" s="10" t="n">
        <ns0:v>920031</ns0:v>
      </ns0:c>
      <ns0:c r="B32" s="10" t="inlineStr">
        <ns0:is>
          <ns0:t>Where should the ends of a line marking the 151 m gap be placed?</ns0:t>
        </ns0:is>
      </ns0:c>
      <ns0:c r="C32" s="10" t="inlineStr">
        <ns0:is>
          <ns0:t>At the two peaks</ns0:t>
        </ns0:is>
      </ns0:c>
      <ns0:c r="D32" s="10" t="inlineStr">
        <ns0:is>
          <ns0:t>At the lighthouse and residence</ns0:t>
        </ns0:is>
      </ns0:c>
      <ns0:c r="E32" s="10" t="inlineStr">
        <ns0:is>
          <ns0:t>At the nearest points on the two shores</ns0:t>
        </ns0:is>
      </ns0:c>
      <ns0:c r="F32" s="10" t="inlineStr"/>
      <ns0:c r="G32" s="10" t="n">
        <ns0:v>3</ns0:v>
      </ns0:c>
      <ns0:c r="H32" s="10" t="inlineStr">
        <ns0:is>
          <ns0:t>The measurement is shore-to-shore, so the line connects those nearest points.</ns0:t>
        </ns0:is>
      </ns0:c>
      <ns0:c r="I32" s="10" t="inlineStr">
        <ns0:is>
          <ns0:t>The nearest shores of Dongdo and Seodo are about 151 m apart.</ns0:t>
        </ns0:is>
      </ns0:c>
      <ns0:c r="J32" s="10" t="inlineStr">
        <ns0:is>
          <ns0:t>Distance definition: the nearest facing shores of Dongdo and Seodo are approximately 151 m apart.
This is a shore-to-shore gap, not the peak-to-peak distance or a walking route.</ns0:t>
        </ns0:is>
      </ns0:c>
      <ns0:c r="K32" s="10" t="inlineStr">
        <ns0:is>
          <ns0:t>대한민국 한국해양과학기술원 · 독도 지형 및 지질
https://www.dokdo.re.kr/home/cms/cmsCont.do?cntnts_sn=66
대한민국 국가유산청 · 독도 천연보호구역
https://www.heritage.go.kr/heri/cul/culSelectDetail.do?VdkVgwKey=16%2C03360000%2C37&amp;pageNo=1_1_2_0</ns0:t>
        </ns0:is>
      </ns0:c>
    </ns0:row>
    <ns0:row r="33" ht="113" customHeight="1">
      <ns0:c r="A33" s="12" t="n">
        <ns0:v>920032</ns0:v>
      </ns0:c>
      <ns0:c r="B33" s="12" t="inlineStr">
        <ns0:is>
          <ns0:t>On a map where 1 cm represents 50 m, how long is a 151 m gap?</ns0:t>
        </ns0:is>
      </ns0:c>
      <ns0:c r="C33" s="12" t="inlineStr">
        <ns0:is>
          <ns0:t>7,550 cm</ns0:t>
        </ns0:is>
      </ns0:c>
      <ns0:c r="D33" s="12" t="inlineStr">
        <ns0:is>
          <ns0:t>3.02 cm</ns0:t>
        </ns0:is>
      </ns0:c>
      <ns0:c r="E33" s="12" t="inlineStr">
        <ns0:is>
          <ns0:t>151 cm</ns0:t>
        </ns0:is>
      </ns0:c>
      <ns0:c r="F33" s="12" t="inlineStr">
        <ns0:is>
          <ns0:t>0.302 cm</ns0:t>
        </ns0:is>
      </ns0:c>
      <ns0:c r="G33" s="12" t="n">
        <ns0:v>2</ns0:v>
      </ns0:c>
      <ns0:c r="H33" s="12" t="inlineStr">
        <ns0:is>
          <ns0:t>151 ÷ 50 = 3.02 cm.</ns0:t>
        </ns0:is>
      </ns0:c>
      <ns0:c r="I33" s="12" t="inlineStr">
        <ns0:is>
          <ns0:t>The nearest shores of Dongdo and Seodo are about 151 m apart.</ns0:t>
        </ns0:is>
      </ns0:c>
      <ns0:c r="J33" s="12" t="inlineStr">
        <ns0:is>
          <ns0:t>Actual shore gap: about 151 m
Practice map scale: 1 cm represents 50 m
The scale is chosen for this exercise.
This is a shore-to-shore gap, not the peak-to-peak distance or a walking route.</ns0:t>
        </ns0:is>
      </ns0:c>
      <ns0:c r="K33" s="12" t="inlineStr">
        <ns0:is>
          <ns0:t>대한민국 한국해양과학기술원 · 독도 지형 및 지질
https://www.dokdo.re.kr/home/cms/cmsCont.do?cntnts_sn=66
대한민국 국가유산청 · 독도 천연보호구역
https://www.heritage.go.kr/heri/cul/culSelectDetail.do?VdkVgwKey=16%2C03360000%2C37&amp;pageNo=1_1_2_0</ns0:t>
        </ns0:is>
      </ns0:c>
    </ns0:row>
    <ns0:row r="34" ht="98" customHeight="1">
      <ns0:c r="A34" s="10" t="n">
        <ns0:v>920033</ns0:v>
      </ns0:c>
      <ns0:c r="B34" s="10" t="inlineStr">
        <ns0:is>
          <ns0:t>Which main island of Dokdo is especially marked by a steep peak?</ns0:t>
        </ns0:is>
      </ns0:c>
      <ns0:c r="C34" s="10" t="inlineStr">
        <ns0:is>
          <ns0:t>Seodo</ns0:t>
        </ns0:is>
      </ns0:c>
      <ns0:c r="D34" s="10" t="inlineStr">
        <ns0:is>
          <ns0:t>Dongdo</ns0:t>
        </ns0:is>
      </ns0:c>
      <ns0:c r="E34" s="10" t="inlineStr"/>
      <ns0:c r="F34" s="10" t="inlineStr"/>
      <ns0:c r="G34" s="10" t="n">
        <ns0:v>1</ns0:v>
      </ns0:c>
      <ns0:c r="H34" s="10" t="inlineStr">
        <ns0:is>
          <ns0:t>Seodo is characterised by its higher, steeply rising peak.</ns0:t>
        </ns0:is>
      </ns0:c>
      <ns0:c r="I34" s="10" t="inlineStr">
        <ns0:is>
          <ns0:t>Seodo rises steeply; Dongdo has a comparatively level upper area.</ns0:t>
        </ns0:is>
      </ns0:c>
      <ns0:c r="J34" s="10" t="inlineStr"/>
      <ns0:c r="K34" s="10" t="inlineStr">
        <ns0:is>
          <ns0:t>대한민국 국가유산청 · 독도 천연보호구역
https://www.heritage.go.kr/heri/cul/culSelectDetail.do?VdkVgwKey=16%2C03360000%2C37&amp;pageNo=1_1_2_0
대한민국 전북교육청 · 독도 사진 자료
https://www.jbe.go.kr/dokdo/assets/sub/picture.html</ns0:t>
        </ns0:is>
      </ns0:c>
    </ns0:row>
    <ns0:row r="35" ht="98" customHeight="1">
      <ns0:c r="A35" s="12" t="n">
        <ns0:v>920034</ns0:v>
      </ns0:c>
      <ns0:c r="B35" s="12" t="inlineStr">
        <ns0:is>
          <ns0:t>Which island has the comparatively level upper area used by facilities such as the helipad?</ns0:t>
        </ns0:is>
      </ns0:c>
      <ns0:c r="C35" s="12" t="inlineStr">
        <ns0:is>
          <ns0:t>Seodo</ns0:t>
        </ns0:is>
      </ns0:c>
      <ns0:c r="D35" s="12" t="inlineStr">
        <ns0:is>
          <ns0:t>Dongdo</ns0:t>
        </ns0:is>
      </ns0:c>
      <ns0:c r="E35" s="12" t="inlineStr"/>
      <ns0:c r="F35" s="12" t="inlineStr"/>
      <ns0:c r="G35" s="12" t="n">
        <ns0:v>2</ns0:v>
      </ns0:c>
      <ns0:c r="H35" s="12" t="inlineStr">
        <ns0:is>
          <ns0:t>Dongdo’s relatively level upper area accommodates the helipad and other facilities.</ns0:t>
        </ns0:is>
      </ns0:c>
      <ns0:c r="I35" s="12" t="inlineStr">
        <ns0:is>
          <ns0:t>Seodo rises steeply; Dongdo has a comparatively level upper area.</ns0:t>
        </ns0:is>
      </ns0:c>
      <ns0:c r="J35" s="12" t="inlineStr"/>
      <ns0:c r="K35" s="12" t="inlineStr">
        <ns0:is>
          <ns0:t>대한민국 국가유산청 · 독도 천연보호구역
https://www.heritage.go.kr/heri/cul/culSelectDetail.do?VdkVgwKey=16%2C03360000%2C37&amp;pageNo=1_1_2_0
대한민국 전북교육청 · 독도 사진 자료
https://www.jbe.go.kr/dokdo/assets/sub/picture.html</ns0:t>
        </ns0:is>
      </ns0:c>
    </ns0:row>
    <ns0:row r="36" ht="98" customHeight="1">
      <ns0:c r="A36" s="10" t="n">
        <ns0:v>920035</ns0:v>
      </ns0:c>
      <ns0:c r="B36" s="10" t="inlineStr">
        <ns0:is>
          <ns0:t>Does terrain description A refer to Dongdo or Seodo?</ns0:t>
        </ns0:is>
      </ns0:c>
      <ns0:c r="C36" s="10" t="inlineStr">
        <ns0:is>
          <ns0:t>Dongdo</ns0:t>
        </ns0:is>
      </ns0:c>
      <ns0:c r="D36" s="10" t="inlineStr">
        <ns0:is>
          <ns0:t>Seodo</ns0:t>
        </ns0:is>
      </ns0:c>
      <ns0:c r="E36" s="10" t="inlineStr"/>
      <ns0:c r="F36" s="10" t="inlineStr"/>
      <ns0:c r="G36" s="10" t="n">
        <ns0:v>1</ns0:v>
      </ns0:c>
      <ns0:c r="H36" s="10" t="inlineStr">
        <ns0:is>
          <ns0:t>A describes the relatively level upper area with facilities on Dongdo.</ns0:t>
        </ns0:is>
      </ns0:c>
      <ns0:c r="I36" s="10" t="inlineStr">
        <ns0:is>
          <ns0:t>Seodo rises steeply; Dongdo has a comparatively level upper area.</ns0:t>
        </ns0:is>
      </ns0:c>
      <ns0:c r="J36" s="10" t="inlineStr">
        <ns0:is>
          <ns0:t>A: coastal cliffs, with a comparatively level upper area containing a helipad and facilities.
B: a prominent high, steep peak.</ns0:t>
        </ns0:is>
      </ns0:c>
      <ns0:c r="K36" s="10" t="inlineStr">
        <ns0:is>
          <ns0:t>대한민국 국가유산청 · 독도 천연보호구역
https://www.heritage.go.kr/heri/cul/culSelectDetail.do?VdkVgwKey=16%2C03360000%2C37&amp;pageNo=1_1_2_0
대한민국 전북교육청 · 독도 사진 자료
https://www.jbe.go.kr/dokdo/assets/sub/picture.html</ns0:t>
        </ns0:is>
      </ns0:c>
    </ns0:row>
    <ns0:row r="37" ht="98" customHeight="1">
      <ns0:c r="A37" s="12" t="n">
        <ns0:v>920036</ns0:v>
      </ns0:c>
      <ns0:c r="B37" s="12" t="inlineStr">
        <ns0:is>
          <ns0:t>What should be changed in a model that makes Dongdo as pointed as Seodo?</ns0:t>
        </ns0:is>
      </ns0:c>
      <ns0:c r="C37" s="12" t="inlineStr">
        <ns0:is>
          <ns0:t>Restore Dongdo’s comparatively level upper area</ns0:t>
        </ns0:is>
      </ns0:c>
      <ns0:c r="D37" s="12" t="inlineStr">
        <ns0:is>
          <ns0:t>Make Dongdo higher than Seodo</ns0:t>
        </ns0:is>
      </ns0:c>
      <ns0:c r="E37" s="12" t="inlineStr">
        <ns0:is>
          <ns0:t>Remove all of Dongdo’s coastal cliffs</ns0:t>
        </ns0:is>
      </ns0:c>
      <ns0:c r="F37" s="12" t="inlineStr"/>
      <ns0:c r="G37" s="12" t="n">
        <ns0:v>1</ns0:v>
      </ns0:c>
      <ns0:c r="H37" s="12" t="inlineStr">
        <ns0:is>
          <ns0:t>Represent Dongdo’s comparatively level upper area as well as its coastal cliffs.</ns0:t>
        </ns0:is>
      </ns0:c>
      <ns0:c r="I37" s="12" t="inlineStr">
        <ns0:is>
          <ns0:t>Seodo rises steeply; Dongdo has a comparatively level upper area.</ns0:t>
        </ns0:is>
      </ns0:c>
      <ns0:c r="J37" s="12" t="inlineStr">
        <ns0:is>
          <ns0:t>Terrain data: Seodo 168.5 m with a steep peak; Dongdo 98.6 m with coastal cliffs and a comparatively level upper area.
Model to revise: two identical pointed mountains differing only in height.</ns0:t>
        </ns0:is>
      </ns0:c>
      <ns0:c r="K37" s="12" t="inlineStr">
        <ns0:is>
          <ns0:t>대한민국 국가유산청 · 독도 천연보호구역
https://www.heritage.go.kr/heri/cul/culSelectDetail.do?VdkVgwKey=16%2C03360000%2C37&amp;pageNo=1_1_2_0
대한민국 전북교육청 · 독도 사진 자료
https://www.jbe.go.kr/dokdo/assets/sub/picture.html</ns0:t>
        </ns0:is>
      </ns0:c>
    </ns0:row>
    <ns0:row r="38" ht="53" customHeight="1">
      <ns0:c r="A38" s="10" t="n">
        <ns0:v>920037</ns0:v>
      </ns0:c>
      <ns0:c r="B38" s="10" t="inlineStr">
        <ns0:is>
          <ns0:t>Does Dokdo’s terrain continue underwater below Dongdo and Seodo?</ns0:t>
        </ns0:is>
      </ns0:c>
      <ns0:c r="C38" s="10" t="inlineStr">
        <ns0:is>
          <ns0:t>It ends at sea level</ns0:t>
        </ns0:is>
      </ns0:c>
      <ns0:c r="D38" s="10" t="inlineStr">
        <ns0:is>
          <ns0:t>It continues underwater</ns0:t>
        </ns0:is>
      </ns0:c>
      <ns0:c r="E38" s="10" t="inlineStr"/>
      <ns0:c r="F38" s="10" t="inlineStr"/>
      <ns0:c r="G38" s="10" t="n">
        <ns0:v>2</ns0:v>
      </ns0:c>
      <ns0:c r="H38" s="10" t="inlineStr">
        <ns0:is>
          <ns0:t>Dongdo and Seodo are exposed parts of an underwater volcanic structure.</ns0:t>
        </ns0:is>
      </ns0:c>
      <ns0:c r="I38" s="10" t="inlineStr">
        <ns0:is>
          <ns0:t>Dongdo and Seodo are exposed parts of a much larger underwater volcanic structure.</ns0:t>
        </ns0:is>
      </ns0:c>
      <ns0:c r="J38" s="10" t="inlineStr"/>
      <ns0:c r="K38" s="10" t="inlineStr">
        <ns0:is>
          <ns0:t>대한민국 한국해양과학기술원 · 독도 지형 및 지질
https://www.dokdo.re.kr/home/cms/cmsCont.do?cntnts_sn=66</ns0:t>
        </ns0:is>
      </ns0:c>
    </ns0:row>
    <ns0:row r="39" ht="53" customHeight="1">
      <ns0:c r="A39" s="12" t="n">
        <ns0:v>920038</ns0:v>
      </ns0:c>
      <ns0:c r="B39" s="12" t="inlineStr">
        <ns0:is>
          <ns0:t>The two main islands of Dokdo are exposed parts of what?</ns0:t>
        </ns0:is>
      </ns0:c>
      <ns0:c r="C39" s="12" t="inlineStr">
        <ns0:is>
          <ns0:t>A river delta</ns0:t>
        </ns0:is>
      </ns0:c>
      <ns0:c r="D39" s="12" t="inlineStr">
        <ns0:is>
          <ns0:t>An underwater volcanic structure</ns0:t>
        </ns0:is>
      </ns0:c>
      <ns0:c r="E39" s="12" t="inlineStr">
        <ns0:is>
          <ns0:t>A coral-built island</ns0:t>
        </ns0:is>
      </ns0:c>
      <ns0:c r="F39" s="12" t="inlineStr"/>
      <ns0:c r="G39" s="12" t="n">
        <ns0:v>2</ns0:v>
      </ns0:c>
      <ns0:c r="H39" s="12" t="inlineStr">
        <ns0:is>
          <ns0:t>The exposed islands belong to a volcanic structure formed underwater.</ns0:t>
        </ns0:is>
      </ns0:c>
      <ns0:c r="I39" s="12" t="inlineStr">
        <ns0:is>
          <ns0:t>Dongdo and Seodo are exposed parts of a much larger underwater volcanic structure.</ns0:t>
        </ns0:is>
      </ns0:c>
      <ns0:c r="J39" s="12" t="inlineStr"/>
      <ns0:c r="K39" s="12" t="inlineStr">
        <ns0:is>
          <ns0:t>대한민국 한국해양과학기술원 · 독도 지형 및 지질
https://www.dokdo.re.kr/home/cms/cmsCont.do?cntnts_sn=66</ns0:t>
        </ns0:is>
      </ns0:c>
    </ns0:row>
    <ns0:row r="40" ht="68" customHeight="1">
      <ns0:c r="A40" s="10" t="n">
        <ns0:v>920039</ns0:v>
      </ns0:c>
      <ns0:c r="B40" s="10" t="inlineStr">
        <ns0:is>
          <ns0:t>From where is the approximately 2,300 m height of Dokdo’s volcanic structure measured?</ns0:t>
        </ns0:is>
      </ns0:c>
      <ns0:c r="C40" s="10" t="inlineStr">
        <ns0:is>
          <ns0:t>From sea level to Seodo’s peak</ns0:t>
        </ns0:is>
      </ns0:c>
      <ns0:c r="D40" s="10" t="inlineStr">
        <ns0:is>
          <ns0:t>From sea level to Dongdo’s peak</ns0:t>
        </ns0:is>
      </ns0:c>
      <ns0:c r="E40" s="10" t="inlineStr">
        <ns0:is>
          <ns0:t>From the submarine base</ns0:t>
        </ns0:is>
      </ns0:c>
      <ns0:c r="F40" s="10" t="inlineStr"/>
      <ns0:c r="G40" s="10" t="n">
        <ns0:v>3</ns0:v>
      </ns0:c>
      <ns0:c r="H40" s="10" t="inlineStr">
        <ns0:is>
          <ns0:t>About 2,300 m describes the entire structure from its submarine base.</ns0:t>
        </ns0:is>
      </ns0:c>
      <ns0:c r="I40" s="10" t="inlineStr">
        <ns0:is>
          <ns0:t>Dongdo and Seodo are exposed parts of a much larger underwater volcanic structure.</ns0:t>
        </ns0:is>
      </ns0:c>
      <ns0:c r="J40" s="10" t="inlineStr">
        <ns0:is>
          <ns0:t>Seodo’s elevation above sea level: 168.5 m.
The full Dokdo volcanic structure: about 2,300 m from its submarine base.
Note the different reference levels.</ns0:t>
        </ns0:is>
      </ns0:c>
      <ns0:c r="K40" s="10" t="inlineStr">
        <ns0:is>
          <ns0:t>대한민국 한국해양과학기술원 · 독도 지형 및 지질
https://www.dokdo.re.kr/home/cms/cmsCont.do?cntnts_sn=66</ns0:t>
        </ns0:is>
      </ns0:c>
    </ns0:row>
    <ns0:row r="41" ht="53" customHeight="1">
      <ns0:c r="A41" s="12" t="n">
        <ns0:v>920040</ns0:v>
      </ns0:c>
      <ns0:c r="B41" s="12" t="inlineStr">
        <ns0:is>
          <ns0:t>Why can 168.5 m and about 2,300 m both appear in descriptions of Dokdo’s height?</ns0:t>
        </ns0:is>
      </ns0:c>
      <ns0:c r="C41" s="12" t="inlineStr">
        <ns0:is>
          <ns0:t>The reference points for height differ</ns0:t>
        </ns0:is>
      </ns0:c>
      <ns0:c r="D41" s="12" t="inlineStr">
        <ns0:is>
          <ns0:t>168.5 m is Dongdo and 2,300 m is Seodo</ns0:t>
        </ns0:is>
      </ns0:c>
      <ns0:c r="E41" s="12" t="inlineStr">
        <ns0:is>
          <ns0:t>Only the units differ for measurements from one reference</ns0:t>
        </ns0:is>
      </ns0:c>
      <ns0:c r="F41" s="12" t="inlineStr"/>
      <ns0:c r="G41" s="12" t="n">
        <ns0:v>1</ns0:v>
      </ns0:c>
      <ns0:c r="H41" s="12" t="inlineStr">
        <ns0:is>
          <ns0:t>168.5 m is relative to sea level; about 2,300 m is relative to the submarine base.</ns0:t>
        </ns0:is>
      </ns0:c>
      <ns0:c r="I41" s="12" t="inlineStr">
        <ns0:is>
          <ns0:t>Dongdo and Seodo are exposed parts of a much larger underwater volcanic structure.</ns0:t>
        </ns0:is>
      </ns0:c>
      <ns0:c r="J41" s="12" t="inlineStr">
        <ns0:is>
          <ns0:t>Sea level → Seodo’s peak: 168.5 m
Submarine volcanic base → top of the structure: about 2,300 m</ns0:t>
        </ns0:is>
      </ns0:c>
      <ns0:c r="K41" s="12" t="inlineStr">
        <ns0:is>
          <ns0:t>대한민국 한국해양과학기술원 · 독도 지형 및 지질
https://www.dokdo.re.kr/home/cms/cmsCont.do?cntnts_sn=66</ns0:t>
        </ns0:is>
      </ns0:c>
    </ns0:row>
    <ns0:row r="42" ht="53" customHeight="1">
      <ns0:c r="A42" s="10" t="n">
        <ns0:v>920041</ns0:v>
      </ns0:c>
      <ns0:c r="B42" s="10" t="inlineStr">
        <ns0:is>
          <ns0:t>Which natural process originally formed Dokdo?</ns0:t>
        </ns0:is>
      </ns0:c>
      <ns0:c r="C42" s="10" t="inlineStr">
        <ns0:is>
          <ns0:t>Deposition of river sand</ns0:t>
        </ns0:is>
      </ns0:c>
      <ns0:c r="D42" s="10" t="inlineStr">
        <ns0:is>
          <ns0:t>Coral growth</ns0:t>
        </ns0:is>
      </ns0:c>
      <ns0:c r="E42" s="10" t="inlineStr">
        <ns0:is>
          <ns0:t>Underwater volcanic activity</ns0:t>
        </ns0:is>
      </ns0:c>
      <ns0:c r="F42" s="10" t="inlineStr">
        <ns0:is>
          <ns0:t>Glacial deposition</ns0:t>
        </ns0:is>
      </ns0:c>
      <ns0:c r="G42" s="10" t="n">
        <ns0:v>3</ns0:v>
      </ns0:c>
      <ns0:c r="H42" s="10" t="inlineStr">
        <ns0:is>
          <ns0:t>Erupted volcanic material accumulated to form the Dokdo volcanic structure.</ns0:t>
        </ns0:is>
      </ns0:c>
      <ns0:c r="I42" s="10" t="inlineStr">
        <ns0:is>
          <ns0:t>Dokdo formed from material erupted by underwater volcanic activity.</ns0:t>
        </ns0:is>
      </ns0:c>
      <ns0:c r="J42" s="10" t="inlineStr"/>
      <ns0:c r="K42" s="10" t="inlineStr">
        <ns0:is>
          <ns0:t>대한민국 한국해양과학기술원 · 독도 지형 및 지질
https://www.dokdo.re.kr/home/cms/cmsCont.do?cntnts_sn=66</ns0:t>
        </ns0:is>
      </ns0:c>
    </ns0:row>
    <ns0:row r="43" ht="53" customHeight="1">
      <ns0:c r="A43" s="12" t="n">
        <ns0:v>920042</ns0:v>
      </ns0:c>
      <ns0:c r="B43" s="12" t="inlineStr">
        <ns0:is>
          <ns0:t>Where did the volcanic activity that formed Dokdo begin?</ns0:t>
        </ns0:is>
      </ns0:c>
      <ns0:c r="C43" s="12" t="inlineStr">
        <ns0:is>
          <ns0:t>At a river mouth on land</ns0:t>
        </ns0:is>
      </ns0:c>
      <ns0:c r="D43" s="12" t="inlineStr">
        <ns0:is>
          <ns0:t>Under the sea</ns0:t>
        </ns0:is>
      </ns0:c>
      <ns0:c r="E43" s="12" t="inlineStr">
        <ns0:is>
          <ns0:t>On a sandy beach</ns0:t>
        </ns0:is>
      </ns0:c>
      <ns0:c r="F43" s="12" t="inlineStr"/>
      <ns0:c r="G43" s="12" t="n">
        <ns0:v>2</ns0:v>
      </ns0:c>
      <ns0:c r="H43" s="12" t="inlineStr">
        <ns0:is>
          <ns0:t>The structure grew underwater before part emerged above the surface.</ns0:t>
        </ns0:is>
      </ns0:c>
      <ns0:c r="I43" s="12" t="inlineStr">
        <ns0:is>
          <ns0:t>Dokdo formed from material erupted by underwater volcanic activity.</ns0:t>
        </ns0:is>
      </ns0:c>
      <ns0:c r="J43" s="12" t="inlineStr"/>
      <ns0:c r="K43" s="12" t="inlineStr">
        <ns0:is>
          <ns0:t>대한민국 한국해양과학기술원 · 독도 지형 및 지질
https://www.dokdo.re.kr/home/cms/cmsCont.do?cntnts_sn=66</ns0:t>
        </ns0:is>
      </ns0:c>
    </ns0:row>
    <ns0:row r="44" ht="53" customHeight="1">
      <ns0:c r="A44" s="10" t="n">
        <ns0:v>920043</ns0:v>
      </ns0:c>
      <ns0:c r="B44" s="10" t="inlineStr">
        <ns0:is>
          <ns0:t>Which sequence describes Dokdo’s formation?</ns0:t>
        </ns0:is>
      </ns0:c>
      <ns0:c r="C44" s="10" t="inlineStr">
        <ns0:is>
          <ns0:t>Emergence → submarine eruption → accumulation</ns0:t>
        </ns0:is>
      </ns0:c>
      <ns0:c r="D44" s="10" t="inlineStr">
        <ns0:is>
          <ns0:t>Accumulation → emergence → first submarine eruption</ns0:t>
        </ns0:is>
      </ns0:c>
      <ns0:c r="E44" s="10" t="inlineStr">
        <ns0:is>
          <ns0:t>Submarine eruption → accumulation → emergence</ns0:t>
        </ns0:is>
      </ns0:c>
      <ns0:c r="F44" s="10" t="inlineStr"/>
      <ns0:c r="G44" s="10" t="n">
        <ns0:v>3</ns0:v>
      </ns0:c>
      <ns0:c r="H44" s="10" t="inlineStr">
        <ns0:is>
          <ns0:t>Erupted material accumulated and built a structure that eventually emerged.</ns0:t>
        </ns0:is>
      </ns0:c>
      <ns0:c r="I44" s="10" t="inlineStr">
        <ns0:is>
          <ns0:t>Dokdo formed from material erupted by underwater volcanic activity.</ns0:t>
        </ns0:is>
      </ns0:c>
      <ns0:c r="J44" s="10" t="inlineStr">
        <ns0:is>
          <ns0:t>Volcanic material erupted underwater, accumulated into a growing structure, and eventually emerged above the sea.</ns0:t>
        </ns0:is>
      </ns0:c>
      <ns0:c r="K44" s="10" t="inlineStr">
        <ns0:is>
          <ns0:t>대한민국 한국해양과학기술원 · 독도 지형 및 지질
https://www.dokdo.re.kr/home/cms/cmsCont.do?cntnts_sn=66</ns0:t>
        </ns0:is>
      </ns0:c>
    </ns0:row>
    <ns0:row r="45" ht="53" customHeight="1">
      <ns0:c r="A45" s="12" t="n">
        <ns0:v>920044</ns0:v>
      </ns0:c>
      <ns0:c r="B45" s="12" t="inlineStr">
        <ns0:is>
          <ns0:t>Which account combines Dokdo’s volcanic origin with later wave erosion?</ns0:t>
        </ns0:is>
      </ns0:c>
      <ns0:c r="C45" s="12" t="inlineStr">
        <ns0:is>
          <ns0:t>Volcanism built the island; later waves eroded its coast</ns0:t>
        </ns0:is>
      </ns0:c>
      <ns0:c r="D45" s="12" t="inlineStr">
        <ns0:is>
          <ns0:t>Waves caused the original volcanic eruptions</ns0:t>
        </ns0:is>
      </ns0:c>
      <ns0:c r="E45" s="12" t="inlineStr">
        <ns0:is>
          <ns0:t>The coast stopped changing after volcanic formation</ns0:t>
        </ns0:is>
      </ns0:c>
      <ns0:c r="F45" s="12" t="inlineStr"/>
      <ns0:c r="G45" s="12" t="n">
        <ns0:v>1</ns0:v>
      </ns0:c>
      <ns0:c r="H45" s="12" t="inlineStr">
        <ns0:is>
          <ns0:t>Formation and later reshaping are different processes, both relevant to Dokdo.</ns0:t>
        </ns0:is>
      </ns0:c>
      <ns0:c r="I45" s="12" t="inlineStr">
        <ns0:is>
          <ns0:t>Dokdo formed from material erupted by underwater volcanic activity.</ns0:t>
        </ns0:is>
      </ns0:c>
      <ns0:c r="J45" s="12" t="inlineStr">
        <ns0:is>
          <ns0:t>Dokdo originated through submarine volcanism. Erosion became dominant after emergence, leaving only part of the originally exposed structure.</ns0:t>
        </ns0:is>
      </ns0:c>
      <ns0:c r="K45" s="12" t="inlineStr">
        <ns0:is>
          <ns0:t>대한민국 한국해양과학기술원 · 독도 지형 및 지질
https://www.dokdo.re.kr/home/cms/cmsCont.do?cntnts_sn=66</ns0:t>
        </ns0:is>
      </ns0:c>
    </ns0:row>
    <ns0:row r="46" ht="53" customHeight="1">
      <ns0:c r="A46" s="10" t="n">
        <ns0:v>920045</ns0:v>
      </ns0:c>
      <ns0:c r="B46" s="10" t="inlineStr">
        <ns0:is>
          <ns0:t>Where did Dokdo grow before emerging above the water?</ns0:t>
        </ns0:is>
      </ns0:c>
      <ns0:c r="C46" s="10" t="inlineStr">
        <ns0:is>
          <ns0:t>On Ulleungdo’s land</ns0:t>
        </ns0:is>
      </ns0:c>
      <ns0:c r="D46" s="10" t="inlineStr">
        <ns0:is>
          <ns0:t>Beneath the East Sea</ns0:t>
        </ns0:is>
      </ns0:c>
      <ns0:c r="E46" s="10" t="inlineStr">
        <ns0:is>
          <ns0:t>At a river mouth on the Korean Peninsula</ns0:t>
        </ns0:is>
      </ns0:c>
      <ns0:c r="F46" s="10" t="inlineStr"/>
      <ns0:c r="G46" s="10" t="n">
        <ns0:v>2</ns0:v>
      </ns0:c>
      <ns0:c r="H46" s="10" t="inlineStr">
        <ns0:is>
          <ns0:t>Dokdo is the exposed part of a structure that grew beneath the sea.</ns0:t>
        </ns0:is>
      </ns0:c>
      <ns0:c r="I46" s="10" t="inlineStr">
        <ns0:is>
          <ns0:t>Dokdo grew underwater, emerged, and was reshaped by erosion over a long period.</ns0:t>
        </ns0:is>
      </ns0:c>
      <ns0:c r="J46" s="10" t="inlineStr">
        <ns0:is>
          <ns0:t>Formation ages are approximate research estimates, not exact calendar dates.</ns0:t>
        </ns0:is>
      </ns0:c>
      <ns0:c r="K46" s="10" t="inlineStr">
        <ns0:is>
          <ns0:t>대한민국 한국해양과학기술원 · 독도 지형 및 지질
https://www.dokdo.re.kr/home/cms/cmsCont.do?cntnts_sn=66</ns0:t>
        </ns0:is>
      </ns0:c>
    </ns0:row>
    <ns0:row r="47" ht="53" customHeight="1">
      <ns0:c r="A47" s="12" t="n">
        <ns0:v>920046</ns0:v>
      </ns0:c>
      <ns0:c r="B47" s="12" t="inlineStr">
        <ns0:is>
          <ns0:t>What has eroded Dokdo’s coast since the islands formed?</ns0:t>
        </ns0:is>
      </ns0:c>
      <ns0:c r="C47" s="12" t="inlineStr">
        <ns0:is>
          <ns0:t>Coral growing over the islands</ns0:t>
        </ns0:is>
      </ns0:c>
      <ns0:c r="D47" s="12" t="inlineStr">
        <ns0:is>
          <ns0:t>Sand deposited at a river mouth</ns0:t>
        </ns0:is>
      </ns0:c>
      <ns0:c r="E47" s="12" t="inlineStr">
        <ns0:is>
          <ns0:t>Erosion by waves</ns0:t>
        </ns0:is>
      </ns0:c>
      <ns0:c r="F47" s="12" t="inlineStr"/>
      <ns0:c r="G47" s="12" t="n">
        <ns0:v>3</ns0:v>
      </ns0:c>
      <ns0:c r="H47" s="12" t="inlineStr">
        <ns0:is>
          <ns0:t>Erosion, including wave action, reshaped the exposed coastline.</ns0:t>
        </ns0:is>
      </ns0:c>
      <ns0:c r="I47" s="12" t="inlineStr">
        <ns0:is>
          <ns0:t>Dokdo grew underwater, emerged, and was reshaped by erosion over a long period.</ns0:t>
        </ns0:is>
      </ns0:c>
      <ns0:c r="J47" s="12" t="inlineStr">
        <ns0:is>
          <ns0:t>Formation ages are approximate research estimates, not exact calendar dates.</ns0:t>
        </ns0:is>
      </ns0:c>
      <ns0:c r="K47" s="12" t="inlineStr">
        <ns0:is>
          <ns0:t>대한민국 한국해양과학기술원 · 독도 지형 및 지질
https://www.dokdo.re.kr/home/cms/cmsCont.do?cntnts_sn=66</ns0:t>
        </ns0:is>
      </ns0:c>
    </ns0:row>
    <ns0:row r="48" ht="68" customHeight="1">
      <ns0:c r="A48" s="10" t="n">
        <ns0:v>920047</ns0:v>
      </ns0:c>
      <ns0:c r="B48" s="10" t="inlineStr">
        <ns0:is>
          <ns0:t>Which event happened first in the Dokdo formation timeline?</ns0:t>
        </ns0:is>
      </ns0:c>
      <ns0:c r="C48" s="10" t="inlineStr">
        <ns0:is>
          <ns0:t>The beginning of submarine volcanic activity</ns0:t>
        </ns0:is>
      </ns0:c>
      <ns0:c r="D48" s="10" t="inlineStr">
        <ns0:is>
          <ns0:t>Emergence above the sea</ns0:t>
        </ns0:is>
      </ns0:c>
      <ns0:c r="E48" s="10" t="inlineStr"/>
      <ns0:c r="F48" s="10" t="inlineStr"/>
      <ns0:c r="G48" s="10" t="n">
        <ns0:v>1</ns0:v>
      </ns0:c>
      <ns0:c r="H48" s="10" t="inlineStr">
        <ns0:is>
          <ns0:t>About 4.6 million years ago is earlier than about 2.5 million years ago.</ns0:t>
        </ns0:is>
      </ns0:c>
      <ns0:c r="I48" s="10" t="inlineStr">
        <ns0:is>
          <ns0:t>Dokdo grew underwater, emerged, and was reshaped by erosion over a long period.</ns0:t>
        </ns0:is>
      </ns0:c>
      <ns0:c r="J48" s="10" t="inlineStr">
        <ns0:is>
          <ns0:t>Formation account: submarine volcanism began at least approximately 4.6 million years ago; emergence began around 2.5 million years ago.
Formation ages are approximate research estimates, not exact calendar dates.</ns0:t>
        </ns0:is>
      </ns0:c>
      <ns0:c r="K48" s="10" t="inlineStr">
        <ns0:is>
          <ns0:t>대한민국 한국해양과학기술원 · 독도 지형 및 지질
https://www.dokdo.re.kr/home/cms/cmsCont.do?cntnts_sn=66</ns0:t>
        </ns0:is>
      </ns0:c>
    </ns0:row>
    <ns0:row r="49" ht="68" customHeight="1">
      <ns0:c r="A49" s="12" t="n">
        <ns0:v>920048</ns0:v>
      </ns0:c>
      <ns0:c r="B49" s="12" t="inlineStr">
        <ns0:is>
          <ns0:t>What is the approximate difference between 4.6 and 2.5 million years ago?</ns0:t>
        </ns0:is>
      </ns0:c>
      <ns0:c r="C49" s="12" t="inlineStr">
        <ns0:is>
          <ns0:t>7.1 million years</ns0:t>
        </ns0:is>
      </ns0:c>
      <ns0:c r="D49" s="12" t="inlineStr">
        <ns0:is>
          <ns0:t>210,000 years</ns0:t>
        </ns0:is>
      </ns0:c>
      <ns0:c r="E49" s="12" t="inlineStr">
        <ns0:is>
          <ns0:t>2.5 million years</ns0:t>
        </ns0:is>
      </ns0:c>
      <ns0:c r="F49" s="12" t="inlineStr">
        <ns0:is>
          <ns0:t>2.1 million years</ns0:t>
        </ns0:is>
      </ns0:c>
      <ns0:c r="G49" s="12" t="n">
        <ns0:v>4</ns0:v>
      </ns0:c>
      <ns0:c r="H49" s="12" t="inlineStr">
        <ns0:is>
          <ns0:t>4.6 − 2.5 = 2.1 million years, using the supplied approximate dates.</ns0:t>
        </ns0:is>
      </ns0:c>
      <ns0:c r="I49" s="12" t="inlineStr">
        <ns0:is>
          <ns0:t>Dokdo grew underwater, emerged, and was reshaped by erosion over a long period.</ns0:t>
        </ns0:is>
      </ns0:c>
      <ns0:c r="J49" s="12" t="inlineStr">
        <ns0:is>
          <ns0:t>Approximate dates for calculation: submarine volcanic activity 4.6 million years ago; emergence 2.5 million years ago. This calculation does not establish an exact formation duration.
Formation ages are approximate research estimates, not exact calendar dates.</ns0:t>
        </ns0:is>
      </ns0:c>
      <ns0:c r="K49" s="12" t="inlineStr">
        <ns0:is>
          <ns0:t>대한민국 한국해양과학기술원 · 독도 지형 및 지질
https://www.dokdo.re.kr/home/cms/cmsCont.do?cntnts_sn=66</ns0:t>
        </ns0:is>
      </ns0:c>
    </ns0:row>
    <ns0:row r="50" ht="113" customHeight="1">
      <ns0:c r="A50" s="10" t="n">
        <ns0:v>920049</ns0:v>
      </ns0:c>
      <ns0:c r="B50" s="10" t="inlineStr">
        <ns0:is>
          <ns0:t>What movement of seawater erodes Dokdo’s coastal rock?</ns0:t>
        </ns0:is>
      </ns0:c>
      <ns0:c r="C50" s="10" t="inlineStr">
        <ns0:is>
          <ns0:t>Waves</ns0:t>
        </ns0:is>
      </ns0:c>
      <ns0:c r="D50" s="10" t="inlineStr">
        <ns0:is>
          <ns0:t>River flow</ns0:t>
        </ns0:is>
      </ns0:c>
      <ns0:c r="E50" s="10" t="inlineStr">
        <ns0:is>
          <ns0:t>Glacial movement</ns0:t>
        </ns0:is>
      </ns0:c>
      <ns0:c r="F50" s="10" t="inlineStr"/>
      <ns0:c r="G50" s="10" t="n">
        <ns0:v>1</ns0:v>
      </ns0:c>
      <ns0:c r="H50" s="10" t="inlineStr">
        <ns0:is>
          <ns0:t>Waves striking the shore contribute to erosion.</ns0:t>
        </ns0:is>
      </ns0:c>
      <ns0:c r="I50" s="10" t="inlineStr">
        <ns0:is>
          <ns0:t>Wave erosion helps shape Dokdo’s coastal cliffs, caves and arches.</ns0:t>
        </ns0:is>
      </ns0:c>
      <ns0:c r="J50" s="10" t="inlineStr"/>
      <ns0:c r="K50" s="10" t="inlineStr">
        <ns0:is>
          <ns0:t>대한민국 한국해양과학기술원 · 독도 지형 및 지질
https://www.dokdo.re.kr/home/cms/cmsCont.do?cntnts_sn=66
대한민국 한국관광공사 · 독립문바위
https://korean.visitkorea.or.kr/detail/ms_detail.do?cotid=0fe4eeb6-3f6a-48b1-ab75-c8d4ab6b43be</ns0:t>
        </ns0:is>
      </ns0:c>
    </ns0:row>
    <ns0:row r="51" ht="113" customHeight="1">
      <ns0:c r="A51" s="12" t="n">
        <ns0:v>920050</ns0:v>
      </ns0:c>
      <ns0:c r="B51" s="12" t="inlineStr">
        <ns0:is>
          <ns0:t>What is the wearing away of Dokdo’s coastal rock by waves called?</ns0:t>
        </ns0:is>
      </ns0:c>
      <ns0:c r="C51" s="12" t="inlineStr">
        <ns0:is>
          <ns0:t>Deposition</ns0:t>
        </ns0:is>
      </ns0:c>
      <ns0:c r="D51" s="12" t="inlineStr">
        <ns0:is>
          <ns0:t>Marine erosion</ns0:t>
        </ns0:is>
      </ns0:c>
      <ns0:c r="E51" s="12" t="inlineStr">
        <ns0:is>
          <ns0:t>Eruption</ns0:t>
        </ns0:is>
      </ns0:c>
      <ns0:c r="F51" s="12" t="inlineStr"/>
      <ns0:c r="G51" s="12" t="n">
        <ns0:v>2</ns0:v>
      </ns0:c>
      <ns0:c r="H51" s="12" t="inlineStr">
        <ns0:is>
          <ns0:t>Marine erosion is the wearing away of coastal material by the sea.</ns0:t>
        </ns0:is>
      </ns0:c>
      <ns0:c r="I51" s="12" t="inlineStr">
        <ns0:is>
          <ns0:t>Wave erosion helps shape Dokdo’s coastal cliffs, caves and arches.</ns0:t>
        </ns0:is>
      </ns0:c>
      <ns0:c r="J51" s="12" t="inlineStr"/>
      <ns0:c r="K51" s="12" t="inlineStr">
        <ns0:is>
          <ns0:t>대한민국 한국해양과학기술원 · 독도 지형 및 지질
https://www.dokdo.re.kr/home/cms/cmsCont.do?cntnts_sn=66
대한민국 한국관광공사 · 독립문바위
https://korean.visitkorea.or.kr/detail/ms_detail.do?cotid=0fe4eeb6-3f6a-48b1-ab75-c8d4ab6b43be</ns0:t>
        </ns0:is>
      </ns0:c>
    </ns0:row>
    <ns0:row r="52" ht="113" customHeight="1">
      <ns0:c r="A52" s="10" t="n">
        <ns0:v>920051</ns0:v>
      </ns0:c>
      <ns0:c r="B52" s="10" t="inlineStr">
        <ns0:is>
          <ns0:t>Which process contributed to the arch opening in Dongnimmun Rock?</ns0:t>
        </ns0:is>
      </ns0:c>
      <ns0:c r="C52" s="10" t="inlineStr">
        <ns0:is>
          <ns0:t>Accumulation of sand carried by a river</ns0:t>
        </ns0:is>
      </ns0:c>
      <ns0:c r="D52" s="10" t="inlineStr">
        <ns0:is>
          <ns0:t>Coral growing into a ring</ns0:t>
        </ns0:is>
      </ns0:c>
      <ns0:c r="E52" s="10" t="inlineStr">
        <ns0:is>
          <ns0:t>Wave erosion of coastal rock</ns0:t>
        </ns0:is>
      </ns0:c>
      <ns0:c r="F52" s="10" t="inlineStr"/>
      <ns0:c r="G52" s="10" t="n">
        <ns0:v>3</ns0:v>
      </ns0:c>
      <ns0:c r="H52" s="10" t="inlineStr">
        <ns0:is>
          <ns0:t>The rock is a sea arch formed through erosion of coastal rock.</ns0:t>
        </ns0:is>
      </ns0:c>
      <ns0:c r="I52" s="10" t="inlineStr">
        <ns0:is>
          <ns0:t>Wave erosion helps shape Dokdo’s coastal cliffs, caves and arches.</ns0:t>
        </ns0:is>
      </ns0:c>
      <ns0:c r="J52" s="10" t="inlineStr">
        <ns0:is>
          <ns0:t>Dongnimmun Rock is a sea arch on Dongdo. A sea arch is coastal rock eroded into an arch-shaped remnant.</ns0:t>
        </ns0:is>
      </ns0:c>
      <ns0:c r="K52" s="10" t="inlineStr">
        <ns0:is>
          <ns0:t>대한민국 한국해양과학기술원 · 독도 지형 및 지질
https://www.dokdo.re.kr/home/cms/cmsCont.do?cntnts_sn=66
대한민국 한국관광공사 · 독립문바위
https://korean.visitkorea.or.kr/detail/ms_detail.do?cotid=0fe4eeb6-3f6a-48b1-ab75-c8d4ab6b43be</ns0:t>
        </ns0:is>
      </ns0:c>
    </ns0:row>
    <ns0:row r="53" ht="113" customHeight="1">
      <ns0:c r="A53" s="12" t="n">
        <ns0:v>920052</ns0:v>
      </ns0:c>
      <ns0:c r="B53" s="12" t="inlineStr">
        <ns0:is>
          <ns0:t>Which description identifies a wave-eroded landform on Dokdo?</ns0:t>
        </ns0:is>
      </ns0:c>
      <ns0:c r="C53" s="12" t="inlineStr">
        <ns0:is>
          <ns0:t>Weak parts of coastal rock were eroded into an opening</ns0:t>
        </ns0:is>
      </ns0:c>
      <ns0:c r="D53" s="12" t="inlineStr">
        <ns0:is>
          <ns0:t>Erupted material accumulated into a larger submarine volcano</ns0:t>
        </ns0:is>
      </ns0:c>
      <ns0:c r="E53" s="12" t="inlineStr">
        <ns0:is>
          <ns0:t>Sand settled underwater to form a new layer</ns0:t>
        </ns0:is>
      </ns0:c>
      <ns0:c r="F53" s="12" t="inlineStr"/>
      <ns0:c r="G53" s="12" t="n">
        <ns0:v>1</ns0:v>
      </ns0:c>
      <ns0:c r="H53" s="12" t="inlineStr">
        <ns0:is>
          <ns0:t>This describes coastal rock being worn away, consistent with marine erosion.</ns0:t>
        </ns0:is>
      </ns0:c>
      <ns0:c r="I53" s="12" t="inlineStr">
        <ns0:is>
          <ns0:t>Wave erosion helps shape Dokdo’s coastal cliffs, caves and arches.</ns0:t>
        </ns0:is>
      </ns0:c>
      <ns0:c r="J53" s="12" t="inlineStr">
        <ns0:is>
          <ns0:t>Classification: marine erosion wears away coastal rock. Dokdo’s sea caves and arches are associated with this process.</ns0:t>
        </ns0:is>
      </ns0:c>
      <ns0:c r="K53" s="12" t="inlineStr">
        <ns0:is>
          <ns0:t>대한민국 한국해양과학기술원 · 독도 지형 및 지질
https://www.dokdo.re.kr/home/cms/cmsCont.do?cntnts_sn=66
대한민국 한국관광공사 · 독립문바위
https://korean.visitkorea.or.kr/detail/ms_detail.do?cotid=0fe4eeb6-3f6a-48b1-ab75-c8d4ab6b43be</ns0:t>
        </ns0:is>
      </ns0:c>
    </ns0:row>
    <ns0:row r="54" ht="53" customHeight="1">
      <ns0:c r="A54" s="10" t="n">
        <ns0:v>920053</ns0:v>
      </ns0:c>
      <ns0:c r="B54" s="10" t="inlineStr">
        <ns0:is>
          <ns0:t>What is the process in which exposure weakens Dokdo’s rocks over time?</ns0:t>
        </ns0:is>
      </ns0:c>
      <ns0:c r="C54" s="10" t="inlineStr">
        <ns0:is>
          <ns0:t>Eruption</ns0:t>
        </ns0:is>
      </ns0:c>
      <ns0:c r="D54" s="10" t="inlineStr">
        <ns0:is>
          <ns0:t>Weathering</ns0:t>
        </ns0:is>
      </ns0:c>
      <ns0:c r="E54" s="10" t="inlineStr">
        <ns0:is>
          <ns0:t>Deposition</ns0:t>
        </ns0:is>
      </ns0:c>
      <ns0:c r="F54" s="10" t="inlineStr"/>
      <ns0:c r="G54" s="10" t="n">
        <ns0:v>2</ns0:v>
      </ns0:c>
      <ns0:c r="H54" s="10" t="inlineStr">
        <ns0:is>
          <ns0:t>Weathering weakens or breaks down rock through environmental exposure.</ns0:t>
        </ns0:is>
      </ns0:c>
      <ns0:c r="I54" s="10" t="inlineStr">
        <ns0:is>
          <ns0:t>Weathering weakens Dokdo’s rock and erosion wears it away, reshaping the coast.</ns0:t>
        </ns0:is>
      </ns0:c>
      <ns0:c r="J54" s="10" t="inlineStr"/>
      <ns0:c r="K54" s="10" t="inlineStr">
        <ns0:is>
          <ns0:t>대한민국 한국해양과학기술원 · 독도 지형 및 지질
https://www.dokdo.re.kr/home/cms/cmsCont.do?cntnts_sn=66</ns0:t>
        </ns0:is>
      </ns0:c>
    </ns0:row>
    <ns0:row r="55" ht="53" customHeight="1">
      <ns0:c r="A55" s="12" t="n">
        <ns0:v>920054</ns0:v>
      </ns0:c>
      <ns0:c r="B55" s="12" t="inlineStr">
        <ns0:is>
          <ns0:t>What process occurs when eroded fragments from Dokdo accumulate elsewhere?</ns0:t>
        </ns0:is>
      </ns0:c>
      <ns0:c r="C55" s="12" t="inlineStr">
        <ns0:is>
          <ns0:t>Eruption</ns0:t>
        </ns0:is>
      </ns0:c>
      <ns0:c r="D55" s="12" t="inlineStr">
        <ns0:is>
          <ns0:t>Weathering</ns0:t>
        </ns0:is>
      </ns0:c>
      <ns0:c r="E55" s="12" t="inlineStr">
        <ns0:is>
          <ns0:t>Deposition</ns0:t>
        </ns0:is>
      </ns0:c>
      <ns0:c r="F55" s="12" t="inlineStr"/>
      <ns0:c r="G55" s="12" t="n">
        <ns0:v>3</ns0:v>
      </ns0:c>
      <ns0:c r="H55" s="12" t="inlineStr">
        <ns0:is>
          <ns0:t>The accumulation stage is deposition, distinct from removal by erosion.</ns0:t>
        </ns0:is>
      </ns0:c>
      <ns0:c r="I55" s="12" t="inlineStr">
        <ns0:is>
          <ns0:t>Weathering weakens Dokdo’s rock and erosion wears it away, reshaping the coast.</ns0:t>
        </ns0:is>
      </ns0:c>
      <ns0:c r="J55" s="12" t="inlineStr"/>
      <ns0:c r="K55" s="12" t="inlineStr">
        <ns0:is>
          <ns0:t>대한민국 한국해양과학기술원 · 독도 지형 및 지질
https://www.dokdo.re.kr/home/cms/cmsCont.do?cntnts_sn=66</ns0:t>
        </ns0:is>
      </ns0:c>
    </ns0:row>
    <ns0:row r="56" ht="53" customHeight="1">
      <ns0:c r="A56" s="10" t="n">
        <ns0:v>920055</ns0:v>
      </ns0:c>
      <ns0:c r="B56" s="10" t="inlineStr">
        <ns0:is>
          <ns0:t>Which order matches rock weakening followed by removal by waves on Dokdo?</ns0:t>
        </ns0:is>
      </ns0:c>
      <ns0:c r="C56" s="10" t="inlineStr">
        <ns0:is>
          <ns0:t>Weathering → erosion</ns0:t>
        </ns0:is>
      </ns0:c>
      <ns0:c r="D56" s="10" t="inlineStr">
        <ns0:is>
          <ns0:t>Deposition → weathering</ns0:t>
        </ns0:is>
      </ns0:c>
      <ns0:c r="E56" s="10" t="inlineStr">
        <ns0:is>
          <ns0:t>Eruption → deposition</ns0:t>
        </ns0:is>
      </ns0:c>
      <ns0:c r="F56" s="10" t="inlineStr"/>
      <ns0:c r="G56" s="10" t="n">
        <ns0:v>1</ns0:v>
      </ns0:c>
      <ns0:c r="H56" s="10" t="inlineStr">
        <ns0:is>
          <ns0:t>Weathering weakens the rock before erosion removes material.</ns0:t>
        </ns0:is>
      </ns0:c>
      <ns0:c r="I56" s="10" t="inlineStr">
        <ns0:is>
          <ns0:t>Weathering weakens Dokdo’s rock and erosion wears it away, reshaping the coast.</ns0:t>
        </ns0:is>
      </ns0:c>
      <ns0:c r="J56" s="10" t="inlineStr">
        <ns0:is>
          <ns0:t>Illustrative observation: cracks widened in Dokdo’s coastal rock, then waves removed material from the weakened section. This describes processes, not a dated field measurement.</ns0:t>
        </ns0:is>
      </ns0:c>
      <ns0:c r="K56" s="10" t="inlineStr">
        <ns0:is>
          <ns0:t>대한민국 한국해양과학기술원 · 독도 지형 및 지질
https://www.dokdo.re.kr/home/cms/cmsCont.do?cntnts_sn=66</ns0:t>
        </ns0:is>
      </ns0:c>
    </ns0:row>
    <ns0:row r="57" ht="53" customHeight="1">
      <ns0:c r="A57" s="12" t="n">
        <ns0:v>920056</ns0:v>
      </ns0:c>
      <ns0:c r="B57" s="12" t="inlineStr">
        <ns0:is>
          <ns0:t>Which pair of records is suitable for comparing change in Dokdo’s coastline?</ns0:t>
        </ns0:is>
      </ns0:c>
      <ns0:c r="C57" s="12" t="inlineStr">
        <ns0:is>
          <ns0:t>A whole-Seodo image and a close-up of one Dongdo rock</ns0:t>
        </ns0:is>
      </ns0:c>
      <ns0:c r="D57" s="12" t="inlineStr">
        <ns0:is>
          <ns0:t>Two dates of the same coastal section at the same scale</ns0:t>
        </ns0:is>
      </ns0:c>
      <ns0:c r="E57" s="12" t="inlineStr">
        <ns0:is>
          <ns0:t>Dongdo elevations and Ulleungdo temperatures</ns0:t>
        </ns0:is>
      </ns0:c>
      <ns0:c r="F57" s="12" t="inlineStr"/>
      <ns0:c r="G57" s="12" t="n">
        <ns0:v>2</ns0:v>
      </ns0:c>
      <ns0:c r="H57" s="12" t="inlineStr">
        <ns0:is>
          <ns0:t>Matching location and scale allows a meaningful comparison of coastline change.</ns0:t>
        </ns0:is>
      </ns0:c>
      <ns0:c r="I57" s="12" t="inlineStr">
        <ns0:is>
          <ns0:t>Weathering weakens Dokdo’s rock and erosion wears it away, reshaping the coast.</ns0:t>
        </ns0:is>
      </ns0:c>
      <ns0:c r="J57" s="12" t="inlineStr">
        <ns0:is>
          <ns0:t>Weathering and erosion can produce small changes along Dokdo’s coast. A survey needs to compare past and newer observations of the same section.</ns0:t>
        </ns0:is>
      </ns0:c>
      <ns0:c r="K57" s="12" t="inlineStr">
        <ns0:is>
          <ns0:t>대한민국 한국해양과학기술원 · 독도 지형 및 지질
https://www.dokdo.re.kr/home/cms/cmsCont.do?cntnts_sn=66</ns0:t>
        </ns0:is>
      </ns0:c>
    </ns0:row>
    <ns0:row r="58" ht="98" customHeight="1">
      <ns0:c r="A58" s="10" t="n">
        <ns0:v>920057</ns0:v>
      </ns0:c>
      <ns0:c r="B58" s="10" t="inlineStr">
        <ns0:is>
          <ns0:t>On which main island of Dokdo is Mulgol?</ns0:t>
        </ns0:is>
      </ns0:c>
      <ns0:c r="C58" s="10" t="inlineStr">
        <ns0:is>
          <ns0:t>Dongdo</ns0:t>
        </ns0:is>
      </ns0:c>
      <ns0:c r="D58" s="10" t="inlineStr">
        <ns0:is>
          <ns0:t>Seodo</ns0:t>
        </ns0:is>
      </ns0:c>
      <ns0:c r="E58" s="10" t="inlineStr"/>
      <ns0:c r="F58" s="10" t="inlineStr"/>
      <ns0:c r="G58" s="10" t="n">
        <ns0:v>2</ns0:v>
      </ns0:c>
      <ns0:c r="H58" s="10" t="inlineStr">
        <ns0:is>
          <ns0:t>Mulgol is a water source on Seodo’s coast.</ns0:t>
        </ns0:is>
      </ns0:c>
      <ns0:c r="I58" s="10" t="inlineStr">
        <ns0:is>
          <ns0:t>Mulgol on Seodo supplies dripping water and was used as a drinking-water source before desalination facilities.</ns0:t>
        </ns0:is>
      </ns0:c>
      <ns0:c r="J58" s="10" t="inlineStr"/>
      <ns0:c r="K58" s="10" t="inlineStr">
        <ns0:is>
          <ns0:t>대한민국 한국해양과학기술원 · 독도 지형 및 지질
https://www.dokdo.re.kr/home/cms/cmsCont.do?cntnts_sn=66
대한민국 외교부 · 독도 주요시설물
https://dokdo.mofa.go.kr/kor/introduce/facility.jsp</ns0:t>
        </ns0:is>
      </ns0:c>
    </ns0:row>
    <ns0:row r="59" ht="98" customHeight="1">
      <ns0:c r="A59" s="12" t="n">
        <ns0:v>920058</ns0:v>
      </ns0:c>
      <ns0:c r="B59" s="12" t="inlineStr">
        <ns0:is>
          <ns0:t>Before desalination facilities, what was Mulgol used for?</ns0:t>
        </ns0:is>
      </ns0:c>
      <ns0:c r="C59" s="12" t="inlineStr">
        <ns0:is>
          <ns0:t>A boat landing</ns0:t>
        </ns0:is>
      </ns0:c>
      <ns0:c r="D59" s="12" t="inlineStr">
        <ns0:is>
          <ns0:t>A helicopter landing</ns0:t>
        </ns0:is>
      </ns0:c>
      <ns0:c r="E59" s="12" t="inlineStr">
        <ns0:is>
          <ns0:t>A source of drinking water</ns0:t>
        </ns0:is>
      </ns0:c>
      <ns0:c r="F59" s="12" t="inlineStr"/>
      <ns0:c r="G59" s="12" t="n">
        <ns0:v>3</ns0:v>
      </ns0:c>
      <ns0:c r="H59" s="12" t="inlineStr">
        <ns0:is>
          <ns0:t>Water dripping at Mulgol was used for drinking.</ns0:t>
        </ns0:is>
      </ns0:c>
      <ns0:c r="I59" s="12" t="inlineStr">
        <ns0:is>
          <ns0:t>Mulgol on Seodo supplies dripping water and was used as a drinking-water source before desalination facilities.</ns0:t>
        </ns0:is>
      </ns0:c>
      <ns0:c r="J59" s="12" t="inlineStr"/>
      <ns0:c r="K59" s="12" t="inlineStr">
        <ns0:is>
          <ns0:t>대한민국 한국해양과학기술원 · 독도 지형 및 지질
https://www.dokdo.re.kr/home/cms/cmsCont.do?cntnts_sn=66
대한민국 외교부 · 독도 주요시설물
https://dokdo.mofa.go.kr/kor/introduce/facility.jsp</ns0:t>
        </ns0:is>
      </ns0:c>
    </ns0:row>
    <ns0:row r="60" ht="98" customHeight="1">
      <ns0:c r="A60" s="10" t="n">
        <ns0:v>920059</ns0:v>
      </ns0:c>
      <ns0:c r="B60" s="10" t="inlineStr">
        <ns0:is>
          <ns0:t>Which place name completes the description?</ns0:t>
        </ns0:is>
      </ns0:c>
      <ns0:c r="C60" s="10" t="inlineStr">
        <ns0:is>
          <ns0:t>Mulgol</ns0:t>
        </ns0:is>
      </ns0:c>
      <ns0:c r="D60" s="10" t="inlineStr">
        <ns0:is>
          <ns0:t>Cheonjang Cave</ns0:t>
        </ns0:is>
      </ns0:c>
      <ns0:c r="E60" s="10" t="inlineStr">
        <ns0:is>
          <ns0:t>Dongnimmun Rock</ns0:t>
        </ns0:is>
      </ns0:c>
      <ns0:c r="F60" s="10" t="inlineStr"/>
      <ns0:c r="G60" s="10" t="n">
        <ns0:v>1</ns0:v>
      </ns0:c>
      <ns0:c r="H60" s="10" t="inlineStr">
        <ns0:is>
          <ns0:t>A historical water source on Seodo identifies Mulgol.</ns0:t>
        </ns0:is>
      </ns0:c>
      <ns0:c r="I60" s="10" t="inlineStr">
        <ns0:is>
          <ns0:t>Mulgol on Seodo supplies dripping water and was used as a drinking-water source before desalination facilities.</ns0:t>
        </ns0:is>
      </ns0:c>
      <ns0:c r="J60" s="10" t="inlineStr">
        <ns0:is>
          <ns0:t>At [   ] on Seodo, water drips from the rock. It was used for drinking before seawater-desalination equipment was installed.</ns0:t>
        </ns0:is>
      </ns0:c>
      <ns0:c r="K60" s="10" t="inlineStr">
        <ns0:is>
          <ns0:t>대한민국 한국해양과학기술원 · 독도 지형 및 지질
https://www.dokdo.re.kr/home/cms/cmsCont.do?cntnts_sn=66
대한민국 외교부 · 독도 주요시설물
https://dokdo.mofa.go.kr/kor/introduce/facility.jsp</ns0:t>
        </ns0:is>
      </ns0:c>
    </ns0:row>
    <ns0:row r="61" ht="98" customHeight="1">
      <ns0:c r="A61" s="12" t="n">
        <ns0:v>920060</ns0:v>
      </ns0:c>
      <ns0:c r="B61" s="12" t="inlineStr">
        <ns0:is>
          <ns0:t>Which pairing correctly describes water supply at Mulgol and at a desalination facility?</ns0:t>
        </ns0:is>
      </ns0:c>
      <ns0:c r="C61" s="12" t="inlineStr">
        <ns0:is>
          <ns0:t>Mulgol: a seawater boiler / desalination: dripping rock water</ns0:t>
        </ns0:is>
      </ns0:c>
      <ns0:c r="D61" s="12" t="inlineStr">
        <ns0:is>
          <ns0:t>Mulgol: dripping water / desalination: removing salt from seawater</ns0:t>
        </ns0:is>
      </ns0:c>
      <ns0:c r="E61" s="12" t="inlineStr">
        <ns0:is>
          <ns0:t>Both collect water from the same rock crevice</ns0:t>
        </ns0:is>
      </ns0:c>
      <ns0:c r="F61" s="12" t="inlineStr"/>
      <ns0:c r="G61" s="12" t="n">
        <ns0:v>2</ns0:v>
      </ns0:c>
      <ns0:c r="H61" s="12" t="inlineStr">
        <ns0:is>
          <ns0:t>One collects naturally dripping water; the other processes seawater.</ns0:t>
        </ns0:is>
      </ns0:c>
      <ns0:c r="I61" s="12" t="inlineStr">
        <ns0:is>
          <ns0:t>Mulgol on Seodo supplies dripping water and was used as a drinking-water source before desalination facilities.</ns0:t>
        </ns0:is>
      </ns0:c>
      <ns0:c r="J61" s="12" t="inlineStr">
        <ns0:is>
          <ns0:t>Mulgol: dripping rock water on Seodo, historically used for drinking.
Desalination: equipment that removes salt from seawater for use.</ns0:t>
        </ns0:is>
      </ns0:c>
      <ns0:c r="K61" s="12" t="inlineStr">
        <ns0:is>
          <ns0:t>대한민국 한국해양과학기술원 · 독도 지형 및 지질
https://www.dokdo.re.kr/home/cms/cmsCont.do?cntnts_sn=66
대한민국 외교부 · 독도 주요시설물
https://dokdo.mofa.go.kr/kor/introduce/facility.jsp</ns0:t>
        </ns0:is>
      </ns0:c>
    </ns0:row>
    <ns0:row r="62" ht="53" customHeight="1">
      <ns0:c r="A62" s="10" t="n">
        <ns0:v>920061</ns0:v>
      </ns0:c>
      <ns0:c r="B62" s="10" t="inlineStr">
        <ns0:is>
          <ns0:t>What does Dokdo provide for birds making long migrations?</ns0:t>
        </ns0:is>
      </ns0:c>
      <ns0:c r="C62" s="10" t="inlineStr">
        <ns0:is>
          <ns0:t>A place used only in winter</ns0:t>
        </ns0:is>
      </ns0:c>
      <ns0:c r="D62" s="10" t="inlineStr">
        <ns0:is>
          <ns0:t>A permanent home for every visiting bird</ns0:t>
        </ns0:is>
      </ns0:c>
      <ns0:c r="E62" s="10" t="inlineStr">
        <ns0:is>
          <ns0:t>A place to rest during migration</ns0:t>
        </ns0:is>
      </ns0:c>
      <ns0:c r="F62" s="10" t="inlineStr"/>
      <ns0:c r="G62" s="10" t="n">
        <ns0:v>3</ns0:v>
      </ns0:c>
      <ns0:c r="H62" s="10" t="inlineStr">
        <ns0:is>
          <ns0:t>Migrating birds can pause on Dokdo before continuing their journeys.</ns0:t>
        </ns0:is>
      </ns0:c>
      <ns0:c r="I62" s="10" t="inlineStr">
        <ns0:is>
          <ns0:t>Dokdo is a stopover where migrating birds can rest.</ns0:t>
        </ns0:is>
      </ns0:c>
      <ns0:c r="J62" s="10" t="inlineStr"/>
      <ns0:c r="K62" s="10" t="inlineStr">
        <ns0:is>
          <ns0:t>대한민국 외교부 · 독도의 자연환경
https://dokdo.mofa.go.kr/kor/introduce/nature.jsp</ns0:t>
        </ns0:is>
      </ns0:c>
    </ns0:row>
    <ns0:row r="63" ht="53" customHeight="1">
      <ns0:c r="A63" s="12" t="n">
        <ns0:v>920062</ns0:v>
      </ns0:c>
      <ns0:c r="B63" s="12" t="inlineStr">
        <ns0:is>
          <ns0:t>What is a place such as Dokdo where migrating birds pause called?</ns0:t>
        </ns0:is>
      </ns0:c>
      <ns0:c r="C63" s="12" t="inlineStr">
        <ns0:is>
          <ns0:t>A stopover site</ns0:t>
        </ns0:is>
      </ns0:c>
      <ns0:c r="D63" s="12" t="inlineStr">
        <ns0:is>
          <ns0:t>A breeding site</ns0:t>
        </ns0:is>
      </ns0:c>
      <ns0:c r="E63" s="12" t="inlineStr">
        <ns0:is>
          <ns0:t>A wintering site</ns0:t>
        </ns0:is>
      </ns0:c>
      <ns0:c r="F63" s="12" t="inlineStr"/>
      <ns0:c r="G63" s="12" t="n">
        <ns0:v>1</ns0:v>
      </ns0:c>
      <ns0:c r="H63" s="12" t="inlineStr">
        <ns0:is>
          <ns0:t>A temporary resting place during a journey is a stopover.</ns0:t>
        </ns0:is>
      </ns0:c>
      <ns0:c r="I63" s="12" t="inlineStr">
        <ns0:is>
          <ns0:t>Dokdo is a stopover where migrating birds can rest.</ns0:t>
        </ns0:is>
      </ns0:c>
      <ns0:c r="J63" s="12" t="inlineStr"/>
      <ns0:c r="K63" s="12" t="inlineStr">
        <ns0:is>
          <ns0:t>대한민국 외교부 · 독도의 자연환경
https://dokdo.mofa.go.kr/kor/introduce/nature.jsp</ns0:t>
        </ns0:is>
      </ns0:c>
    </ns0:row>
    <ns0:row r="64" ht="53" customHeight="1">
      <ns0:c r="A64" s="10" t="n">
        <ns0:v>920063</ns0:v>
      </ns0:c>
      <ns0:c r="B64" s="10" t="inlineStr">
        <ns0:is>
          <ns0:t>In the route “departure → rest on Dokdo → destination”, what role does Dokdo play?</ns0:t>
        </ns0:is>
      </ns0:c>
      <ns0:c r="C64" s="10" t="inlineStr">
        <ns0:is>
          <ns0:t>The departure site</ns0:t>
        </ns0:is>
      </ns0:c>
      <ns0:c r="D64" s="10" t="inlineStr">
        <ns0:is>
          <ns0:t>A stopover</ns0:t>
        </ns0:is>
      </ns0:c>
      <ns0:c r="E64" s="10" t="inlineStr">
        <ns0:is>
          <ns0:t>The final destination</ns0:t>
        </ns0:is>
      </ns0:c>
      <ns0:c r="F64" s="10" t="inlineStr"/>
      <ns0:c r="G64" s="10" t="n">
        <ns0:v>2</ns0:v>
      </ns0:c>
      <ns0:c r="H64" s="10" t="inlineStr">
        <ns0:is>
          <ns0:t>The birds rest between departure and destination, making Dokdo a stopover.</ns0:t>
        </ns0:is>
      </ns0:c>
      <ns0:c r="I64" s="10" t="inlineStr">
        <ns0:is>
          <ns0:t>Dokdo is a stopover where migrating birds can rest.</ns0:t>
        </ns0:is>
      </ns0:c>
      <ns0:c r="J64" s="10" t="inlineStr">
        <ns0:is>
          <ns0:t>Illustrative migration route: departure → a short rest on Dokdo → destination. This is not a tracked route of an individual bird.</ns0:t>
        </ns0:is>
      </ns0:c>
      <ns0:c r="K64" s="10" t="inlineStr">
        <ns0:is>
          <ns0:t>대한민국 외교부 · 독도의 자연환경
https://dokdo.mofa.go.kr/kor/introduce/nature.jsp</ns0:t>
        </ns0:is>
      </ns0:c>
    </ns0:row>
    <ns0:row r="65" ht="53" customHeight="1">
      <ns0:c r="A65" s="12" t="n">
        <ns0:v>920064</ns0:v>
      </ns0:c>
      <ns0:c r="B65" s="12" t="inlineStr">
        <ns0:is>
          <ns0:t>Which of the two bird observations on Dokdo describes a stopover?</ns0:t>
        </ns0:is>
      </ns0:c>
      <ns0:c r="C65" s="12" t="inlineStr">
        <ns0:is>
          <ns0:t>A: resting briefly and then continuing elsewhere</ns0:t>
        </ns0:is>
      </ns0:c>
      <ns0:c r="D65" s="12" t="inlineStr">
        <ns0:is>
          <ns0:t>B: incubating eggs and raising chicks at a nest</ns0:t>
        </ns0:is>
      </ns0:c>
      <ns0:c r="E65" s="12" t="inlineStr"/>
      <ns0:c r="F65" s="12" t="inlineStr"/>
      <ns0:c r="G65" s="12" t="n">
        <ns0:v>1</ns0:v>
      </ns0:c>
      <ns0:c r="H65" s="12" t="inlineStr">
        <ns0:is>
          <ns0:t>Resting before continuing a longer journey is a stopover.</ns0:t>
        </ns0:is>
      </ns0:c>
      <ns0:c r="I65" s="12" t="inlineStr">
        <ns0:is>
          <ns0:t>Dokdo is a stopover where migrating birds can rest.</ns0:t>
        </ns0:is>
      </ns0:c>
      <ns0:c r="J65" s="12" t="inlineStr">
        <ns0:is>
          <ns0:t>Dokdo is a stopover and a breeding site for some seabirds. Illustrative observations: A rests during migration and leaves; B raises chicks at a nest.</ns0:t>
        </ns0:is>
      </ns0:c>
      <ns0:c r="K65" s="12" t="inlineStr">
        <ns0:is>
          <ns0:t>대한민국 외교부 · 독도의 자연환경
https://dokdo.mofa.go.kr/kor/introduce/nature.jsp</ns0:t>
        </ns0:is>
      </ns0:c>
    </ns0:row>
    <ns0:row r="66" ht="98" customHeight="1">
      <ns0:c r="A66" s="10" t="n">
        <ns0:v>920065</ns0:v>
      </ns0:c>
      <ns0:c r="B66" s="10" t="inlineStr">
        <ns0:is>
          <ns0:t>Which bird is recorded as breeding on Dokdo?</ns0:t>
        </ns0:is>
      </ns0:c>
      <ns0:c r="C66" s="10" t="inlineStr">
        <ns0:is>
          <ns0:t>Emperor penguin</ns0:t>
        </ns0:is>
      </ns0:c>
      <ns0:c r="D66" s="10" t="inlineStr">
        <ns0:is>
          <ns0:t>Ostrich</ns0:t>
        </ns0:is>
      </ns0:c>
      <ns0:c r="E66" s="10" t="inlineStr">
        <ns0:is>
          <ns0:t>Black-tailed gull</ns0:t>
        </ns0:is>
      </ns0:c>
      <ns0:c r="F66" s="10" t="inlineStr"/>
      <ns0:c r="G66" s="10" t="n">
        <ns0:v>3</ns0:v>
      </ns0:c>
      <ns0:c r="H66" s="10" t="inlineStr">
        <ns0:is>
          <ns0:t>Black-tailed gulls are among the seabirds recorded as breeding on Dokdo.</ns0:t>
        </ns0:is>
      </ns0:c>
      <ns0:c r="I66" s="10" t="inlineStr">
        <ns0:is>
          <ns0:t>Black-tailed gulls, storm petrels and streaked shearwaters are recorded as breeding seabirds on Dokdo.</ns0:t>
        </ns0:is>
      </ns0:c>
      <ns0:c r="J66" s="10" t="inlineStr"/>
      <ns0:c r="K66" s="10"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67" ht="98" customHeight="1">
      <ns0:c r="A67" s="12" t="n">
        <ns0:v>920066</ns0:v>
      </ns0:c>
      <ns0:c r="B67" s="12" t="inlineStr">
        <ns0:is>
          <ns0:t>What does it mean that black-tailed gulls breed on Dokdo?</ns0:t>
        </ns0:is>
      </ns0:c>
      <ns0:c r="C67" s="12" t="inlineStr">
        <ns0:is>
          <ns0:t>They lay eggs and raise chicks.</ns0:t>
        </ns0:is>
      </ns0:c>
      <ns0:c r="D67" s="12" t="inlineStr">
        <ns0:is>
          <ns0:t>They only stop to rest and leave.</ns0:t>
        </ns0:is>
      </ns0:c>
      <ns0:c r="E67" s="12" t="inlineStr">
        <ns0:is>
          <ns0:t>They only look for food and leave.</ns0:t>
        </ns0:is>
      </ns0:c>
      <ns0:c r="F67" s="12" t="inlineStr"/>
      <ns0:c r="G67" s="12" t="n">
        <ns0:v>1</ns0:v>
      </ns0:c>
      <ns0:c r="H67" s="12" t="inlineStr">
        <ns0:is>
          <ns0:t>Breeding produces the next generation, including laying eggs and raising chicks.</ns0:t>
        </ns0:is>
      </ns0:c>
      <ns0:c r="I67" s="12" t="inlineStr">
        <ns0:is>
          <ns0:t>Black-tailed gulls, storm petrels and streaked shearwaters are recorded as breeding seabirds on Dokdo.</ns0:t>
        </ns0:is>
      </ns0:c>
      <ns0:c r="J67" s="12" t="inlineStr"/>
      <ns0:c r="K67" s="12"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68" ht="98" customHeight="1">
      <ns0:c r="A68" s="10" t="n">
        <ns0:v>920067</ns0:v>
      </ns0:c>
      <ns0:c r="B68" s="10" t="inlineStr">
        <ns0:is>
          <ns0:t>Which set contains only birds listed as breeding on Dokdo?</ns0:t>
        </ns0:is>
      </ns0:c>
      <ns0:c r="C68" s="10" t="inlineStr">
        <ns0:is>
          <ns0:t>Black-tailed gulls, emperor penguins and streaked shearwaters</ns0:t>
        </ns0:is>
      </ns0:c>
      <ns0:c r="D68" s="10" t="inlineStr">
        <ns0:is>
          <ns0:t>Black-tailed gulls, storm petrels and streaked shearwaters</ns0:t>
        </ns0:is>
      </ns0:c>
      <ns0:c r="E68" s="10" t="inlineStr">
        <ns0:is>
          <ns0:t>Storm petrels, streaked shearwaters and ostriches</ns0:t>
        </ns0:is>
      </ns0:c>
      <ns0:c r="F68" s="10" t="inlineStr"/>
      <ns0:c r="G68" s="10" t="n">
        <ns0:v>2</ns0:v>
      </ns0:c>
      <ns0:c r="H68" s="10" t="inlineStr">
        <ns0:is>
          <ns0:t>These are the three breeding-bird groups listed in the supplied account.</ns0:t>
        </ns0:is>
      </ns0:c>
      <ns0:c r="I68" s="10" t="inlineStr">
        <ns0:is>
          <ns0:t>Black-tailed gulls, storm petrels and streaked shearwaters are recorded as breeding seabirds on Dokdo.</ns0:t>
        </ns0:is>
      </ns0:c>
      <ns0:c r="J68" s="10" t="inlineStr">
        <ns0:is>
          <ns0:t>Breeding birds named in the Dokdo Natural Reserve account: storm petrels, streaked shearwaters and black-tailed gulls.</ns0:t>
        </ns0:is>
      </ns0:c>
      <ns0:c r="K68" s="10"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69" ht="98" customHeight="1">
      <ns0:c r="A69" s="12" t="n">
        <ns0:v>920068</ns0:v>
      </ns0:c>
      <ns0:c r="B69" s="12" t="inlineStr">
        <ns0:is>
          <ns0:t>Which observation demonstrates Dokdo’s function as a breeding site?</ns0:t>
        </ns0:is>
      </ns0:c>
      <ns0:c r="C69" s="12" t="inlineStr">
        <ns0:is>
          <ns0:t>A migrant rests on a rock and soon leaves</ns0:t>
        </ns0:is>
      </ns0:c>
      <ns0:c r="D69" s="12" t="inlineStr">
        <ns0:is>
          <ns0:t>A bird flies past above the islands</ns0:t>
        </ns0:is>
      </ns0:c>
      <ns0:c r="E69" s="12" t="inlineStr">
        <ns0:is>
          <ns0:t>A black-tailed gull feeds chicks at its nest</ns0:t>
        </ns0:is>
      </ns0:c>
      <ns0:c r="F69" s="12" t="inlineStr"/>
      <ns0:c r="G69" s="12" t="n">
        <ns0:v>3</ns0:v>
      </ns0:c>
      <ns0:c r="H69" s="12" t="inlineStr">
        <ns0:is>
          <ns0:t>Raising chicks at a nest demonstrates use of a breeding site.</ns0:t>
        </ns0:is>
      </ns0:c>
      <ns0:c r="I69" s="12" t="inlineStr">
        <ns0:is>
          <ns0:t>Black-tailed gulls, storm petrels and streaked shearwaters are recorded as breeding seabirds on Dokdo.</ns0:t>
        </ns0:is>
      </ns0:c>
      <ns0:c r="J69" s="12" t="inlineStr">
        <ns0:is>
          <ns0:t>Breeding involves producing and raising young; a stopover is a temporary pause during migration. The observations below are illustrative examples.</ns0:t>
        </ns0:is>
      </ns0:c>
      <ns0:c r="K69" s="12"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70" ht="98" customHeight="1">
      <ns0:c r="A70" s="10" t="n">
        <ns0:v>920069</ns0:v>
      </ns0:c>
      <ns0:c r="B70" s="10" t="inlineStr">
        <ns0:is>
          <ns0:t>Which seaweed grows in the waters around Dokdo?</ns0:t>
        </ns0:is>
      </ns0:c>
      <ns0:c r="C70" s="10" t="inlineStr">
        <ns0:is>
          <ns0:t>Wakame</ns0:t>
        </ns0:is>
      </ns0:c>
      <ns0:c r="D70" s="10" t="inlineStr">
        <ns0:is>
          <ns0:t>Streaked shearwater</ns0:t>
        </ns0:is>
      </ns0:c>
      <ns0:c r="E70" s="10" t="inlineStr">
        <ns0:is>
          <ns0:t>Seaside daisy</ns0:t>
        </ns0:is>
      </ns0:c>
      <ns0:c r="F70" s="10" t="inlineStr"/>
      <ns0:c r="G70" s="10" t="n">
        <ns0:v>1</ns0:v>
      </ns0:c>
      <ns0:c r="H70" s="10" t="inlineStr">
        <ns0:is>
          <ns0:t>Wakame is a seaweed listed for waters around Dokdo.</ns0:t>
        </ns0:is>
      </ns0:c>
      <ns0:c r="I70" s="10" t="inlineStr">
        <ns0:is>
          <ns0:t>Dokdo supports both seabirds and underwater seaweeds.</ns0:t>
        </ns0:is>
      </ns0:c>
      <ns0:c r="J70" s="10" t="inlineStr"/>
      <ns0:c r="K70" s="10" t="inlineStr">
        <ns0:is>
          <ns0:t>대한민국 외교부 · 독도의 자연환경
https://dokdo.mofa.go.kr/kor/introduce/nature.jsp
대한민국 국가유산청 · 독도 천연보호구역
https://www.heritage.go.kr/heri/cul/culSelectDetail.do?VdkVgwKey=16%2C03360000%2C37&amp;pageNo=1_1_2_0</ns0:t>
        </ns0:is>
      </ns0:c>
    </ns0:row>
    <ns0:row r="71" ht="98" customHeight="1">
      <ns0:c r="A71" s="12" t="n">
        <ns0:v>920070</ns0:v>
      </ns0:c>
      <ns0:c r="B71" s="12" t="inlineStr">
        <ns0:is>
          <ns0:t>How are Dokdo’s black-tailed gull and wakame classified?</ns0:t>
        </ns0:is>
      </ns0:c>
      <ns0:c r="C71" s="12" t="inlineStr">
        <ns0:is>
          <ns0:t>Seaweed / seabird</ns0:t>
        </ns0:is>
      </ns0:c>
      <ns0:c r="D71" s="12" t="inlineStr">
        <ns0:is>
          <ns0:t>Seabird / seaweed</ns0:t>
        </ns0:is>
      </ns0:c>
      <ns0:c r="E71" s="12" t="inlineStr">
        <ns0:is>
          <ns0:t>Seabird / seabird</ns0:t>
        </ns0:is>
      </ns0:c>
      <ns0:c r="F71" s="12" t="inlineStr"/>
      <ns0:c r="G71" s="12" t="n">
        <ns0:v>2</ns0:v>
      </ns0:c>
      <ns0:c r="H71" s="12" t="inlineStr">
        <ns0:is>
          <ns0:t>The gull is a bird; wakame is a seaweed.</ns0:t>
        </ns0:is>
      </ns0:c>
      <ns0:c r="I71" s="12" t="inlineStr">
        <ns0:is>
          <ns0:t>Dokdo supports both seabirds and underwater seaweeds.</ns0:t>
        </ns0:is>
      </ns0:c>
      <ns0:c r="J71" s="12" t="inlineStr"/>
      <ns0:c r="K71" s="12" t="inlineStr">
        <ns0:is>
          <ns0:t>대한민국 외교부 · 독도의 자연환경
https://dokdo.mofa.go.kr/kor/introduce/nature.jsp
대한민국 국가유산청 · 독도 천연보호구역
https://www.heritage.go.kr/heri/cul/culSelectDetail.do?VdkVgwKey=16%2C03360000%2C37&amp;pageNo=1_1_2_0</ns0:t>
        </ns0:is>
      </ns0:c>
    </ns0:row>
    <ns0:row r="72" ht="98" customHeight="1">
      <ns0:c r="A72" s="10" t="n">
        <ns0:v>920071</ns0:v>
      </ns0:c>
      <ns0:c r="B72" s="10" t="inlineStr">
        <ns0:is>
          <ns0:t>In “Dokdo is a breeding site for 海鳥類”, what does 海鳥類 mean?</ns0:t>
        </ns0:is>
      </ns0:c>
      <ns0:c r="C72" s="10" t="inlineStr">
        <ns0:is>
          <ns0:t>Seaweeds</ns0:t>
        </ns0:is>
      </ns0:c>
      <ns0:c r="D72" s="10" t="inlineStr">
        <ns0:is>
          <ns0:t>Marine fish</ns0:t>
        </ns0:is>
      </ns0:c>
      <ns0:c r="E72" s="10" t="inlineStr">
        <ns0:is>
          <ns0:t>Seabirds</ns0:t>
        </ns0:is>
      </ns0:c>
      <ns0:c r="F72" s="10" t="inlineStr"/>
      <ns0:c r="G72" s="10" t="n">
        <ns0:v>3</ns0:v>
      </ns0:c>
      <ns0:c r="H72" s="10" t="inlineStr">
        <ns0:is>
          <ns0:t>The character 鳥 means bird, so the term refers to seabirds.</ns0:t>
        </ns0:is>
      </ns0:c>
      <ns0:c r="I72" s="10" t="inlineStr">
        <ns0:is>
          <ns0:t>Dokdo supports both seabirds and underwater seaweeds.</ns0:t>
        </ns0:is>
      </ns0:c>
      <ns0:c r="J72" s="10" t="inlineStr">
        <ns0:is>
          <ns0:t>Word key: 海 means sea, 鳥 bird, and 藻 algae. In Korean, 海鳥類 and 海藻類 sound alike but refer to seabirds and seaweeds respectively.</ns0:t>
        </ns0:is>
      </ns0:c>
      <ns0:c r="K72" s="10" t="inlineStr">
        <ns0:is>
          <ns0:t>대한민국 외교부 · 독도의 자연환경
https://dokdo.mofa.go.kr/kor/introduce/nature.jsp
대한민국 국가유산청 · 독도 천연보호구역
https://www.heritage.go.kr/heri/cul/culSelectDetail.do?VdkVgwKey=16%2C03360000%2C37&amp;pageNo=1_1_2_0</ns0:t>
        </ns0:is>
      </ns0:c>
    </ns0:row>
    <ns0:row r="73" ht="98" customHeight="1">
      <ns0:c r="A73" s="12" t="n">
        <ns0:v>920072</ns0:v>
      </ns0:c>
      <ns0:c r="B73" s="12" t="inlineStr">
        <ns0:is>
          <ns0:t>Which pair belongs entirely in the “seaweeds” category of Dokdo organisms?</ns0:t>
        </ns0:is>
      </ns0:c>
      <ns0:c r="C73" s="12" t="inlineStr">
        <ns0:is>
          <ns0:t>Wakame and kelp</ns0:t>
        </ns0:is>
      </ns0:c>
      <ns0:c r="D73" s="12" t="inlineStr">
        <ns0:is>
          <ns0:t>Wakame and streaked shearwater</ns0:t>
        </ns0:is>
      </ns0:c>
      <ns0:c r="E73" s="12" t="inlineStr">
        <ns0:is>
          <ns0:t>Black-tailed gull and storm petrel</ns0:t>
        </ns0:is>
      </ns0:c>
      <ns0:c r="F73" s="12" t="inlineStr"/>
      <ns0:c r="G73" s="12" t="n">
        <ns0:v>1</ns0:v>
      </ns0:c>
      <ns0:c r="H73" s="12" t="inlineStr">
        <ns0:is>
          <ns0:t>Both are seaweeds listed in the Dokdo natural-environment account.</ns0:t>
        </ns0:is>
      </ns0:c>
      <ns0:c r="I73" s="12" t="inlineStr">
        <ns0:is>
          <ns0:t>Dokdo supports both seabirds and underwater seaweeds.</ns0:t>
        </ns0:is>
      </ns0:c>
      <ns0:c r="J73" s="12" t="inlineStr">
        <ns0:is>
          <ns0:t>Dokdo list: seaweeds — wakame, kelp; seabirds — black-tailed gulls, storm petrels, streaked shearwaters.</ns0:t>
        </ns0:is>
      </ns0:c>
      <ns0:c r="K73" s="12" t="inlineStr">
        <ns0:is>
          <ns0:t>대한민국 외교부 · 독도의 자연환경
https://dokdo.mofa.go.kr/kor/introduce/nature.jsp
대한민국 국가유산청 · 독도 천연보호구역
https://www.heritage.go.kr/heri/cul/culSelectDetail.do?VdkVgwKey=16%2C03360000%2C37&amp;pageNo=1_1_2_0</ns0:t>
        </ns0:is>
      </ns0:c>
    </ns0:row>
    <ns0:row r="74" ht="53" customHeight="1">
      <ns0:c r="A74" s="10" t="n">
        <ns0:v>920073</ns0:v>
      </ns0:c>
      <ns0:c r="B74" s="10" t="inlineStr">
        <ns0:is>
          <ns0:t>Which flowering plant grows on Dokdo’s land?</ns0:t>
        </ns0:is>
      </ns0:c>
      <ns0:c r="C74" s="10" t="inlineStr">
        <ns0:is>
          <ns0:t>Wakame</ns0:t>
        </ns0:is>
      </ns0:c>
      <ns0:c r="D74" s="10" t="inlineStr">
        <ns0:is>
          <ns0:t>Seaside daisy</ns0:t>
        </ns0:is>
      </ns0:c>
      <ns0:c r="E74" s="10" t="inlineStr">
        <ns0:is>
          <ns0:t>Kelp</ns0:t>
        </ns0:is>
      </ns0:c>
      <ns0:c r="F74" s="10" t="inlineStr"/>
      <ns0:c r="G74" s="10" t="n">
        <ns0:v>2</ns0:v>
      </ns0:c>
      <ns0:c r="H74" s="10" t="inlineStr">
        <ns0:is>
          <ns0:t>Seaside daisy is listed among Dokdo’s land plants.</ns0:t>
        </ns0:is>
      </ns0:c>
      <ns0:c r="I74" s="10" t="inlineStr">
        <ns0:is>
          <ns0:t>Plants on Dokdo include seaside daisy, island stonecrop and rock stonecrop.</ns0:t>
        </ns0:is>
      </ns0:c>
      <ns0:c r="J74" s="10" t="inlineStr"/>
      <ns0:c r="K74" s="10" t="inlineStr">
        <ns0:is>
          <ns0:t>대한민국 외교부 · 독도의 자연환경
https://dokdo.mofa.go.kr/kor/introduce/nature.jsp</ns0:t>
        </ns0:is>
      </ns0:c>
    </ns0:row>
    <ns0:row r="75" ht="53" customHeight="1">
      <ns0:c r="A75" s="12" t="n">
        <ns0:v>920074</ns0:v>
      </ns0:c>
      <ns0:c r="B75" s="12" t="inlineStr">
        <ns0:is>
          <ns0:t>What would a survey of seaside daisy and island stonecrop on Dokdo investigate?</ns0:t>
        </ns0:is>
      </ns0:c>
      <ns0:c r="C75" s="12" t="inlineStr">
        <ns0:is>
          <ns0:t>Breeding seabirds</ns0:t>
        </ns0:is>
      </ns0:c>
      <ns0:c r="D75" s="12" t="inlineStr">
        <ns0:is>
          <ns0:t>Marine fish</ns0:t>
        </ns0:is>
      </ns0:c>
      <ns0:c r="E75" s="12" t="inlineStr">
        <ns0:is>
          <ns0:t>Land plants</ns0:t>
        </ns0:is>
      </ns0:c>
      <ns0:c r="F75" s="12" t="inlineStr"/>
      <ns0:c r="G75" s="12" t="n">
        <ns0:v>3</ns0:v>
      </ns0:c>
      <ns0:c r="H75" s="12" t="inlineStr">
        <ns0:is>
          <ns0:t>Both are plants that grow on Dokdo’s land.</ns0:t>
        </ns0:is>
      </ns0:c>
      <ns0:c r="I75" s="12" t="inlineStr">
        <ns0:is>
          <ns0:t>Plants on Dokdo include seaside daisy, island stonecrop and rock stonecrop.</ns0:t>
        </ns0:is>
      </ns0:c>
      <ns0:c r="J75" s="12" t="inlineStr"/>
      <ns0:c r="K75" s="12" t="inlineStr">
        <ns0:is>
          <ns0:t>대한민국 외교부 · 독도의 자연환경
https://dokdo.mofa.go.kr/kor/introduce/nature.jsp</ns0:t>
        </ns0:is>
      </ns0:c>
    </ns0:row>
    <ns0:row r="76" ht="53" customHeight="1">
      <ns0:c r="A76" s="10" t="n">
        <ns0:v>920075</ns0:v>
      </ns0:c>
      <ns0:c r="B76" s="10" t="inlineStr">
        <ns0:is>
          <ns0:t>Which pair consists of land plants in the supplied Dokdo list?</ns0:t>
        </ns0:is>
      </ns0:c>
      <ns0:c r="C76" s="10" t="inlineStr">
        <ns0:is>
          <ns0:t>Island stonecrop and rock stonecrop</ns0:t>
        </ns0:is>
      </ns0:c>
      <ns0:c r="D76" s="10" t="inlineStr">
        <ns0:is>
          <ns0:t>Island stonecrop and wakame</ns0:t>
        </ns0:is>
      </ns0:c>
      <ns0:c r="E76" s="10" t="inlineStr">
        <ns0:is>
          <ns0:t>Wakame and kelp</ns0:t>
        </ns0:is>
      </ns0:c>
      <ns0:c r="F76" s="10" t="inlineStr"/>
      <ns0:c r="G76" s="10" t="n">
        <ns0:v>1</ns0:v>
      </ns0:c>
      <ns0:c r="H76" s="10" t="inlineStr">
        <ns0:is>
          <ns0:t>Both appear in the land-plant list.</ns0:t>
        </ns0:is>
      </ns0:c>
      <ns0:c r="I76" s="10" t="inlineStr">
        <ns0:is>
          <ns0:t>Plants on Dokdo include seaside daisy, island stonecrop and rock stonecrop.</ns0:t>
        </ns0:is>
      </ns0:c>
      <ns0:c r="J76" s="10" t="inlineStr">
        <ns0:is>
          <ns0:t>Dokdo land plants: seaside daisy, island stonecrop, rock stonecrop.
Seaweeds: wakame and kelp.</ns0:t>
        </ns0:is>
      </ns0:c>
      <ns0:c r="K76" s="10" t="inlineStr">
        <ns0:is>
          <ns0:t>대한민국 외교부 · 독도의 자연환경
https://dokdo.mofa.go.kr/kor/introduce/nature.jsp</ns0:t>
        </ns0:is>
      </ns0:c>
    </ns0:row>
    <ns0:row r="77" ht="53" customHeight="1">
      <ns0:c r="A77" s="12" t="n">
        <ns0:v>920076</ns0:v>
      </ns0:c>
      <ns0:c r="B77" s="12" t="inlineStr">
        <ns0:is>
          <ns0:t>If a Dokdo plant survey records only wakame, what should be added to cover land plants?</ns0:t>
        </ns0:is>
      </ns0:c>
      <ns0:c r="C77" s="12" t="inlineStr">
        <ns0:is>
          <ns0:t>Only other seaweeds such as kelp</ns0:t>
        </ns0:is>
      </ns0:c>
      <ns0:c r="D77" s="12" t="inlineStr">
        <ns0:is>
          <ns0:t>Land plants such as seaside daisy and island stonecrop</ns0:t>
        </ns0:is>
      </ns0:c>
      <ns0:c r="E77" s="12" t="inlineStr">
        <ns0:is>
          <ns0:t>Seabirds such as black-tailed gulls</ns0:t>
        </ns0:is>
      </ns0:c>
      <ns0:c r="F77" s="12" t="inlineStr"/>
      <ns0:c r="G77" s="12" t="n">
        <ns0:v>2</ns0:v>
      </ns0:c>
      <ns0:c r="H77" s="12" t="inlineStr">
        <ns0:is>
          <ns0:t>Wakame alone does not represent plants growing on the islands’ land.</ns0:t>
        </ns0:is>
      </ns0:c>
      <ns0:c r="I77" s="12" t="inlineStr">
        <ns0:is>
          <ns0:t>Plants on Dokdo include seaside daisy, island stonecrop and rock stonecrop.</ns0:t>
        </ns0:is>
      </ns0:c>
      <ns0:c r="J77" s="12" t="inlineStr">
        <ns0:is>
          <ns0:t>Survey goal: cover vegetation on both Dokdo’s land and in its waters. The current record contains only wakame, a seaweed.</ns0:t>
        </ns0:is>
      </ns0:c>
      <ns0:c r="K77" s="12" t="inlineStr">
        <ns0:is>
          <ns0:t>대한민국 외교부 · 독도의 자연환경
https://dokdo.mofa.go.kr/kor/introduce/nature.jsp</ns0:t>
        </ns0:is>
      </ns0:c>
    </ns0:row>
    <ns0:row r="78" ht="98" customHeight="1">
      <ns0:c r="A78" s="10" t="n">
        <ns0:v>920077</ns0:v>
      </ns0:c>
      <ns0:c r="B78" s="10" t="inlineStr">
        <ns0:is>
          <ns0:t>What is protected together as part of Dokdo’s natural heritage?</ns0:t>
        </ns0:is>
      </ns0:c>
      <ns0:c r="C78" s="10" t="inlineStr">
        <ns0:is>
          <ns0:t>Only buildings</ns0:t>
        </ns0:is>
      </ns0:c>
      <ns0:c r="D78" s="10" t="inlineStr">
        <ns0:is>
          <ns0:t>Only vessels and the dock</ns0:t>
        </ns0:is>
      </ns0:c>
      <ns0:c r="E78" s="10" t="inlineStr">
        <ns0:is>
          <ns0:t>Organisms and volcanic landforms</ns0:t>
        </ns0:is>
      </ns0:c>
      <ns0:c r="F78" s="10" t="inlineStr"/>
      <ns0:c r="G78" s="10" t="n">
        <ns0:v>3</ns0:v>
      </ns0:c>
      <ns0:c r="H78" s="10" t="inlineStr">
        <ns0:is>
          <ns0:t>Conservation value includes plants, marine life and volcanic terrain as well as birds.</ns0:t>
        </ns0:is>
      </ns0:c>
      <ns0:c r="I78" s="10" t="inlineStr">
        <ns0:is>
          <ns0:t>Dokdo conservation includes breeding seabirds, plants and volcanic landforms.</ns0:t>
        </ns0:is>
      </ns0:c>
      <ns0:c r="J78" s="10" t="inlineStr"/>
      <ns0:c r="K78" s="10"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79" ht="98" customHeight="1">
      <ns0:c r="A79" s="12" t="n">
        <ns0:v>920078</ns0:v>
      </ns0:c>
      <ns0:c r="B79" s="12" t="inlineStr">
        <ns0:is>
          <ns0:t>What natural processes are recorded in Dokdo’s coastal cliffs?</ns0:t>
        </ns0:is>
      </ns0:c>
      <ns0:c r="C79" s="12" t="inlineStr">
        <ns0:is>
          <ns0:t>Volcanic formation and erosion</ns0:t>
        </ns0:is>
      </ns0:c>
      <ns0:c r="D79" s="12" t="inlineStr">
        <ns0:is>
          <ns0:t>A valley carved by a glacier</ns0:t>
        </ns0:is>
      </ns0:c>
      <ns0:c r="E79" s="12" t="inlineStr">
        <ns0:is>
          <ns0:t>River-mouth sand deposition</ns0:t>
        </ns0:is>
      </ns0:c>
      <ns0:c r="F79" s="12" t="inlineStr"/>
      <ns0:c r="G79" s="12" t="n">
        <ns0:v>1</ns0:v>
      </ns0:c>
      <ns0:c r="H79" s="12" t="inlineStr">
        <ns0:is>
          <ns0:t>Rock and cliff forms help reveal the island’s construction and erosion.</ns0:t>
        </ns0:is>
      </ns0:c>
      <ns0:c r="I79" s="12" t="inlineStr">
        <ns0:is>
          <ns0:t>Dokdo conservation includes breeding seabirds, plants and volcanic landforms.</ns0:t>
        </ns0:is>
      </ns0:c>
      <ns0:c r="J79" s="12" t="inlineStr"/>
      <ns0:c r="K79" s="12"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80" ht="98" customHeight="1">
      <ns0:c r="A80" s="10" t="n">
        <ns0:v>920079</ns0:v>
      </ns0:c>
      <ns0:c r="B80" s="10" t="inlineStr">
        <ns0:is>
          <ns0:t>What would a Dokdo plan that protects “only seabirds” omit?</ns0:t>
        </ns0:is>
      </ns0:c>
      <ns0:c r="C80" s="10" t="inlineStr">
        <ns0:is>
          <ns0:t>Storm petrels and black-tailed gulls</ns0:t>
        </ns0:is>
      </ns0:c>
      <ns0:c r="D80" s="10" t="inlineStr">
        <ns0:is>
          <ns0:t>Land plants and volcanic landforms</ns0:t>
        </ns0:is>
      </ns0:c>
      <ns0:c r="E80" s="10" t="inlineStr">
        <ns0:is>
          <ns0:t>Seabird breeding</ns0:t>
        </ns0:is>
      </ns0:c>
      <ns0:c r="F80" s="10" t="inlineStr"/>
      <ns0:c r="G80" s="10" t="n">
        <ns0:v>2</ns0:v>
      </ns0:c>
      <ns0:c r="H80" s="10" t="inlineStr">
        <ns0:is>
          <ns0:t>The supplied account identifies vegetation and landforms as valuable too.</ns0:t>
        </ns0:is>
      </ns0:c>
      <ns0:c r="I80" s="10" t="inlineStr">
        <ns0:is>
          <ns0:t>Dokdo conservation includes breeding seabirds, plants and volcanic landforms.</ns0:t>
        </ns0:is>
      </ns0:c>
      <ns0:c r="J80" s="10" t="inlineStr">
        <ns0:is>
          <ns0:t>The Dokdo Natural Reserve account describes breeding seabirds, land vegetation, volcanic geology and coastal landforms.</ns0:t>
        </ns0:is>
      </ns0:c>
      <ns0:c r="K80" s="10"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81" ht="98" customHeight="1">
      <ns0:c r="A81" s="12" t="n">
        <ns0:v>920080</ns0:v>
      </ns0:c>
      <ns0:c r="B81" s="12" t="inlineStr">
        <ns0:is>
          <ns0:t>Which interpretation-panel plan covers Dokdo’s conservation values most fully?</ns0:t>
        </ns0:is>
      </ns0:c>
      <ns0:c r="C81" s="12" t="inlineStr">
        <ns0:is>
          <ns0:t>Repeat only three seabird names</ns0:t>
        </ns0:is>
      </ns0:c>
      <ns0:c r="D81" s="12" t="inlineStr">
        <ns0:is>
          <ns0:t>Explain only facility addresses and ferry times</ns0:t>
        </ns0:is>
      </ns0:c>
      <ns0:c r="E81" s="12" t="inlineStr">
        <ns0:is>
          <ns0:t>Explain seabird breeding, land plants, volcanic and eroded terrain</ns0:t>
        </ns0:is>
      </ns0:c>
      <ns0:c r="F81" s="12" t="inlineStr"/>
      <ns0:c r="G81" s="12" t="n">
        <ns0:v>3</ns0:v>
      </ns0:c>
      <ns0:c r="H81" s="12" t="inlineStr">
        <ns0:is>
          <ns0:t>This covers both biological and geological values identified in the account.</ns0:t>
        </ns0:is>
      </ns0:c>
      <ns0:c r="I81" s="12" t="inlineStr">
        <ns0:is>
          <ns0:t>Dokdo conservation includes breeding seabirds, plants and volcanic landforms.</ns0:t>
        </ns0:is>
      </ns0:c>
      <ns0:c r="J81" s="12" t="inlineStr">
        <ns0:is>
          <ns0:t>The panel aims to explain why Dokdo is conserved as natural heritage. The reserve account identifies birds, vegetation and volcanic landforms.</ns0:t>
        </ns0:is>
      </ns0:c>
      <ns0:c r="K81" s="12" t="inlineStr">
        <ns0:is>
          <ns0:t>대한민국 국가유산청 · 독도 천연보호구역
https://www.heritage.go.kr/heri/cul/culSelectDetail.do?VdkVgwKey=16%2C03360000%2C37&amp;pageNo=1_1_2_0
대한민국 외교부 · 독도의 자연환경
https://dokdo.mofa.go.kr/kor/introduce/nature.jsp</ns0:t>
        </ns0:is>
      </ns0:c>
    </ns0:row>
    <ns0:row r="82" ht="53" customHeight="1">
      <ns0:c r="A82" s="10" t="n">
        <ns0:v>920081</ns0:v>
      </ns0:c>
      <ns0:c r="B82" s="10" t="inlineStr">
        <ns0:is>
          <ns0:t>Which large seaweed helps form underwater forests around Dokdo?</ns0:t>
        </ns0:is>
      </ns0:c>
      <ns0:c r="C82" s="10" t="inlineStr">
        <ns0:is>
          <ns0:t>Ecklonia cava</ns0:t>
        </ns0:is>
      </ns0:c>
      <ns0:c r="D82" s="10" t="inlineStr">
        <ns0:is>
          <ns0:t>Seaside daisy</ns0:t>
        </ns0:is>
      </ns0:c>
      <ns0:c r="E82" s="10" t="inlineStr">
        <ns0:is>
          <ns0:t>Island stonecrop</ns0:t>
        </ns0:is>
      </ns0:c>
      <ns0:c r="F82" s="10" t="inlineStr"/>
      <ns0:c r="G82" s="10" t="n">
        <ns0:v>1</ns0:v>
      </ns0:c>
      <ns0:c r="H82" s="10" t="inlineStr">
        <ns0:is>
          <ns0:t>Ecklonia cava is described as a forest-forming seaweed in Dokdo’s rocky waters.</ns0:t>
        </ns0:is>
      </ns0:c>
      <ns0:c r="I82" s="10" t="inlineStr">
        <ns0:is>
          <ns0:t>Large seaweeds such as Ecklonia cava and Eisenia bicyclis form underwater forests around Dokdo.</ns0:t>
        </ns0:is>
      </ns0:c>
      <ns0:c r="J82" s="10" t="inlineStr"/>
      <ns0:c r="K82" s="10" t="inlineStr">
        <ns0:is>
          <ns0:t>대한민국 한국해양과학기술원 · 독도 암반생태계
https://www.dokdo.re.kr/home/cms/cmsCont.do?cntnts_sn=87</ns0:t>
        </ns0:is>
      </ns0:c>
    </ns0:row>
    <ns0:row r="83" ht="53" customHeight="1">
      <ns0:c r="A83" s="12" t="n">
        <ns0:v>920082</ns0:v>
      </ns0:c>
      <ns0:c r="B83" s="12" t="inlineStr">
        <ns0:is>
          <ns0:t>What is an area where large seaweeds grow abundantly around Dokdo called?</ns0:t>
        </ns0:is>
      </ns0:c>
      <ns0:c r="C83" s="12" t="inlineStr">
        <ns0:is>
          <ns0:t>A tidal mudflat</ns0:t>
        </ns0:is>
      </ns0:c>
      <ns0:c r="D83" s="12" t="inlineStr">
        <ns0:is>
          <ns0:t>An underwater forest</ns0:t>
        </ns0:is>
      </ns0:c>
      <ns0:c r="E83" s="12" t="inlineStr">
        <ns0:is>
          <ns0:t>A coral reef</ns0:t>
        </ns0:is>
      </ns0:c>
      <ns0:c r="F83" s="12" t="inlineStr"/>
      <ns0:c r="G83" s="12" t="n">
        <ns0:v>2</ns0:v>
      </ns0:c>
      <ns0:c r="H83" s="12" t="inlineStr">
        <ns0:is>
          <ns0:t>An underwater forest is an area of large, abundant seaweeds.</ns0:t>
        </ns0:is>
      </ns0:c>
      <ns0:c r="I83" s="12" t="inlineStr">
        <ns0:is>
          <ns0:t>Large seaweeds such as Ecklonia cava and Eisenia bicyclis form underwater forests around Dokdo.</ns0:t>
        </ns0:is>
      </ns0:c>
      <ns0:c r="J83" s="12" t="inlineStr"/>
      <ns0:c r="K83" s="12" t="inlineStr">
        <ns0:is>
          <ns0:t>대한민국 한국해양과학기술원 · 독도 암반생태계
https://www.dokdo.re.kr/home/cms/cmsCont.do?cntnts_sn=87</ns0:t>
        </ns0:is>
      </ns0:c>
    </ns0:row>
    <ns0:row r="84" ht="53" customHeight="1">
      <ns0:c r="A84" s="10" t="n">
        <ns0:v>920083</ns0:v>
      </ns0:c>
      <ns0:c r="B84" s="10" t="inlineStr">
        <ns0:is>
          <ns0:t>Which pair forms underwater forests in the supplied Dokdo account?</ns0:t>
        </ns0:is>
      </ns0:c>
      <ns0:c r="C84" s="10" t="inlineStr">
        <ns0:is>
          <ns0:t>Mussels and stalked barnacles</ns0:t>
        </ns0:is>
      </ns0:c>
      <ns0:c r="D84" s="10" t="inlineStr">
        <ns0:is>
          <ns0:t>Crabs and turban snails</ns0:t>
        </ns0:is>
      </ns0:c>
      <ns0:c r="E84" s="10" t="inlineStr">
        <ns0:is>
          <ns0:t>Ecklonia cava and Eisenia bicyclis</ns0:t>
        </ns0:is>
      </ns0:c>
      <ns0:c r="F84" s="10" t="inlineStr"/>
      <ns0:c r="G84" s="10" t="n">
        <ns0:v>3</ns0:v>
      </ns0:c>
      <ns0:c r="H84" s="10" t="inlineStr">
        <ns0:is>
          <ns0:t>Both are identified as large, forest-forming seaweeds.</ns0:t>
        </ns0:is>
      </ns0:c>
      <ns0:c r="I84" s="10" t="inlineStr">
        <ns0:is>
          <ns0:t>Large seaweeds such as Ecklonia cava and Eisenia bicyclis form underwater forests around Dokdo.</ns0:t>
        </ns0:is>
      </ns0:c>
      <ns0:c r="J84" s="10" t="inlineStr">
        <ns0:is>
          <ns0:t>Dokdo rocky-ecosystem account: large seaweeds form forests; mussels and barnacles attach to rock; crabs and snails also live in crevices.</ns0:t>
        </ns0:is>
      </ns0:c>
      <ns0:c r="K84" s="10" t="inlineStr">
        <ns0:is>
          <ns0:t>대한민국 한국해양과학기술원 · 독도 암반생태계
https://www.dokdo.re.kr/home/cms/cmsCont.do?cntnts_sn=87</ns0:t>
        </ns0:is>
      </ns0:c>
    </ns0:row>
    <ns0:row r="85" ht="53" customHeight="1">
      <ns0:c r="A85" s="12" t="n">
        <ns0:v>920084</ns0:v>
      </ns0:c>
      <ns0:c r="B85" s="12" t="inlineStr">
        <ns0:is>
          <ns0:t>What should be directly compared to monitor changes in Dokdo’s underwater forests?</ns0:t>
        </ns0:is>
      </ns0:c>
      <ns0:c r="C85" s="12" t="inlineStr">
        <ns0:is>
          <ns0:t>Coverage of the forest-forming seaweeds in the same area</ns0:t>
        </ns0:is>
      </ns0:c>
      <ns0:c r="D85" s="12" t="inlineStr">
        <ns0:is>
          <ns0:t>A single water-temperature reading from different sites</ns0:t>
        </ns0:is>
      </ns0:c>
      <ns0:c r="E85" s="12" t="inlineStr">
        <ns0:is>
          <ns0:t>Only the area of seaside-daisy colonies on land</ns0:t>
        </ns0:is>
      </ns0:c>
      <ns0:c r="F85" s="12" t="inlineStr"/>
      <ns0:c r="G85" s="12" t="n">
        <ns0:v>1</ns0:v>
      </ns0:c>
      <ns0:c r="H85" s="12" t="inlineStr">
        <ns0:is>
          <ns0:t>This measures the target forest itself at the same location.</ns0:t>
        </ns0:is>
      </ns0:c>
      <ns0:c r="I85" s="12" t="inlineStr">
        <ns0:is>
          <ns0:t>Large seaweeds such as Ecklonia cava and Eisenia bicyclis form underwater forests around Dokdo.</ns0:t>
        </ns0:is>
      </ns0:c>
      <ns0:c r="J85" s="12" t="inlineStr">
        <ns0:is>
          <ns0:t>Survey goal: determine whether the coverage of Dokdo’s seaweed forests changes over time.</ns0:t>
        </ns0:is>
      </ns0:c>
      <ns0:c r="K85" s="12" t="inlineStr">
        <ns0:is>
          <ns0:t>대한민국 한국해양과학기술원 · 독도 암반생태계
https://www.dokdo.re.kr/home/cms/cmsCont.do?cntnts_sn=87</ns0:t>
        </ns0:is>
      </ns0:c>
    </ns0:row>
    <ns0:row r="86" ht="53" customHeight="1">
      <ns0:c r="A86" s="10" t="n">
        <ns0:v>920085</ns0:v>
      </ns0:c>
      <ns0:c r="B86" s="10" t="inlineStr">
        <ns0:is>
          <ns0:t>Which water flows meet around Dokdo?</ns0:t>
        </ns0:is>
      </ns0:c>
      <ns0:c r="C86" s="10" t="inlineStr">
        <ns0:is>
          <ns0:t>Only warm currents</ns0:t>
        </ns0:is>
      </ns0:c>
      <ns0:c r="D86" s="10" t="inlineStr">
        <ns0:is>
          <ns0:t>Warm and cold currents</ns0:t>
        </ns0:is>
      </ns0:c>
      <ns0:c r="E86" s="10" t="inlineStr">
        <ns0:is>
          <ns0:t>Only cold currents</ns0:t>
        </ns0:is>
      </ns0:c>
      <ns0:c r="F86" s="10" t="inlineStr"/>
      <ns0:c r="G86" s="10" t="n">
        <ns0:v>2</ns0:v>
      </ns0:c>
      <ns0:c r="H86" s="10" t="inlineStr">
        <ns0:is>
          <ns0:t>Dokdo’s marine environment is influenced by meeting warm and cold currents.</ns0:t>
        </ns0:is>
      </ns0:c>
      <ns0:c r="I86" s="10" t="inlineStr">
        <ns0:is>
          <ns0:t>Warm and cold currents mix around Dokdo and influence nutrient transport.</ns0:t>
        </ns0:is>
      </ns0:c>
      <ns0:c r="J86" s="10" t="inlineStr"/>
      <ns0:c r="K86" s="10" t="inlineStr">
        <ns0:is>
          <ns0:t>대한민국 한국해양과학기술원 · 독도 섬효과
https://www.dokdo.re.kr/home/cms/cmsCont.do?cntnts_sn=82</ns0:t>
        </ns0:is>
      </ns0:c>
    </ns0:row>
    <ns0:row r="87" ht="53" customHeight="1">
      <ns0:c r="A87" s="12" t="n">
        <ns0:v>920086</ns0:v>
      </ns0:c>
      <ns0:c r="B87" s="12" t="inlineStr">
        <ns0:is>
          <ns0:t>What can mixing of deeper water supply to phytoplankton around Dokdo?</ns0:t>
        </ns0:is>
      </ns0:c>
      <ns0:c r="C87" s="12" t="inlineStr">
        <ns0:is>
          <ns0:t>Sunlight</ns0:t>
        </ns0:is>
      </ns0:c>
      <ns0:c r="D87" s="12" t="inlineStr">
        <ns0:is>
          <ns0:t>Seabird eggs</ns0:t>
        </ns0:is>
      </ns0:c>
      <ns0:c r="E87" s="12" t="inlineStr">
        <ns0:is>
          <ns0:t>Nutrients</ns0:t>
        </ns0:is>
      </ns0:c>
      <ns0:c r="F87" s="12" t="inlineStr"/>
      <ns0:c r="G87" s="12" t="n">
        <ns0:v>3</ns0:v>
      </ns0:c>
      <ns0:c r="H87" s="12" t="inlineStr">
        <ns0:is>
          <ns0:t>Upward nutrient transport can support phytoplankton growth.</ns0:t>
        </ns0:is>
      </ns0:c>
      <ns0:c r="I87" s="12" t="inlineStr">
        <ns0:is>
          <ns0:t>Warm and cold currents mix around Dokdo and influence nutrient transport.</ns0:t>
        </ns0:is>
      </ns0:c>
      <ns0:c r="J87" s="12" t="inlineStr">
        <ns0:is>
          <ns0:t>Phytoplankton are small organisms that use light and nutrients.</ns0:t>
        </ns0:is>
      </ns0:c>
      <ns0:c r="K87" s="12" t="inlineStr">
        <ns0:is>
          <ns0:t>대한민국 한국해양과학기술원 · 독도 섬효과
https://www.dokdo.re.kr/home/cms/cmsCont.do?cntnts_sn=82</ns0:t>
        </ns0:is>
      </ns0:c>
    </ns0:row>
    <ns0:row r="88" ht="53" customHeight="1">
      <ns0:c r="A88" s="10" t="n">
        <ns0:v>920087</ns0:v>
      </ns0:c>
      <ns0:c r="B88" s="10" t="inlineStr">
        <ns0:is>
          <ns0:t>Which sequence links water mixing and nutrient supply around Dokdo?</ns0:t>
        </ns0:is>
      </ns0:c>
      <ns0:c r="C88" s="10" t="inlineStr">
        <ns0:is>
          <ns0:t>Vertical mixing → deeper nutrients move into upper water</ns0:t>
        </ns0:is>
      </ns0:c>
      <ns0:c r="D88" s="10" t="inlineStr">
        <ns0:is>
          <ns0:t>Vertical mixing → complete removal of upper-water nutrients</ns0:t>
        </ns0:is>
      </ns0:c>
      <ns0:c r="E88" s="10" t="inlineStr">
        <ns0:is>
          <ns0:t>Vertical mixing → nutrient transport always stops</ns0:t>
        </ns0:is>
      </ns0:c>
      <ns0:c r="F88" s="10" t="inlineStr"/>
      <ns0:c r="G88" s="10" t="n">
        <ns0:v>1</ns0:v>
      </ns0:c>
      <ns0:c r="H88" s="10" t="inlineStr">
        <ns0:is>
          <ns0:t>This follows the sequence of mixing and upward nutrient transport.</ns0:t>
        </ns0:is>
      </ns0:c>
      <ns0:c r="I88" s="10" t="inlineStr">
        <ns0:is>
          <ns0:t>Warm and cold currents mix around Dokdo and influence nutrient transport.</ns0:t>
        </ns0:is>
      </ns0:c>
      <ns0:c r="J88" s="10" t="inlineStr">
        <ns0:is>
          <ns0:t>Dokdo island-effect account: currents and wind can promote vertical mixing and supply deeper nutrients to upper waters.</ns0:t>
        </ns0:is>
      </ns0:c>
      <ns0:c r="K88" s="10" t="inlineStr">
        <ns0:is>
          <ns0:t>대한민국 한국해양과학기술원 · 독도 섬효과
https://www.dokdo.re.kr/home/cms/cmsCont.do?cntnts_sn=82</ns0:t>
        </ns0:is>
      </ns0:c>
    </ns0:row>
    <ns0:row r="89" ht="53" customHeight="1">
      <ns0:c r="A89" s="12" t="n">
        <ns0:v>920088</ns0:v>
      </ns0:c>
      <ns0:c r="B89" s="12" t="inlineStr">
        <ns0:is>
          <ns0:t>If vertical mixing around Dokdo decreases, what change should be checked first?</ns0:t>
        </ns0:is>
      </ns0:c>
      <ns0:c r="C89" s="12" t="inlineStr">
        <ns0:is>
          <ns0:t>Only total young-fish abundance</ns0:t>
        </ns0:is>
      </ns0:c>
      <ns0:c r="D89" s="12" t="inlineStr">
        <ns0:is>
          <ns0:t>Nutrient supply to upper waters</ns0:t>
        </ns0:is>
      </ns0:c>
      <ns0:c r="E89" s="12" t="inlineStr">
        <ns0:is>
          <ns0:t>Only seabird breeding numbers</ns0:t>
        </ns0:is>
      </ns0:c>
      <ns0:c r="F89" s="12" t="inlineStr"/>
      <ns0:c r="G89" s="12" t="n">
        <ns0:v>2</ns0:v>
      </ns0:c>
      <ns0:c r="H89" s="12" t="inlineStr">
        <ns0:is>
          <ns0:t>In the supplied causal chain, nutrient transport is the immediate next step.</ns0:t>
        </ns0:is>
      </ns0:c>
      <ns0:c r="I89" s="12" t="inlineStr">
        <ns0:is>
          <ns0:t>Warm and cold currents mix around Dokdo and influence nutrient transport.</ns0:t>
        </ns0:is>
      </ns0:c>
      <ns0:c r="J89" s="12" t="inlineStr">
        <ns0:is>
          <ns0:t>Relationship to examine: vertical mixing → nutrient supply to upper waters → support for phytoplankton growth. Reduced mixing alone does not establish an immediate decline in organisms.</ns0:t>
        </ns0:is>
      </ns0:c>
      <ns0:c r="K89" s="12" t="inlineStr">
        <ns0:is>
          <ns0:t>대한민국 한국해양과학기술원 · 독도 섬효과
https://www.dokdo.re.kr/home/cms/cmsCont.do?cntnts_sn=82</ns0:t>
        </ns0:is>
      </ns0:c>
    </ns0:row>
    <ns0:row r="90" ht="53" customHeight="1">
      <ns0:c r="A90" s="10" t="n">
        <ns0:v>920089</ns0:v>
      </ns0:c>
      <ns0:c r="B90" s="10" t="inlineStr">
        <ns0:is>
          <ns0:t>Which small photosynthetic organisms support food links around Dokdo?</ns0:t>
        </ns0:is>
      </ns0:c>
      <ns0:c r="C90" s="10" t="inlineStr">
        <ns0:is>
          <ns0:t>Young fish</ns0:t>
        </ns0:is>
      </ns0:c>
      <ns0:c r="D90" s="10" t="inlineStr">
        <ns0:is>
          <ns0:t>Sea lions</ns0:t>
        </ns0:is>
      </ns0:c>
      <ns0:c r="E90" s="10" t="inlineStr">
        <ns0:is>
          <ns0:t>Phytoplankton</ns0:t>
        </ns0:is>
      </ns0:c>
      <ns0:c r="F90" s="10" t="inlineStr"/>
      <ns0:c r="G90" s="10" t="n">
        <ns0:v>3</ns0:v>
      </ns0:c>
      <ns0:c r="H90" s="10" t="inlineStr">
        <ns0:is>
          <ns0:t>Phytoplankton use light and can become food for other organisms.</ns0:t>
        </ns0:is>
      </ns0:c>
      <ns0:c r="I90" s="10" t="inlineStr">
        <ns0:is>
          <ns0:t>Food links around Dokdo can connect phytoplankton, zooplankton and young fish.</ns0:t>
        </ns0:is>
      </ns0:c>
      <ns0:c r="J90" s="10" t="inlineStr"/>
      <ns0:c r="K90" s="10" t="inlineStr">
        <ns0:is>
          <ns0:t>대한민국 한국해양과학기술원 · 독도 섬효과
https://www.dokdo.re.kr/home/cms/cmsCont.do?cntnts_sn=82</ns0:t>
        </ns0:is>
      </ns0:c>
    </ns0:row>
    <ns0:row r="91" ht="53" customHeight="1">
      <ns0:c r="A91" s="12" t="n">
        <ns0:v>920090</ns0:v>
      </ns0:c>
      <ns0:c r="B91" s="12" t="inlineStr">
        <ns0:is>
          <ns0:t>Which organisms consume phytoplankton in this Dokdo food link?</ns0:t>
        </ns0:is>
      </ns0:c>
      <ns0:c r="C91" s="12" t="inlineStr">
        <ns0:is>
          <ns0:t>Zooplankton</ns0:t>
        </ns0:is>
      </ns0:c>
      <ns0:c r="D91" s="12" t="inlineStr">
        <ns0:is>
          <ns0:t>Ecklonia cava</ns0:t>
        </ns0:is>
      </ns0:c>
      <ns0:c r="E91" s="12" t="inlineStr">
        <ns0:is>
          <ns0:t>Eisenia bicyclis</ns0:t>
        </ns0:is>
      </ns0:c>
      <ns0:c r="F91" s="12" t="inlineStr"/>
      <ns0:c r="G91" s="12" t="n">
        <ns0:v>1</ns0:v>
      </ns0:c>
      <ns0:c r="H91" s="12" t="inlineStr">
        <ns0:is>
          <ns0:t>In this link, zooplankton eat phytoplankton and can feed young fish.</ns0:t>
        </ns0:is>
      </ns0:c>
      <ns0:c r="I91" s="12" t="inlineStr">
        <ns0:is>
          <ns0:t>Food links around Dokdo can connect phytoplankton, zooplankton and young fish.</ns0:t>
        </ns0:is>
      </ns0:c>
      <ns0:c r="J91" s="12" t="inlineStr">
        <ns0:is>
          <ns0:t>Simple food link: phytoplankton → zooplankton → young fish. Arrows run from food to consumer.</ns0:t>
        </ns0:is>
      </ns0:c>
      <ns0:c r="K91" s="12" t="inlineStr">
        <ns0:is>
          <ns0:t>대한민국 한국해양과학기술원 · 독도 섬효과
https://www.dokdo.re.kr/home/cms/cmsCont.do?cntnts_sn=82</ns0:t>
        </ns0:is>
      </ns0:c>
    </ns0:row>
    <ns0:row r="92" ht="53" customHeight="1">
      <ns0:c r="A92" s="10" t="n">
        <ns0:v>920091</ns0:v>
      </ns0:c>
      <ns0:c r="B92" s="10" t="inlineStr">
        <ns0:is>
          <ns0:t>Which organisms eat zooplankton in the supplied food chain?</ns0:t>
        </ns0:is>
      </ns0:c>
      <ns0:c r="C92" s="10" t="inlineStr">
        <ns0:is>
          <ns0:t>Phytoplankton</ns0:t>
        </ns0:is>
      </ns0:c>
      <ns0:c r="D92" s="10" t="inlineStr">
        <ns0:is>
          <ns0:t>Young fish</ns0:t>
        </ns0:is>
      </ns0:c>
      <ns0:c r="E92" s="10" t="inlineStr">
        <ns0:is>
          <ns0:t>Ecklonia cava</ns0:t>
        </ns0:is>
      </ns0:c>
      <ns0:c r="F92" s="10" t="inlineStr"/>
      <ns0:c r="G92" s="10" t="n">
        <ns0:v>2</ns0:v>
      </ns0:c>
      <ns0:c r="H92" s="10" t="inlineStr">
        <ns0:is>
          <ns0:t>The arrow runs from zooplankton to young fish.</ns0:t>
        </ns0:is>
      </ns0:c>
      <ns0:c r="I92" s="10" t="inlineStr">
        <ns0:is>
          <ns0:t>Food links around Dokdo can connect phytoplankton, zooplankton and young fish.</ns0:t>
        </ns0:is>
      </ns0:c>
      <ns0:c r="J92" s="10" t="inlineStr">
        <ns0:is>
          <ns0:t>Simplified food link around Dokdo: phytoplankton → zooplankton → young fish. Arrows point from food organisms to their consumers.</ns0:t>
        </ns0:is>
      </ns0:c>
      <ns0:c r="K92" s="10" t="inlineStr">
        <ns0:is>
          <ns0:t>대한민국 한국해양과학기술원 · 독도 섬효과
https://www.dokdo.re.kr/home/cms/cmsCont.do?cntnts_sn=82</ns0:t>
        </ns0:is>
      </ns0:c>
    </ns0:row>
    <ns0:row r="93" ht="53" customHeight="1">
      <ns0:c r="A93" s="12" t="n">
        <ns0:v>920092</ns0:v>
      </ns0:c>
      <ns0:c r="B93" s="12" t="inlineStr">
        <ns0:is>
          <ns0:t>Which organisms should be surveyed to examine food supply for young fish around Dokdo?</ns0:t>
        </ns0:is>
      </ns0:c>
      <ns0:c r="C93" s="12" t="inlineStr">
        <ns0:is>
          <ns0:t>Only coastal seabird nest counts</ns0:t>
        </ns0:is>
      </ns0:c>
      <ns0:c r="D93" s="12" t="inlineStr">
        <ns0:is>
          <ns0:t>Only land-plant species on the islands</ns0:t>
        </ns0:is>
      </ns0:c>
      <ns0:c r="E93" s="12" t="inlineStr">
        <ns0:is>
          <ns0:t>Abundance of zooplankton used as food</ns0:t>
        </ns0:is>
      </ns0:c>
      <ns0:c r="F93" s="12" t="inlineStr"/>
      <ns0:c r="G93" s="12" t="n">
        <ns0:v>3</ns0:v>
      </ns0:c>
      <ns0:c r="H93" s="12" t="inlineStr">
        <ns0:is>
          <ns0:t>This surveys the food directly consumed by the young fish in the given link.</ns0:t>
        </ns0:is>
      </ns0:c>
      <ns0:c r="I93" s="12" t="inlineStr">
        <ns0:is>
          <ns0:t>Food links around Dokdo can connect phytoplankton, zooplankton and young fish.</ns0:t>
        </ns0:is>
      </ns0:c>
      <ns0:c r="J93" s="12" t="inlineStr">
        <ns0:is>
          <ns0:t>Link for investigation: zooplankton consume phytoplankton, and some young fish consume zooplankton. This is not a complete web for all organisms around Dokdo.</ns0:t>
        </ns0:is>
      </ns0:c>
      <ns0:c r="K93" s="12" t="inlineStr">
        <ns0:is>
          <ns0:t>대한민국 한국해양과학기술원 · 독도 섬효과
https://www.dokdo.re.kr/home/cms/cmsCont.do?cntnts_sn=82</ns0:t>
        </ns0:is>
      </ns0:c>
    </ns0:row>
    <ns0:row r="94" ht="98" customHeight="1">
      <ns0:c r="A94" s="10" t="n">
        <ns0:v>920093</ns0:v>
      </ns0:c>
      <ns0:c r="B94" s="10" t="inlineStr">
        <ns0:is>
          <ns0:t>Which marine mammal once lived in groups on Dokdo but disappeared?</ns0:t>
        </ns0:is>
      </ns0:c>
      <ns0:c r="C94" s="10" t="inlineStr">
        <ns0:is>
          <ns0:t>Japanese sea lion</ns0:t>
        </ns0:is>
      </ns0:c>
      <ns0:c r="D94" s="10" t="inlineStr">
        <ns0:is>
          <ns0:t>Sea otter</ns0:t>
        </ns0:is>
      </ns0:c>
      <ns0:c r="E94" s="10" t="inlineStr">
        <ns0:is>
          <ns0:t>Seal</ns0:t>
        </ns0:is>
      </ns0:c>
      <ns0:c r="F94" s="10" t="inlineStr"/>
      <ns0:c r="G94" s="10" t="n">
        <ns0:v>1</ns0:v>
      </ns0:c>
      <ns0:c r="H94" s="10" t="inlineStr">
        <ns0:is>
          <ns0:t>The Dokdo catch records and population study concern the extinct Japanese sea lion.</ns0:t>
        </ns0:is>
      </ns0:c>
      <ns0:c r="I94" s="10" t="inlineStr">
        <ns0:is>
          <ns0:t>Sea lions once lived on Dokdo, and excessive hunting contributed greatly to their decline and extinction.</ns0:t>
        </ns0:is>
      </ns0:c>
      <ns0:c r="J94" s="10" t="inlineStr"/>
      <ns0:c r="K94" s="10" t="inlineStr">
        <ns0:is>
          <ns0:t>대한민국 해양수산부 · 독도 강치 연구 발표(2022)
https://www.mof.go.kr/doc/ko/selectDoc.do?bbsSeq=10&amp;docSeq=45126&amp;menuSeq=971
국제 학술지 JMSE · Lee 외 강치 개체군 연구(2022)
https://www.mdpi.com/2077-1312/10/2/271</ns0:t>
        </ns0:is>
      </ns0:c>
    </ns0:row>
    <ns0:row r="95" ht="98" customHeight="1">
      <ns0:c r="A95" s="12" t="n">
        <ns0:v>920094</ns0:v>
      </ns0:c>
      <ns0:c r="B95" s="12" t="inlineStr">
        <ns0:is>
          <ns0:t>Which human activity contributed greatly to Dokdo sea lions’ decline?</ns0:t>
        </ns0:is>
      </ns0:c>
      <ns0:c r="C95" s="12" t="inlineStr">
        <ns0:is>
          <ns0:t>Expansion of farmland on the islands</ns0:t>
        </ns0:is>
      </ns0:c>
      <ns0:c r="D95" s="12" t="inlineStr">
        <ns0:is>
          <ns0:t>Excessive hunting</ns0:t>
        </ns0:is>
      </ns0:c>
      <ns0:c r="E95" s="12" t="inlineStr">
        <ns0:is>
          <ns0:t>Seaweed harvesting alone</ns0:t>
        </ns0:is>
      </ns0:c>
      <ns0:c r="F95" s="12" t="inlineStr"/>
      <ns0:c r="G95" s="12" t="n">
        <ns0:v>2</ns0:v>
      </ns0:c>
      <ns0:c r="H95" s="12" t="inlineStr">
        <ns0:is>
          <ns0:t>Research using catch records identifies heavy hunting pressure as a major cause.</ns0:t>
        </ns0:is>
      </ns0:c>
      <ns0:c r="I95" s="12" t="inlineStr">
        <ns0:is>
          <ns0:t>Sea lions once lived on Dokdo, and excessive hunting contributed greatly to their decline and extinction.</ns0:t>
        </ns0:is>
      </ns0:c>
      <ns0:c r="J95" s="12" t="inlineStr"/>
      <ns0:c r="K95" s="12" t="inlineStr">
        <ns0:is>
          <ns0:t>대한민국 해양수산부 · 독도 강치 연구 발표(2022)
https://www.mof.go.kr/doc/ko/selectDoc.do?bbsSeq=10&amp;docSeq=45126&amp;menuSeq=971
국제 학술지 JMSE · Lee 외 강치 개체군 연구(2022)
https://www.mdpi.com/2077-1312/10/2/271</ns0:t>
        </ns0:is>
      </ns0:c>
    </ns0:row>
    <ns0:row r="96" ht="98" customHeight="1">
      <ns0:c r="A96" s="10" t="n">
        <ns0:v>920095</ns0:v>
      </ns0:c>
      <ns0:c r="B96" s="10" t="inlineStr">
        <ns0:is>
          <ns0:t>Which historical human-activity records were used in research on Dokdo sea lions?</ns0:t>
        </ns0:is>
      </ns0:c>
      <ns0:c r="C96" s="10" t="inlineStr">
        <ns0:is>
          <ns0:t>Only annual seabird nest counts</ns0:t>
        </ns0:is>
      </ns0:c>
      <ns0:c r="D96" s="10" t="inlineStr">
        <ns0:is>
          <ns0:t>Only present fish catches</ns0:t>
        </ns0:is>
      </ns0:c>
      <ns0:c r="E96" s="10" t="inlineStr">
        <ns0:is>
          <ns0:t>Historical annual sea lion catches</ns0:t>
        </ns0:is>
      </ns0:c>
      <ns0:c r="F96" s="10" t="inlineStr"/>
      <ns0:c r="G96" s="10" t="n">
        <ns0:v>3</ns0:v>
      </ns0:c>
      <ns0:c r="H96" s="10" t="inlineStr">
        <ns0:is>
          <ns0:t>Catch information provides a model input for population change.</ns0:t>
        </ns0:is>
      </ns0:c>
      <ns0:c r="I96" s="10" t="inlineStr">
        <ns0:is>
          <ns0:t>Sea lions once lived on Dokdo, and excessive hunting contributed greatly to their decline and extinction.</ns0:t>
        </ns0:is>
      </ns0:c>
      <ns0:c r="J96" s="10" t="inlineStr">
        <ns0:is>
          <ns0:t>A 2022 study simulated historical sea lion population changes using surviving catch information and biological assumptions.</ns0:t>
        </ns0:is>
      </ns0:c>
      <ns0:c r="K96" s="10" t="inlineStr">
        <ns0:is>
          <ns0:t>대한민국 해양수산부 · 독도 강치 연구 발표(2022)
https://www.mof.go.kr/doc/ko/selectDoc.do?bbsSeq=10&amp;docSeq=45126&amp;menuSeq=971
국제 학술지 JMSE · Lee 외 강치 개체군 연구(2022)
https://www.mdpi.com/2077-1312/10/2/271</ns0:t>
        </ns0:is>
      </ns0:c>
    </ns0:row>
    <ns0:row r="97" ht="98" customHeight="1">
      <ns0:c r="A97" s="12" t="n">
        <ns0:v>920096</ns0:v>
      </ns0:c>
      <ns0:c r="B97" s="12" t="inlineStr">
        <ns0:is>
          <ns0:t>Which component increases directly when hunting pressure rises in a sea lion model?</ns0:t>
        </ns0:is>
      </ns0:c>
      <ns0:c r="C97" s="12" t="inlineStr">
        <ns0:is>
          <ns0:t>Losses from the population through catches</ns0:t>
        </ns0:is>
      </ns0:c>
      <ns0:c r="D97" s="12" t="inlineStr">
        <ns0:is>
          <ns0:t>The number of newborns</ns0:t>
        </ns0:is>
      </ns0:c>
      <ns0:c r="E97" s="12" t="inlineStr">
        <ns0:is>
          <ns0:t>The number actually observed in a past survey</ns0:t>
        </ns0:is>
      </ns0:c>
      <ns0:c r="F97" s="12" t="inlineStr"/>
      <ns0:c r="G97" s="12" t="n">
        <ns0:v>1</ns0:v>
      </ns0:c>
      <ns0:c r="H97" s="12" t="inlineStr">
        <ns0:is>
          <ns0:t>Hunting directly adds catch losses, which must be compared with replacement through births.</ns0:t>
        </ns0:is>
      </ns0:c>
      <ns0:c r="I97" s="12" t="inlineStr">
        <ns0:is>
          <ns0:t>Sea lions once lived on Dokdo, and excessive hunting contributed greatly to their decline and extinction.</ns0:t>
        </ns0:is>
      </ns0:c>
      <ns0:c r="J97" s="12" t="inlineStr">
        <ns0:is>
          <ns0:t>Model balance: births increase the population; natural mortality and catches reduce it. Consider increasing hunting pressure while holding reproduction assumptions constant.</ns0:t>
        </ns0:is>
      </ns0:c>
      <ns0:c r="K97" s="12" t="inlineStr">
        <ns0:is>
          <ns0:t>대한민국 해양수산부 · 독도 강치 연구 발표(2022)
https://www.mof.go.kr/doc/ko/selectDoc.do?bbsSeq=10&amp;docSeq=45126&amp;menuSeq=971
국제 학술지 JMSE · Lee 외 강치 개체군 연구(2022)
https://www.mdpi.com/2077-1312/10/2/271</ns0:t>
        </ns0:is>
      </ns0:c>
    </ns0:row>
    <ns0:row r="98" ht="98" customHeight="1">
      <ns0:c r="A98" s="10" t="n">
        <ns0:v>920097</ns0:v>
      </ns0:c>
      <ns0:c r="B98" s="10" t="inlineStr">
        <ns0:is>
          <ns0:t>What is a historical sea lion population calculated from records called?</ns0:t>
        </ns0:is>
      </ns0:c>
      <ns0:c r="C98" s="10" t="inlineStr">
        <ns0:is>
          <ns0:t>A complete count made at that time</ns0:t>
        </ns0:is>
      </ns0:c>
      <ns0:c r="D98" s="10" t="inlineStr">
        <ns0:is>
          <ns0:t>An estimate</ns0:t>
        </ns0:is>
      </ns0:c>
      <ns0:c r="E98" s="10" t="inlineStr">
        <ns0:is>
          <ns0:t>A live population count today</ns0:t>
        </ns0:is>
      </ns0:c>
      <ns0:c r="F98" s="10" t="inlineStr"/>
      <ns0:c r="G98" s="10" t="n">
        <ns0:v>2</ns0:v>
      </ns0:c>
      <ns0:c r="H98" s="10" t="inlineStr">
        <ns0:is>
          <ns0:t>A calculation from incomplete records and assumptions is an estimate, not a complete census.</ns0:t>
        </ns0:is>
      </ns0:c>
      <ns0:c r="I98" s="10" t="inlineStr">
        <ns0:is>
          <ns0:t>Modelled historical sea lion populations must be distinguished from complete field counts.</ns0:t>
        </ns0:is>
      </ns0:c>
      <ns0:c r="J98" s="10" t="inlineStr"/>
      <ns0:c r="K98" s="10" t="inlineStr">
        <ns0:is>
          <ns0:t>국제 학술지 JMSE · Lee 외 강치 개체군 연구(2022)
https://www.mdpi.com/2077-1312/10/2/271
대한민국 해양수산부 · 독도 강치 연구 발표(2022)
https://www.mof.go.kr/doc/ko/selectDoc.do?bbsSeq=10&amp;docSeq=45126&amp;menuSeq=971</ns0:t>
        </ns0:is>
      </ns0:c>
    </ns0:row>
    <ns0:row r="99" ht="98" customHeight="1">
      <ns0:c r="A99" s="12" t="n">
        <ns0:v>920098</ns0:v>
      </ns0:c>
      <ns0:c r="B99" s="12" t="inlineStr">
        <ns0:is>
          <ns0:t>What does a historical Dokdo sea lion catch total count?</ns0:t>
        </ns0:is>
      </ns0:c>
      <ns0:c r="C99" s="12" t="inlineStr">
        <ns0:is>
          <ns0:t>Every sea lion alive at the time</ns0:t>
        </ns0:is>
      </ns0:c>
      <ns0:c r="D99" s="12" t="inlineStr">
        <ns0:is>
          <ns0:t>Sea lions born that year</ns0:t>
        </ns0:is>
      </ns0:c>
      <ns0:c r="E99" s="12" t="inlineStr">
        <ns0:is>
          <ns0:t>Sea lions caught by people</ns0:t>
        </ns0:is>
      </ns0:c>
      <ns0:c r="F99" s="12" t="inlineStr"/>
      <ns0:c r="G99" s="12" t="n">
        <ns0:v>3</ns0:v>
      </ns0:c>
      <ns0:c r="H99" s="12" t="inlineStr">
        <ns0:is>
          <ns0:t>A catch total counts sea lions taken by people. It is not the whole population, which also includes uncaught animals.</ns0:t>
        </ns0:is>
      </ns0:c>
      <ns0:c r="I99" s="12" t="inlineStr">
        <ns0:is>
          <ns0:t>Modelled historical sea lion populations must be distinguished from complete field counts.</ns0:t>
        </ns0:is>
      </ns0:c>
      <ns0:c r="J99" s="12" t="inlineStr"/>
      <ns0:c r="K99" s="12" t="inlineStr">
        <ns0:is>
          <ns0:t>국제 학술지 JMSE · Lee 외 강치 개체군 연구(2022)
https://www.mdpi.com/2077-1312/10/2/271
대한민국 해양수산부 · 독도 강치 연구 발표(2022)
https://www.mof.go.kr/doc/ko/selectDoc.do?bbsSeq=10&amp;docSeq=45126&amp;menuSeq=971</ns0:t>
        </ns0:is>
      </ns0:c>
    </ns0:row>
    <ns0:row r="100" ht="98" customHeight="1">
      <ns0:c r="A100" s="10" t="n">
        <ns0:v>920099</ns0:v>
      </ns0:c>
      <ns0:c r="B100" s="10" t="inlineStr">
        <ns0:is>
          <ns0:t>Which label correctly describes a modelled sea lion population?</ns0:t>
        </ns0:is>
      </ns0:c>
      <ns0:c r="C100" s="10" t="inlineStr">
        <ns0:is>
          <ns0:t>An estimate calculated from historical records and assumptions</ns0:t>
        </ns0:is>
      </ns0:c>
      <ns0:c r="D100" s="10" t="inlineStr">
        <ns0:is>
          <ns0:t>A full count made by researchers at the historical time</ns0:t>
        </ns0:is>
      </ns0:c>
      <ns0:c r="E100" s="10" t="inlineStr">
        <ns0:is>
          <ns0:t>The number of sea lions now living on Dokdo</ns0:t>
        </ns0:is>
      </ns0:c>
      <ns0:c r="F100" s="10" t="inlineStr"/>
      <ns0:c r="G100" s="10" t="n">
        <ns0:v>1</ns0:v>
      </ns0:c>
      <ns0:c r="H100" s="10" t="inlineStr">
        <ns0:is>
          <ns0:t>This identifies the calculation and distinguishes it from observation.</ns0:t>
        </ns0:is>
      </ns0:c>
      <ns0:c r="I100" s="10" t="inlineStr">
        <ns0:is>
          <ns0:t>Modelled historical sea lion populations must be distinguished from complete field counts.</ns0:t>
        </ns0:is>
      </ns0:c>
      <ns0:c r="J100" s="10" t="inlineStr">
        <ns0:is>
          <ns0:t>Method: historical catch records were combined with assumptions about reproduction and mortality to calculate population change.</ns0:t>
        </ns0:is>
      </ns0:c>
      <ns0:c r="K100" s="10" t="inlineStr">
        <ns0:is>
          <ns0:t>국제 학술지 JMSE · Lee 외 강치 개체군 연구(2022)
https://www.mdpi.com/2077-1312/10/2/271
대한민국 해양수산부 · 독도 강치 연구 발표(2022)
https://www.mof.go.kr/doc/ko/selectDoc.do?bbsSeq=10&amp;docSeq=45126&amp;menuSeq=971</ns0:t>
        </ns0:is>
      </ns0:c>
    </ns0:row>
    <ns0:row r="101" ht="98" customHeight="1">
      <ns0:c r="A101" s="12" t="n">
        <ns0:v>920100</ns0:v>
      </ns0:c>
      <ns0:c r="B101" s="12" t="inlineStr">
        <ns0:is>
          <ns0:t>What should be done if a reproductive assumption in the sea lion model changes?</ns0:t>
        </ns0:is>
      </ns0:c>
      <ns0:c r="C101" s="12" t="inlineStr">
        <ns0:is>
          <ns0:t>Relabel the old estimate as a direct observation</ns0:t>
        </ns0:is>
      </ns0:c>
      <ns0:c r="D101" s="12" t="inlineStr">
        <ns0:is>
          <ns0:t>Recalculate and compare how much the results change</ns0:t>
        </ns0:is>
      </ns0:c>
      <ns0:c r="E101" s="12" t="inlineStr">
        <ns0:is>
          <ns0:t>Alter catch records to match the desired result</ns0:t>
        </ns0:is>
      </ns0:c>
      <ns0:c r="F101" s="12" t="inlineStr"/>
      <ns0:c r="G101" s="12" t="n">
        <ns0:v>2</ns0:v>
      </ns0:c>
      <ns0:c r="H101" s="12" t="inlineStr">
        <ns0:is>
          <ns0:t>This checks how strongly results depend on the assumption.</ns0:t>
        </ns0:is>
      </ns0:c>
      <ns0:c r="I101" s="12" t="inlineStr">
        <ns0:is>
          <ns0:t>Modelled historical sea lion populations must be distinguished from complete field counts.</ns0:t>
        </ns0:is>
      </ns0:c>
      <ns0:c r="J101" s="12" t="inlineStr">
        <ns0:is>
          <ns0:t>The sea lion model uses catch records and assumptions about reproduction and mortality. A researcher wants to examine sensitivity to one assumption.</ns0:t>
        </ns0:is>
      </ns0:c>
      <ns0:c r="K101" s="12" t="inlineStr">
        <ns0:is>
          <ns0:t>국제 학술지 JMSE · Lee 외 강치 개체군 연구(2022)
https://www.mdpi.com/2077-1312/10/2/271
대한민국 해양수산부 · 독도 강치 연구 발표(2022)
https://www.mof.go.kr/doc/ko/selectDoc.do?bbsSeq=10&amp;docSeq=45126&amp;menuSeq=971</ns0:t>
        </ns0:is>
      </ns0:c>
    </ns0:row>
    <ns0:row r="102" ht="53" customHeight="1">
      <ns0:c r="A102" s="10" t="n">
        <ns0:v>920101</ns0:v>
      </ns0:c>
      <ns0:c r="B102" s="10" t="inlineStr">
        <ns0:is>
          <ns0:t>On which main island is Dokdo Lighthouse?</ns0:t>
        </ns0:is>
      </ns0:c>
      <ns0:c r="C102" s="10" t="inlineStr">
        <ns0:is>
          <ns0:t>Seodo</ns0:t>
        </ns0:is>
      </ns0:c>
      <ns0:c r="D102" s="10" t="inlineStr">
        <ns0:is>
          <ns0:t>Dongdo</ns0:t>
        </ns0:is>
      </ns0:c>
      <ns0:c r="E102" s="10" t="inlineStr"/>
      <ns0:c r="F102" s="10" t="inlineStr"/>
      <ns0:c r="G102" s="10" t="n">
        <ns0:v>2</ns0:v>
      </ns0:c>
      <ns0:c r="H102" s="10" t="inlineStr">
        <ns0:is>
          <ns0:t>The lighthouse is on Dongdo; residents’ accommodation is on Seodo.</ns0:t>
        </ns0:is>
      </ns0:c>
      <ns0:c r="I102" s="10" t="inlineStr">
        <ns0:is>
          <ns0:t>Dokdo Lighthouse stands on Dongdo and helps vessels recognise their position at sea.</ns0:t>
        </ns0:is>
      </ns0:c>
      <ns0:c r="J102" s="10" t="inlineStr"/>
      <ns0:c r="K102" s="10" t="inlineStr">
        <ns0:is>
          <ns0:t>대한민국 외교부 · 독도 주요시설물
https://dokdo.mofa.go.kr/kor/introduce/facility.jsp</ns0:t>
        </ns0:is>
      </ns0:c>
    </ns0:row>
    <ns0:row r="103" ht="53" customHeight="1">
      <ns0:c r="A103" s="12" t="n">
        <ns0:v>920102</ns0:v>
      </ns0:c>
      <ns0:c r="B103" s="12" t="inlineStr">
        <ns0:is>
          <ns0:t>How does Dokdo Lighthouse help passing vessels?</ns0:t>
        </ns0:is>
      </ns0:c>
      <ns0:c r="C103" s="12" t="inlineStr">
        <ns0:is>
          <ns0:t>It provides a docking space</ns0:t>
        </ns0:is>
      </ns0:c>
      <ns0:c r="D103" s="12" t="inlineStr">
        <ns0:is>
          <ns0:t>It converts seawater into fresh water</ns0:t>
        </ns0:is>
      </ns0:c>
      <ns0:c r="E103" s="12" t="inlineStr">
        <ns0:is>
          <ns0:t>It provides a light to help recognise location</ns0:t>
        </ns0:is>
      </ns0:c>
      <ns0:c r="F103" s="12" t="inlineStr"/>
      <ns0:c r="G103" s="12" t="n">
        <ns0:v>3</ns0:v>
      </ns0:c>
      <ns0:c r="H103" s="12" t="inlineStr">
        <ns0:is>
          <ns0:t>The light serves as a navigational aid for recognising location.</ns0:t>
        </ns0:is>
      </ns0:c>
      <ns0:c r="I103" s="12" t="inlineStr">
        <ns0:is>
          <ns0:t>Dokdo Lighthouse stands on Dongdo and helps vessels recognise their position at sea.</ns0:t>
        </ns0:is>
      </ns0:c>
      <ns0:c r="J103" s="12" t="inlineStr"/>
      <ns0:c r="K103" s="12" t="inlineStr">
        <ns0:is>
          <ns0:t>대한민국 외교부 · 독도 주요시설물
https://dokdo.mofa.go.kr/kor/introduce/facility.jsp</ns0:t>
        </ns0:is>
      </ns0:c>
    </ns0:row>
    <ns0:row r="104" ht="53" customHeight="1">
      <ns0:c r="A104" s="10" t="n">
        <ns0:v>920103</ns0:v>
      </ns0:c>
      <ns0:c r="B104" s="10" t="inlineStr">
        <ns0:is>
          <ns0:t>What is the Dongdo facility that assists navigation using light?</ns0:t>
        </ns0:is>
      </ns0:c>
      <ns0:c r="C104" s="10" t="inlineStr">
        <ns0:is>
          <ns0:t>Dokdo Lighthouse</ns0:t>
        </ns0:is>
      </ns0:c>
      <ns0:c r="D104" s="10" t="inlineStr">
        <ns0:is>
          <ns0:t>Docking facility</ns0:t>
        </ns0:is>
      </ns0:c>
      <ns0:c r="E104" s="10" t="inlineStr">
        <ns0:is>
          <ns0:t>Desalination facility</ns0:t>
        </ns0:is>
      </ns0:c>
      <ns0:c r="F104" s="10" t="inlineStr"/>
      <ns0:c r="G104" s="10" t="n">
        <ns0:v>1</ns0:v>
      </ns0:c>
      <ns0:c r="H104" s="10" t="inlineStr">
        <ns0:is>
          <ns0:t>Combining the location and function identifies Dokdo Lighthouse.</ns0:t>
        </ns0:is>
      </ns0:c>
      <ns0:c r="I104" s="10" t="inlineStr">
        <ns0:is>
          <ns0:t>Dokdo Lighthouse stands on Dongdo and helps vessels recognise their position at sea.</ns0:t>
        </ns0:is>
      </ns0:c>
      <ns0:c r="J104" s="10" t="inlineStr">
        <ns0:is>
          <ns0:t>Dongdo facility guide: lighthouse — navigation light; dock — vessel landing; desalination equipment — water production.</ns0:t>
        </ns0:is>
      </ns0:c>
      <ns0:c r="K104" s="10" t="inlineStr">
        <ns0:is>
          <ns0:t>대한민국 외교부 · 독도 주요시설물
https://dokdo.mofa.go.kr/kor/introduce/facility.jsp</ns0:t>
        </ns0:is>
      </ns0:c>
    </ns0:row>
    <ns0:row r="105" ht="53" customHeight="1">
      <ns0:c r="A105" s="12" t="n">
        <ns0:v>920104</ns0:v>
      </ns0:c>
      <ns0:c r="B105" s="12" t="inlineStr">
        <ns0:is>
          <ns0:t>Which facilities respectively assist location recognition and landing at Dokdo?</ns0:t>
        </ns0:is>
      </ns0:c>
      <ns0:c r="C105" s="12" t="inlineStr">
        <ns0:is>
          <ns0:t>Dock → lighthouse</ns0:t>
        </ns0:is>
      </ns0:c>
      <ns0:c r="D105" s="12" t="inlineStr">
        <ns0:is>
          <ns0:t>Lighthouse → dock</ns0:t>
        </ns0:is>
      </ns0:c>
      <ns0:c r="E105" s="12" t="inlineStr">
        <ns0:is>
          <ns0:t>Desalination facility → accommodation</ns0:t>
        </ns0:is>
      </ns0:c>
      <ns0:c r="F105" s="12" t="inlineStr"/>
      <ns0:c r="G105" s="12" t="n">
        <ns0:v>2</ns0:v>
      </ns0:c>
      <ns0:c r="H105" s="12" t="inlineStr">
        <ns0:is>
          <ns0:t>The lighthouse aids navigation; the dock provides the landing point.</ns0:t>
        </ns0:is>
      </ns0:c>
      <ns0:c r="I105" s="12" t="inlineStr">
        <ns0:is>
          <ns0:t>Dokdo Lighthouse stands on Dongdo and helps vessels recognise their position at sea.</ns0:t>
        </ns0:is>
      </ns0:c>
      <ns0:c r="J105" s="12" t="inlineStr">
        <ns0:is>
          <ns0:t>A vessel approaches Dokdo, recognises its position using a navigational aid, and docks at the designated place if landing is permitted. Choose the facilities in order.</ns0:t>
        </ns0:is>
      </ns0:c>
      <ns0:c r="K105" s="12" t="inlineStr">
        <ns0:is>
          <ns0:t>대한민국 외교부 · 독도 주요시설물
https://dokdo.mofa.go.kr/kor/introduce/facility.jsp</ns0:t>
        </ns0:is>
      </ns0:c>
    </ns0:row>
    <ns0:row r="106" ht="98" customHeight="1">
      <ns0:c r="A106" s="10" t="n">
        <ns0:v>920105</ns0:v>
      </ns0:c>
      <ns0:c r="B106" s="10" t="inlineStr">
        <ns0:is>
          <ns0:t>On which main island is the dock used for ordinary visitor landings?</ns0:t>
        </ns0:is>
      </ns0:c>
      <ns0:c r="C106" s="10" t="inlineStr">
        <ns0:is>
          <ns0:t>Dongdo</ns0:t>
        </ns0:is>
      </ns0:c>
      <ns0:c r="D106" s="10" t="inlineStr">
        <ns0:is>
          <ns0:t>Seodo</ns0:t>
        </ns0:is>
      </ns0:c>
      <ns0:c r="E106" s="10" t="inlineStr"/>
      <ns0:c r="F106" s="10" t="inlineStr"/>
      <ns0:c r="G106" s="10" t="n">
        <ns0:v>1</ns0:v>
      </ns0:c>
      <ns0:c r="H106" s="10" t="inlineStr">
        <ns0:is>
          <ns0:t>Visitor guidance identifies Dongdo’s dock as the ordinary landing and viewing area.</ns0:t>
        </ns0:is>
      </ns0:c>
      <ns0:c r="I106" s="10" t="inlineStr">
        <ns0:is>
          <ns0:t>Dokdo’s main docking facility is on Dongdo and provides a vessel landing point.</ns0:t>
        </ns0:is>
      </ns0:c>
      <ns0:c r="J106" s="10" t="inlineStr"/>
      <ns0:c r="K106" s="10" t="inlineStr">
        <ns0:is>
          <ns0:t>대한민국 외교부 · 독도 주요시설물
https://dokdo.mofa.go.kr/kor/introduce/facility.jsp
대한민국 외교부 · 주민 및 입도 안내
https://dokdo.mofa.go.kr/kor/introduce/residence.jsp</ns0:t>
        </ns0:is>
      </ns0:c>
    </ns0:row>
    <ns0:row r="107" ht="98" customHeight="1">
      <ns0:c r="A107" s="12" t="n">
        <ns0:v>920106</ns0:v>
      </ns0:c>
      <ns0:c r="B107" s="12" t="inlineStr">
        <ns0:is>
          <ns0:t>What is Dokdo’s docking facility used for?</ns0:t>
        </ns0:is>
      </ns0:c>
      <ns0:c r="C107" s="12" t="inlineStr">
        <ns0:is>
          <ns0:t>A helicopter landing area</ns0:t>
        </ns0:is>
      </ns0:c>
      <ns0:c r="D107" s="12" t="inlineStr">
        <ns0:is>
          <ns0:t>A place that signals location with light at night</ns0:t>
        </ns0:is>
      </ns0:c>
      <ns0:c r="E107" s="12" t="inlineStr">
        <ns0:is>
          <ns0:t>A place where vessels berth and people disembark</ns0:t>
        </ns0:is>
      </ns0:c>
      <ns0:c r="F107" s="12" t="inlineStr"/>
      <ns0:c r="G107" s="12" t="n">
        <ns0:v>3</ns0:v>
      </ns0:c>
      <ns0:c r="H107" s="12" t="inlineStr">
        <ns0:is>
          <ns0:t>Docking means bringing a vessel alongside land or a facility.</ns0:t>
        </ns0:is>
      </ns0:c>
      <ns0:c r="I107" s="12" t="inlineStr">
        <ns0:is>
          <ns0:t>Dokdo’s main docking facility is on Dongdo and provides a vessel landing point.</ns0:t>
        </ns0:is>
      </ns0:c>
      <ns0:c r="J107" s="12" t="inlineStr"/>
      <ns0:c r="K107" s="12" t="inlineStr">
        <ns0:is>
          <ns0:t>대한민국 외교부 · 독도 주요시설물
https://dokdo.mofa.go.kr/kor/introduce/facility.jsp
대한민국 외교부 · 주민 및 입도 안내
https://dokdo.mofa.go.kr/kor/introduce/residence.jsp</ns0:t>
        </ns0:is>
      </ns0:c>
    </ns0:row>
    <ns0:row r="108" ht="98" customHeight="1">
      <ns0:c r="A108" s="10" t="n">
        <ns0:v>920107</ns0:v>
      </ns0:c>
      <ns0:c r="B108" s="10" t="inlineStr">
        <ns0:is>
          <ns0:t>Which Dongdo facility is described as 80 metres long in the facility guide?</ns0:t>
        </ns0:is>
      </ns0:c>
      <ns0:c r="C108" s="10" t="inlineStr">
        <ns0:is>
          <ns0:t>Docking facility</ns0:t>
        </ns0:is>
      </ns0:c>
      <ns0:c r="D108" s="10" t="inlineStr">
        <ns0:is>
          <ns0:t>Lighthouse</ns0:t>
        </ns0:is>
      </ns0:c>
      <ns0:c r="E108" s="10" t="inlineStr">
        <ns0:is>
          <ns0:t>Residents’ accommodation</ns0:t>
        </ns0:is>
      </ns0:c>
      <ns0:c r="F108" s="10" t="inlineStr"/>
      <ns0:c r="G108" s="10" t="n">
        <ns0:v>1</ns0:v>
      </ns0:c>
      <ns0:c r="H108" s="10" t="inlineStr">
        <ns0:is>
          <ns0:t>The 80-metre figure refers to the docking facility in the supplied guide.</ns0:t>
        </ns0:is>
      </ns0:c>
      <ns0:c r="I108" s="10" t="inlineStr">
        <ns0:is>
          <ns0:t>Dokdo’s main docking facility is on Dongdo and provides a vessel landing point.</ns0:t>
        </ns0:is>
      </ns0:c>
      <ns0:c r="J108" s="10" t="inlineStr">
        <ns0:is>
          <ns0:t>Facility data: Dongdo’s dock is 80 metres long. The lighthouse and guard facilities are on Dongdo; residents’ accommodation is on Seodo.</ns0:t>
        </ns0:is>
      </ns0:c>
      <ns0:c r="K108" s="10" t="inlineStr">
        <ns0:is>
          <ns0:t>대한민국 외교부 · 독도 주요시설물
https://dokdo.mofa.go.kr/kor/introduce/facility.jsp
대한민국 외교부 · 주민 및 입도 안내
https://dokdo.mofa.go.kr/kor/introduce/residence.jsp</ns0:t>
        </ns0:is>
      </ns0:c>
    </ns0:row>
    <ns0:row r="109" ht="98" customHeight="1">
      <ns0:c r="A109" s="12" t="n">
        <ns0:v>920108</ns0:v>
      </ns0:c>
      <ns0:c r="B109" s="12" t="inlineStr">
        <ns0:is>
          <ns0:t>How do the measurements “80 m dock” and “151 m between islands” differ?</ns0:t>
        </ns0:is>
      </ns0:c>
      <ns0:c r="C109" s="12" t="inlineStr">
        <ns0:is>
          <ns0:t>Both are distances from Dongdo to Seodo</ns0:t>
        </ns0:is>
      </ns0:c>
      <ns0:c r="D109" s="12" t="inlineStr">
        <ns0:is>
          <ns0:t>80 m is dock length; 151 m is the nearest shore-to-shore gap</ns0:t>
        </ns0:is>
      </ns0:c>
      <ns0:c r="E109" s="12" t="inlineStr">
        <ns0:is>
          <ns0:t>80 m is Dongdo’s height; 151 m is Seodo’s height</ns0:t>
        </ns0:is>
      </ns0:c>
      <ns0:c r="F109" s="12" t="inlineStr"/>
      <ns0:c r="G109" s="12" t="n">
        <ns0:v>2</ns0:v>
      </ns0:c>
      <ns0:c r="H109" s="12" t="inlineStr">
        <ns0:is>
          <ns0:t>These measure different objects and should not be treated as the same route.</ns0:t>
        </ns0:is>
      </ns0:c>
      <ns0:c r="I109" s="12" t="inlineStr">
        <ns0:is>
          <ns0:t>Dokdo’s main docking facility is on Dongdo and provides a vessel landing point.</ns0:t>
        </ns0:is>
      </ns0:c>
      <ns0:c r="J109" s="12" t="inlineStr">
        <ns0:is>
          <ns0:t>Facility data: Dongdo dock, 80 m.
Terrain data: nearest shores of Dongdo and Seodo, about 151 m.</ns0:t>
        </ns0:is>
      </ns0:c>
      <ns0:c r="K109" s="12" t="inlineStr">
        <ns0:is>
          <ns0:t>대한민국 외교부 · 독도 주요시설물
https://dokdo.mofa.go.kr/kor/introduce/facility.jsp
대한민국 외교부 · 주민 및 입도 안내
https://dokdo.mofa.go.kr/kor/introduce/residence.jsp</ns0:t>
        </ns0:is>
      </ns0:c>
    </ns0:row>
    <ns0:row r="110" ht="98" customHeight="1">
      <ns0:c r="A110" s="10" t="n">
        <ns0:v>920109</ns0:v>
      </ns0:c>
      <ns0:c r="B110" s="10" t="inlineStr">
        <ns0:is>
          <ns0:t>On which main island is Dokdo’s residents’ accommodation?</ns0:t>
        </ns0:is>
      </ns0:c>
      <ns0:c r="C110" s="10" t="inlineStr">
        <ns0:is>
          <ns0:t>Dongdo</ns0:t>
        </ns0:is>
      </ns0:c>
      <ns0:c r="D110" s="10" t="inlineStr">
        <ns0:is>
          <ns0:t>Seodo</ns0:t>
        </ns0:is>
      </ns0:c>
      <ns0:c r="E110" s="10" t="inlineStr"/>
      <ns0:c r="F110" s="10" t="inlineStr"/>
      <ns0:c r="G110" s="10" t="n">
        <ns0:v>2</ns0:v>
      </ns0:c>
      <ns0:c r="H110" s="10" t="inlineStr">
        <ns0:is>
          <ns0:t>The accommodation is a residential facility on Seodo.</ns0:t>
        </ns0:is>
      </ns0:c>
      <ns0:c r="I110" s="10" t="inlineStr">
        <ns0:is>
          <ns0:t>Dokdo’s residents’ accommodation is on Seodo.</ns0:t>
        </ns0:is>
      </ns0:c>
      <ns0:c r="J110" s="10" t="inlineStr"/>
      <ns0:c r="K110" s="10" t="inlineStr">
        <ns0:is>
          <ns0:t>대한민국 외교부 · 독도 주요시설물
https://dokdo.mofa.go.kr/kor/introduce/facility.jsp
대한민국 해양수산부 · 독도의 주소와 위치
https://www.mof.go.kr/doc/ko/selectDoc.do?bbsSeq=27&amp;docSeq=20937&amp;menuSeq=929</ns0:t>
        </ns0:is>
      </ns0:c>
    </ns0:row>
    <ns0:row r="111" ht="98" customHeight="1">
      <ns0:c r="A111" s="12" t="n">
        <ns0:v>920110</ns0:v>
      </ns0:c>
      <ns0:c r="B111" s="12" t="inlineStr">
        <ns0:is>
          <ns0:t>What is the main function of Seodo’s residents’ accommodation?</ns0:t>
        </ns0:is>
      </ns0:c>
      <ns0:c r="C111" s="12" t="inlineStr">
        <ns0:is>
          <ns0:t>A navigational signal for vessels</ns0:t>
        </ns0:is>
      </ns0:c>
      <ns0:c r="D111" s="12" t="inlineStr">
        <ns0:is>
          <ns0:t>A helicopter landing area</ns0:t>
        </ns0:is>
      </ns0:c>
      <ns0:c r="E111" s="12" t="inlineStr">
        <ns0:is>
          <ns0:t>Living accommodation</ns0:t>
        </ns0:is>
      </ns0:c>
      <ns0:c r="F111" s="12" t="inlineStr"/>
      <ns0:c r="G111" s="12" t="n">
        <ns0:v>3</ns0:v>
      </ns0:c>
      <ns0:c r="H111" s="12" t="inlineStr">
        <ns0:is>
          <ns0:t>It is described as accommodation for people living on Dokdo.</ns0:t>
        </ns0:is>
      </ns0:c>
      <ns0:c r="I111" s="12" t="inlineStr">
        <ns0:is>
          <ns0:t>Dokdo’s residents’ accommodation is on Seodo.</ns0:t>
        </ns0:is>
      </ns0:c>
      <ns0:c r="J111" s="12" t="inlineStr"/>
      <ns0:c r="K111" s="12" t="inlineStr">
        <ns0:is>
          <ns0:t>대한민국 외교부 · 독도 주요시설물
https://dokdo.mofa.go.kr/kor/introduce/facility.jsp
대한민국 해양수산부 · 독도의 주소와 위치
https://www.mof.go.kr/doc/ko/selectDoc.do?bbsSeq=27&amp;docSeq=20937&amp;menuSeq=929</ns0:t>
        </ns0:is>
      </ns0:c>
    </ns0:row>
    <ns0:row r="112" ht="98" customHeight="1">
      <ns0:c r="A112" s="10" t="n">
        <ns0:v>920111</ns0:v>
      </ns0:c>
      <ns0:c r="B112" s="10" t="inlineStr">
        <ns0:is>
          <ns0:t>Which facility in the supplied list belongs to Seodo?</ns0:t>
        </ns0:is>
      </ns0:c>
      <ns0:c r="C112" s="10" t="inlineStr">
        <ns0:is>
          <ns0:t>Residents’ accommodation</ns0:t>
        </ns0:is>
      </ns0:c>
      <ns0:c r="D112" s="10" t="inlineStr">
        <ns0:is>
          <ns0:t>Dokdo Lighthouse</ns0:t>
        </ns0:is>
      </ns0:c>
      <ns0:c r="E112" s="10" t="inlineStr">
        <ns0:is>
          <ns0:t>Dokdo guard facility</ns0:t>
        </ns0:is>
      </ns0:c>
      <ns0:c r="F112" s="10" t="inlineStr"/>
      <ns0:c r="G112" s="10" t="n">
        <ns0:v>1</ns0:v>
      </ns0:c>
      <ns0:c r="H112" s="10" t="inlineStr">
        <ns0:is>
          <ns0:t>The list places the accommodation on Seodo.</ns0:t>
        </ns0:is>
      </ns0:c>
      <ns0:c r="I112" s="10" t="inlineStr">
        <ns0:is>
          <ns0:t>Dokdo’s residents’ accommodation is on Seodo.</ns0:t>
        </ns0:is>
      </ns0:c>
      <ns0:c r="J112" s="10" t="inlineStr">
        <ns0:is>
          <ns0:t>Dongdo: Dokdo Lighthouse and guard facilities.
Seodo: residents’ accommodation.</ns0:t>
        </ns0:is>
      </ns0:c>
      <ns0:c r="K112" s="10" t="inlineStr">
        <ns0:is>
          <ns0:t>대한민국 외교부 · 독도 주요시설물
https://dokdo.mofa.go.kr/kor/introduce/facility.jsp
대한민국 해양수산부 · 독도의 주소와 위치
https://www.mof.go.kr/doc/ko/selectDoc.do?bbsSeq=27&amp;docSeq=20937&amp;menuSeq=929</ns0:t>
        </ns0:is>
      </ns0:c>
    </ns0:row>
    <ns0:row r="113" ht="98" customHeight="1">
      <ns0:c r="A113" s="12" t="n">
        <ns0:v>920112</ns0:v>
      </ns0:c>
      <ns0:c r="B113" s="12" t="inlineStr">
        <ns0:is>
          <ns0:t>Which fact corrects the claim that all living facilities on Dokdo are on Dongdo?</ns0:t>
        </ns0:is>
      </ns0:c>
      <ns0:c r="C113" s="12" t="inlineStr">
        <ns0:is>
          <ns0:t>The lighthouse is on Dongdo</ns0:t>
        </ns0:is>
      </ns0:c>
      <ns0:c r="D113" s="12" t="inlineStr">
        <ns0:is>
          <ns0:t>The residents’ accommodation is on Seodo</ns0:t>
        </ns0:is>
      </ns0:c>
      <ns0:c r="E113" s="12" t="inlineStr">
        <ns0:is>
          <ns0:t>The dock is on Dongdo</ns0:t>
        </ns0:is>
      </ns0:c>
      <ns0:c r="F113" s="12" t="inlineStr"/>
      <ns0:c r="G113" s="12" t="n">
        <ns0:v>2</ns0:v>
      </ns0:c>
      <ns0:c r="H113" s="12" t="inlineStr">
        <ns0:is>
          <ns0:t>A residential facility on Seodo directly disproves the “all on Dongdo” claim.</ns0:t>
        </ns0:is>
      </ns0:c>
      <ns0:c r="I113" s="12" t="inlineStr">
        <ns0:is>
          <ns0:t>Dokdo’s residents’ accommodation is on Seodo.</ns0:t>
        </ns0:is>
      </ns0:c>
      <ns0:c r="J113" s="12" t="inlineStr">
        <ns0:is>
          <ns0:t>Facility check: residents’ accommodation — Seodo; lighthouse, guard facilities and main dock — Dongdo.</ns0:t>
        </ns0:is>
      </ns0:c>
      <ns0:c r="K113" s="12" t="inlineStr">
        <ns0:is>
          <ns0:t>대한민국 외교부 · 독도 주요시설물
https://dokdo.mofa.go.kr/kor/introduce/facility.jsp
대한민국 해양수산부 · 독도의 주소와 위치
https://www.mof.go.kr/doc/ko/selectDoc.do?bbsSeq=27&amp;docSeq=20937&amp;menuSeq=929</ns0:t>
        </ns0:is>
      </ns0:c>
    </ns0:row>
    <ns0:row r="114" ht="98" customHeight="1">
      <ns0:c r="A114" s="10" t="n">
        <ns0:v>920113</ns0:v>
      </ns0:c>
      <ns0:c r="B114" s="10" t="inlineStr">
        <ns0:is>
          <ns0:t>Which equipment converts seawater for use on Dokdo?</ns0:t>
        </ns0:is>
      </ns0:c>
      <ns0:c r="C114" s="10" t="inlineStr">
        <ns0:is>
          <ns0:t>Lighthouse</ns0:t>
        </ns0:is>
      </ns0:c>
      <ns0:c r="D114" s="10" t="inlineStr">
        <ns0:is>
          <ns0:t>Dock</ns0:t>
        </ns0:is>
      </ns0:c>
      <ns0:c r="E114" s="10" t="inlineStr">
        <ns0:is>
          <ns0:t>Desalination equipment</ns0:t>
        </ns0:is>
      </ns0:c>
      <ns0:c r="F114" s="10" t="inlineStr"/>
      <ns0:c r="G114" s="10" t="n">
        <ns0:v>3</ns0:v>
      </ns0:c>
      <ns0:c r="H114" s="10" t="inlineStr">
        <ns0:is>
          <ns0:t>Desalination removes salt from seawater.</ns0:t>
        </ns0:is>
      </ns0:c>
      <ns0:c r="I114" s="10" t="inlineStr">
        <ns0:is>
          <ns0:t>Desalination equipment removes salt from seawater to provide usable fresh water.</ns0:t>
        </ns0:is>
      </ns0:c>
      <ns0:c r="J114" s="10" t="inlineStr"/>
      <ns0:c r="K114" s="10" t="inlineStr">
        <ns0:is>
          <ns0:t>대한민국 외교부 · 독도 주요시설물
https://dokdo.mofa.go.kr/kor/introduce/facility.jsp
대한민국 한국해양과학기술원 · 독도 지형 및 지질
https://www.dokdo.re.kr/home/cms/cmsCont.do?cntnts_sn=66</ns0:t>
        </ns0:is>
      </ns0:c>
    </ns0:row>
    <ns0:row r="115" ht="98" customHeight="1">
      <ns0:c r="A115" s="12" t="n">
        <ns0:v>920114</ns0:v>
      </ns0:c>
      <ns0:c r="B115" s="12" t="inlineStr">
        <ns0:is>
          <ns0:t>What substance is chiefly removed when seawater is desalinated?</ns0:t>
        </ns0:is>
      </ns0:c>
      <ns0:c r="C115" s="12" t="inlineStr">
        <ns0:is>
          <ns0:t>Salt</ns0:t>
        </ns0:is>
      </ns0:c>
      <ns0:c r="D115" s="12" t="inlineStr">
        <ns0:is>
          <ns0:t>The water itself</ns0:t>
        </ns0:is>
      </ns0:c>
      <ns0:c r="E115" s="12" t="inlineStr">
        <ns0:is>
          <ns0:t>Only sand</ns0:t>
        </ns0:is>
      </ns0:c>
      <ns0:c r="F115" s="12" t="inlineStr"/>
      <ns0:c r="G115" s="12" t="n">
        <ns0:v>1</ns0:v>
      </ns0:c>
      <ns0:c r="H115" s="12" t="inlineStr">
        <ns0:is>
          <ns0:t>Dissolved salt is removed to obtain usable fresh water.</ns0:t>
        </ns0:is>
      </ns0:c>
      <ns0:c r="I115" s="12" t="inlineStr">
        <ns0:is>
          <ns0:t>Desalination equipment removes salt from seawater to provide usable fresh water.</ns0:t>
        </ns0:is>
      </ns0:c>
      <ns0:c r="J115" s="12" t="inlineStr"/>
      <ns0:c r="K115" s="12" t="inlineStr">
        <ns0:is>
          <ns0:t>대한민국 외교부 · 독도 주요시설물
https://dokdo.mofa.go.kr/kor/introduce/facility.jsp
대한민국 한국해양과학기술원 · 독도 지형 및 지질
https://www.dokdo.re.kr/home/cms/cmsCont.do?cntnts_sn=66</ns0:t>
        </ns0:is>
      </ns0:c>
    </ns0:row>
    <ns0:row r="116" ht="98" customHeight="1">
      <ns0:c r="A116" s="10" t="n">
        <ns0:v>920115</ns0:v>
      </ns0:c>
      <ns0:c r="B116" s="10" t="inlineStr">
        <ns0:is>
          <ns0:t>Which pair distinguishes a natural water source and treatment equipment on Dokdo?</ns0:t>
        </ns0:is>
      </ns0:c>
      <ns0:c r="C116" s="10" t="inlineStr">
        <ns0:is>
          <ns0:t>Desalination equipment — Mulgol</ns0:t>
        </ns0:is>
      </ns0:c>
      <ns0:c r="D116" s="10" t="inlineStr">
        <ns0:is>
          <ns0:t>Mulgol — desalination equipment</ns0:t>
        </ns0:is>
      </ns0:c>
      <ns0:c r="E116" s="10" t="inlineStr">
        <ns0:is>
          <ns0:t>Lighthouse — dock</ns0:t>
        </ns0:is>
      </ns0:c>
      <ns0:c r="F116" s="10" t="inlineStr"/>
      <ns0:c r="G116" s="10" t="n">
        <ns0:v>2</ns0:v>
      </ns0:c>
      <ns0:c r="H116" s="10" t="inlineStr">
        <ns0:is>
          <ns0:t>Mulgol supplies naturally dripping water; desalination processes seawater.</ns0:t>
        </ns0:is>
      </ns0:c>
      <ns0:c r="I116" s="10" t="inlineStr">
        <ns0:is>
          <ns0:t>Desalination equipment removes salt from seawater to provide usable fresh water.</ns0:t>
        </ns0:is>
      </ns0:c>
      <ns0:c r="J116" s="10" t="inlineStr">
        <ns0:is>
          <ns0:t>Mulgol: a historical source of dripping rock water on Seodo.
Desalination: equipment removing salt from seawater.</ns0:t>
        </ns0:is>
      </ns0:c>
      <ns0:c r="K116" s="10" t="inlineStr">
        <ns0:is>
          <ns0:t>대한민국 외교부 · 독도 주요시설물
https://dokdo.mofa.go.kr/kor/introduce/facility.jsp
대한민국 한국해양과학기술원 · 독도 지형 및 지질
https://www.dokdo.re.kr/home/cms/cmsCont.do?cntnts_sn=66</ns0:t>
        </ns0:is>
      </ns0:c>
    </ns0:row>
    <ns0:row r="117" ht="98" customHeight="1">
      <ns0:c r="A117" s="12" t="n">
        <ns0:v>920116</ns0:v>
      </ns0:c>
      <ns0:c r="B117" s="12" t="inlineStr">
        <ns0:is>
          <ns0:t>Does filtering only sand from seawater produce fresh water for use on Dokdo?</ns0:t>
        </ns0:is>
      </ns0:c>
      <ns0:c r="C117" s="12" t="inlineStr">
        <ns0:is>
          <ns0:t>Yes; clear-looking water has lost all salt</ns0:t>
        </ns0:is>
      </ns0:c>
      <ns0:c r="D117" s="12" t="inlineStr">
        <ns0:is>
          <ns0:t>Yes; simply cooling it makes all the water fresh</ns0:t>
        </ns0:is>
      </ns0:c>
      <ns0:c r="E117" s="12" t="inlineStr">
        <ns0:is>
          <ns0:t>No; dissolved salt must also be removed</ns0:t>
        </ns0:is>
      </ns0:c>
      <ns0:c r="F117" s="12" t="inlineStr"/>
      <ns0:c r="G117" s="12" t="n">
        <ns0:v>3</ns0:v>
      </ns0:c>
      <ns0:c r="H117" s="12" t="inlineStr">
        <ns0:is>
          <ns0:t>Visible sand and dissolved salt differ; removing sand alone is not desalination.</ns0:t>
        </ns0:is>
      </ns0:c>
      <ns0:c r="I117" s="12" t="inlineStr">
        <ns0:is>
          <ns0:t>Desalination equipment removes salt from seawater to provide usable fresh water.</ns0:t>
        </ns0:is>
      </ns0:c>
      <ns0:c r="J117" s="12" t="inlineStr">
        <ns0:is>
          <ns0:t>Desalination on Dokdo removes salt to produce usable water. Sand consists of particles; salt can be dissolved in the water.</ns0:t>
        </ns0:is>
      </ns0:c>
      <ns0:c r="K117" s="12" t="inlineStr">
        <ns0:is>
          <ns0:t>대한민국 외교부 · 독도 주요시설물
https://dokdo.mofa.go.kr/kor/introduce/facility.jsp
대한민국 한국해양과학기술원 · 독도 지형 및 지질
https://www.dokdo.re.kr/home/cms/cmsCont.do?cntnts_sn=66</ns0:t>
        </ns0:is>
      </ns0:c>
    </ns0:row>
    <ns0:row r="118" ht="98" customHeight="1">
      <ns0:c r="A118" s="10" t="n">
        <ns0:v>920117</ns0:v>
      </ns0:c>
      <ns0:c r="B118" s="10" t="inlineStr">
        <ns0:is>
          <ns0:t>What route do people use to walk uphill from Dongdo’s dock?</ns0:t>
        </ns0:is>
      </ns0:c>
      <ns0:c r="C118" s="10" t="inlineStr">
        <ns0:is>
          <ns0:t>Steps and paths</ns0:t>
        </ns0:is>
      </ns0:c>
      <ns0:c r="D118" s="10" t="inlineStr">
        <ns0:is>
          <ns0:t>Cargo cableway</ns0:t>
        </ns0:is>
      </ns0:c>
      <ns0:c r="E118" s="10" t="inlineStr">
        <ns0:is>
          <ns0:t>Vessel route</ns0:t>
        </ns0:is>
      </ns0:c>
      <ns0:c r="F118" s="10" t="inlineStr"/>
      <ns0:c r="G118" s="10" t="n">
        <ns0:v>1</ns0:v>
      </ns0:c>
      <ns0:c r="H118" s="10" t="inlineStr">
        <ns0:is>
          <ns0:t>Steps and paths lead uphill from Dongdo’s dock.</ns0:t>
        </ns0:is>
      </ns0:c>
      <ns0:c r="I118" s="10" t="inlineStr">
        <ns0:is>
          <ns0:t>Dongdo’s dock and upper facilities are distinct locations linked by routes and transport equipment.</ns0:t>
        </ns0:is>
      </ns0:c>
      <ns0:c r="J118" s="10" t="inlineStr"/>
      <ns0:c r="K118" s="10" t="inlineStr">
        <ns0:is>
          <ns0:t>대한민국 외교부 · 독도 주요시설물
https://dokdo.mofa.go.kr/kor/introduce/facility.jsp
대한민국 전북교육청 · 독도 사진 자료
https://www.jbe.go.kr/dokdo/assets/sub/picture.html</ns0:t>
        </ns0:is>
      </ns0:c>
    </ns0:row>
    <ns0:row r="119" ht="98" customHeight="1">
      <ns0:c r="A119" s="12" t="n">
        <ns0:v>920118</ns0:v>
      </ns0:c>
      <ns0:c r="B119" s="12" t="inlineStr">
        <ns0:is>
          <ns0:t>Which places do steps on Dongdo’s slope connect with the dock?</ns0:t>
        </ns0:is>
      </ns0:c>
      <ns0:c r="C119" s="12" t="inlineStr">
        <ns0:is>
          <ns0:t>Seodo’s residents’ accommodation</ns0:t>
        </ns0:is>
      </ns0:c>
      <ns0:c r="D119" s="12" t="inlineStr">
        <ns0:is>
          <ns0:t>Facilities higher on the island</ns0:t>
        </ns0:is>
      </ns0:c>
      <ns0:c r="E119" s="12" t="inlineStr">
        <ns0:is>
          <ns0:t>A harbour on Ulleungdo</ns0:t>
        </ns0:is>
      </ns0:c>
      <ns0:c r="F119" s="12" t="inlineStr"/>
      <ns0:c r="G119" s="12" t="n">
        <ns0:v>2</ns0:v>
      </ns0:c>
      <ns0:c r="H119" s="12" t="inlineStr">
        <ns0:is>
          <ns0:t>Dongdo’s relief requires an uphill route from the dock to upper facilities.</ns0:t>
        </ns0:is>
      </ns0:c>
      <ns0:c r="I119" s="12" t="inlineStr">
        <ns0:is>
          <ns0:t>Dongdo’s dock and upper facilities are distinct locations linked by routes and transport equipment.</ns0:t>
        </ns0:is>
      </ns0:c>
      <ns0:c r="J119" s="12" t="inlineStr"/>
      <ns0:c r="K119" s="12" t="inlineStr">
        <ns0:is>
          <ns0:t>대한민국 외교부 · 독도 주요시설물
https://dokdo.mofa.go.kr/kor/introduce/facility.jsp
대한민국 전북교육청 · 독도 사진 자료
https://www.jbe.go.kr/dokdo/assets/sub/picture.html</ns0:t>
        </ns0:is>
      </ns0:c>
    </ns0:row>
    <ns0:row r="120" ht="98" customHeight="1">
      <ns0:c r="A120" s="10" t="n">
        <ns0:v>920119</ns0:v>
      </ns0:c>
      <ns0:c r="B120" s="10" t="inlineStr">
        <ns0:is>
          <ns0:t>Which facility is listed between Dongdo’s dock and guard facilities?</ns0:t>
        </ns0:is>
      </ns0:c>
      <ns0:c r="C120" s="10" t="inlineStr">
        <ns0:is>
          <ns0:t>A railway</ns0:t>
        </ns0:is>
      </ns0:c>
      <ns0:c r="D120" s="10" t="inlineStr">
        <ns0:is>
          <ns0:t>A bridge to Seodo</ns0:t>
        </ns0:is>
      </ns0:c>
      <ns0:c r="E120" s="10" t="inlineStr">
        <ns0:is>
          <ns0:t>A cable transport system</ns0:t>
        </ns0:is>
      </ns0:c>
      <ns0:c r="F120" s="10" t="inlineStr"/>
      <ns0:c r="G120" s="10" t="n">
        <ns0:v>3</ns0:v>
      </ns0:c>
      <ns0:c r="H120" s="10" t="inlineStr">
        <ns0:is>
          <ns0:t>The facilities account lists a cable system between the dock and guard facilities.</ns0:t>
        </ns0:is>
      </ns0:c>
      <ns0:c r="I120" s="10" t="inlineStr">
        <ns0:is>
          <ns0:t>Dongdo’s dock and upper facilities are distinct locations linked by routes and transport equipment.</ns0:t>
        </ns0:is>
      </ns0:c>
      <ns0:c r="J120" s="10" t="inlineStr">
        <ns0:is>
          <ns0:t>Facility guide: a 300-m cable system links Dongdo’s dock and guard facilities. This does not describe a service open to ordinary tourists.</ns0:t>
        </ns0:is>
      </ns0:c>
      <ns0:c r="K120" s="10" t="inlineStr">
        <ns0:is>
          <ns0:t>대한민국 외교부 · 독도 주요시설물
https://dokdo.mofa.go.kr/kor/introduce/facility.jsp
대한민국 전북교육청 · 독도 사진 자료
https://www.jbe.go.kr/dokdo/assets/sub/picture.html</ns0:t>
        </ns0:is>
      </ns0:c>
    </ns0:row>
    <ns0:row r="121" ht="98" customHeight="1">
      <ns0:c r="A121" s="12" t="n">
        <ns0:v>920120</ns0:v>
      </ns0:c>
      <ns0:c r="B121" s="12" t="inlineStr">
        <ns0:is>
          <ns0:t>What should be measured to find the actual walking distance from Dongdo’s dock to upper facilities?</ns0:t>
        </ns0:is>
      </ns0:c>
      <ns0:c r="C121" s="12" t="inlineStr">
        <ns0:is>
          <ns0:t>Distance along the steps and bends of the path</ns0:t>
        </ns0:is>
      </ns0:c>
      <ns0:c r="D121" s="12" t="inlineStr">
        <ns0:is>
          <ns0:t>Only the straight line between two points in a photo</ns0:t>
        </ns0:is>
      </ns0:c>
      <ns0:c r="E121" s="12" t="inlineStr">
        <ns0:is>
          <ns0:t>Dongdo’s entire coastal perimeter</ns0:t>
        </ns0:is>
      </ns0:c>
      <ns0:c r="F121" s="12" t="inlineStr"/>
      <ns0:c r="G121" s="12" t="n">
        <ns0:v>1</ns0:v>
      </ns0:c>
      <ns0:c r="H121" s="12" t="inlineStr">
        <ns0:is>
          <ns0:t>Walking follows the route, so a straight-line separation is insufficient.</ns0:t>
        </ns0:is>
      </ns0:c>
      <ns0:c r="I121" s="12" t="inlineStr">
        <ns0:is>
          <ns0:t>Dongdo’s dock and upper facilities are distinct locations linked by routes and transport equipment.</ns0:t>
        </ns0:is>
      </ns0:c>
      <ns0:c r="J121" s="12" t="inlineStr">
        <ns0:is>
          <ns0:t>Steps and a winding path lead from Dongdo’s dock to upper facilities. The task is to find walking-route length.</ns0:t>
        </ns0:is>
      </ns0:c>
      <ns0:c r="K121" s="12" t="inlineStr">
        <ns0:is>
          <ns0:t>대한민국 외교부 · 독도 주요시설물
https://dokdo.mofa.go.kr/kor/introduce/facility.jsp
대한민국 전북교육청 · 독도 사진 자료
https://www.jbe.go.kr/dokdo/assets/sub/picture.html</ns0:t>
        </ns0:is>
      </ns0:c>
    </ns0:row>
    <ns0:row r="122" ht="53" customHeight="1">
      <ns0:c r="A122" s="10" t="n">
        <ns0:v>920121</ns0:v>
      </ns0:c>
      <ns0:c r="B122" s="10" t="inlineStr">
        <ns0:is>
          <ns0:t>Which Joseon geographical record describes the islands Usan and Mureung?</ns0:t>
        </ns0:is>
      </ns0:c>
      <ns0:c r="C122" s="10" t="inlineStr">
        <ns0:is>
          <ns0:t>Korean Empire Decree No. 41</ns0:t>
        </ns0:is>
      </ns0:c>
      <ns0:c r="D122" s="10" t="inlineStr">
        <ns0:is>
          <ns0:t>The geographical appendix to the Annals of Sejong</ns0:t>
        </ns0:is>
      </ns0:c>
      <ns0:c r="E122" s="10" t="inlineStr">
        <ns0:is>
          <ns0:t>Japan’s Dajokan directive</ns0:t>
        </ns0:is>
      </ns0:c>
      <ns0:c r="F122" s="10" t="inlineStr"/>
      <ns0:c r="G122" s="10" t="n">
        <ns0:v>2</ns0:v>
      </ns0:c>
      <ns0:c r="H122" s="10" t="inlineStr">
        <ns0:is>
          <ns0:t>This geographical record of Joseon includes the two islands Usan and Mureung.</ns0:t>
        </ns0:is>
      </ns0:c>
      <ns0:c r="I122" s="10" t="inlineStr">
        <ns0:is>
          <ns0:t>ROK Ministry of Foreign Affairs commentary identifies Usan and Mureung in the Sejong geographical record as Dokdo and Ulleungdo.</ns0:t>
        </ns0:is>
      </ns0:c>
      <ns0:c r="J122" s="10" t="inlineStr">
        <ns0:is>
          <ns0:t>A geographical record describes regions, mountains, rivers and islands.
Modern place-name identifications follow the ROK Ministry of Foreign Affairs translation and commentary.</ns0:t>
        </ns0:is>
      </ns0:c>
      <ns0:c r="K122" s="10" t="inlineStr">
        <ns0:is>
          <ns0:t>대한민국 외교부 자료실 · 세종실록 지리지(1454)
https://dokdo.mofa.go.kr/kor/pds/part06_view02.jsp</ns0:t>
        </ns0:is>
      </ns0:c>
    </ns0:row>
    <ns0:row r="123" ht="53" customHeight="1">
      <ns0:c r="A123" s="12" t="n">
        <ns0:v>920122</ns0:v>
      </ns0:c>
      <ns0:c r="B123" s="12" t="inlineStr">
        <ns0:is>
          <ns0:t>Which modern island is identified with “Mureung” in the Sejong geographical record?</ns0:t>
        </ns0:is>
      </ns0:c>
      <ns0:c r="C123" s="12" t="inlineStr">
        <ns0:is>
          <ns0:t>Dokdo</ns0:t>
        </ns0:is>
      </ns0:c>
      <ns0:c r="D123" s="12" t="inlineStr">
        <ns0:is>
          <ns0:t>Jeju Island</ns0:t>
        </ns0:is>
      </ns0:c>
      <ns0:c r="E123" s="12" t="inlineStr">
        <ns0:is>
          <ns0:t>Ulleungdo</ns0:t>
        </ns0:is>
      </ns0:c>
      <ns0:c r="F123" s="12" t="inlineStr"/>
      <ns0:c r="G123" s="12" t="n">
        <ns0:v>3</ns0:v>
      </ns0:c>
      <ns0:c r="H123" s="12" t="inlineStr">
        <ns0:is>
          <ns0:t>The commentary identifies Mureung with Ulleungdo and Usan with Dokdo.</ns0:t>
        </ns0:is>
      </ns0:c>
      <ns0:c r="I123" s="12" t="inlineStr">
        <ns0:is>
          <ns0:t>ROK Ministry of Foreign Affairs commentary identifies Usan and Mureung in the Sejong geographical record as Dokdo and Ulleungdo.</ns0:t>
        </ns0:is>
      </ns0:c>
      <ns0:c r="J123" s="12" t="inlineStr">
        <ns0:is>
          <ns0:t>Modern place-name identifications follow the ROK Ministry of Foreign Affairs translation and commentary.</ns0:t>
        </ns0:is>
      </ns0:c>
      <ns0:c r="K123" s="12" t="inlineStr">
        <ns0:is>
          <ns0:t>대한민국 외교부 자료실 · 세종실록 지리지(1454)
https://dokdo.mofa.go.kr/kor/pds/part06_view02.jsp</ns0:t>
        </ns0:is>
      </ns0:c>
    </ns0:row>
    <ns0:row r="124" ht="68" customHeight="1">
      <ns0:c r="A124" s="10" t="n">
        <ns0:v>920123</ns0:v>
      </ns0:c>
      <ns0:c r="B124" s="10" t="inlineStr">
        <ns0:is>
          <ns0:t>When does the Sejong geographical record say the two islands can be seen?</ns0:t>
        </ns0:is>
      </ns0:c>
      <ns0:c r="C124" s="10" t="inlineStr">
        <ns0:is>
          <ns0:t>In clear weather</ns0:t>
        </ns0:is>
      </ns0:c>
      <ns0:c r="D124" s="10" t="inlineStr">
        <ns0:is>
          <ns0:t>In dense fog</ns0:t>
        </ns0:is>
      </ns0:c>
      <ns0:c r="E124" s="10" t="inlineStr">
        <ns0:is>
          <ns0:t>Every night regardless of conditions</ns0:t>
        </ns0:is>
      </ns0:c>
      <ns0:c r="F124" s="10" t="inlineStr"/>
      <ns0:c r="G124" s="10" t="n">
        <ns0:v>1</ns0:v>
      </ns0:c>
      <ns0:c r="H124" s="10" t="inlineStr">
        <ns0:is>
          <ns0:t>The translated expression refers to clear weather.</ns0:t>
        </ns0:is>
      </ns0:c>
      <ns0:c r="I124" s="10" t="inlineStr">
        <ns0:is>
          <ns0:t>ROK Ministry of Foreign Affairs commentary identifies Usan and Mureung in the Sejong geographical record as Dokdo and Ulleungdo.</ns0:t>
        </ns0:is>
      </ns0:c>
      <ns0:c r="J124" s="10" t="inlineStr">
        <ns0:is>
          <ns0:t>Summary of the translated record: Usan and Mureung are not far apart and can be seen in clear weather. This historical statement does not mean they are visible every day.
Modern place-name identifications follow the ROK Ministry of Foreign Affairs translation and commentary.</ns0:t>
        </ns0:is>
      </ns0:c>
      <ns0:c r="K124" s="10" t="inlineStr">
        <ns0:is>
          <ns0:t>대한민국 외교부 자료실 · 세종실록 지리지(1454)
https://dokdo.mofa.go.kr/kor/pds/part06_view02.jsp</ns0:t>
        </ns0:is>
      </ns0:c>
    </ns0:row>
    <ns0:row r="125" ht="68" customHeight="1">
      <ns0:c r="A125" s="12" t="n">
        <ns0:v>920124</ns0:v>
      </ns0:c>
      <ns0:c r="B125" s="12" t="inlineStr">
        <ns0:is>
          <ns0:t>Using the name key, what is the modern-name pair for “Usan–Mureung”, in that order?</ns0:t>
        </ns0:is>
      </ns0:c>
      <ns0:c r="C125" s="12" t="inlineStr">
        <ns0:is>
          <ns0:t>Ulleungdo–Dokdo</ns0:t>
        </ns0:is>
      </ns0:c>
      <ns0:c r="D125" s="12" t="inlineStr">
        <ns0:is>
          <ns0:t>Dokdo–Ulleungdo</ns0:t>
        </ns0:is>
      </ns0:c>
      <ns0:c r="E125" s="12" t="inlineStr">
        <ns0:is>
          <ns0:t>Dokdo–Jukdo</ns0:t>
        </ns0:is>
      </ns0:c>
      <ns0:c r="F125" s="12" t="inlineStr"/>
      <ns0:c r="G125" s="12" t="n">
        <ns0:v>2</ns0:v>
      </ns0:c>
      <ns0:c r="H125" s="12" t="inlineStr">
        <ns0:is>
          <ns0:t>The key pairs Usan with Dokdo and Mureung with Ulleungdo.</ns0:t>
        </ns0:is>
      </ns0:c>
      <ns0:c r="I125" s="12" t="inlineStr">
        <ns0:is>
          <ns0:t>ROK Ministry of Foreign Affairs commentary identifies Usan and Mureung in the Sejong geographical record as Dokdo and Ulleungdo.</ns0:t>
        </ns0:is>
      </ns0:c>
      <ns0:c r="J125" s="12" t="inlineStr">
        <ns0:is>
          <ns0:t>Historical-name key: Usan → Dokdo; Mureung → Ulleungdo. This summarises ROK MOFA’s commentary on this record, not a rule for every text from every period.
Modern place-name identifications follow the ROK Ministry of Foreign Affairs translation and commentary.</ns0:t>
        </ns0:is>
      </ns0:c>
      <ns0:c r="K125" s="12" t="inlineStr">
        <ns0:is>
          <ns0:t>대한민국 외교부 자료실 · 세종실록 지리지(1454)
https://dokdo.mofa.go.kr/kor/pds/part06_view02.jsp</ns0:t>
        </ns0:is>
      </ns0:c>
    </ns0:row>
    <ns0:row r="126" ht="53" customHeight="1">
      <ns0:c r="A126" s="10" t="n">
        <ns0:v>920125</ns0:v>
      </ns0:c>
      <ns0:c r="B126" s="10" t="inlineStr">
        <ns0:is>
          <ns0:t>Which state produced the geographical appendix to the Annals of Sejong?</ns0:t>
        </ns0:is>
      </ns0:c>
      <ns0:c r="C126" s="10" t="inlineStr">
        <ns0:is>
          <ns0:t>Edo-period Japan</ns0:t>
        </ns0:is>
      </ns0:c>
      <ns0:c r="D126" s="10" t="inlineStr">
        <ns0:is>
          <ns0:t>The Korean Empire</ns0:t>
        </ns0:is>
      </ns0:c>
      <ns0:c r="E126" s="10" t="inlineStr">
        <ns0:is>
          <ns0:t>Joseon</ns0:t>
        </ns0:is>
      </ns0:c>
      <ns0:c r="F126" s="10" t="inlineStr"/>
      <ns0:c r="G126" s="10" t="n">
        <ns0:v>3</ns0:v>
      </ns0:c>
      <ns0:c r="H126" s="10" t="inlineStr">
        <ns0:is>
          <ns0:t>The Annals of Sejong are Joseon records, including the geographical appendix.</ns0:t>
        </ns0:is>
      </ns0:c>
      <ns0:c r="I126" s="10" t="inlineStr">
        <ns0:is>
          <ns0:t>Joseon geographical records provide evidence of how places and islands were understood at the time.</ns0:t>
        </ns0:is>
      </ns0:c>
      <ns0:c r="J126" s="10" t="inlineStr"/>
      <ns0:c r="K126" s="10" t="inlineStr">
        <ns0:is>
          <ns0:t>대한민국 외교부 자료실 · 세종실록 지리지(1454)
https://dokdo.mofa.go.kr/kor/pds/part06_view02.jsp</ns0:t>
        </ns0:is>
      </ns0:c>
    </ns0:row>
    <ns0:row r="127" ht="53" customHeight="1">
      <ns0:c r="A127" s="12" t="n">
        <ns0:v>920126</ns0:v>
      </ns0:c>
      <ns0:c r="B127" s="12" t="inlineStr">
        <ns0:is>
          <ns0:t>What is chiefly described in the geographical appendix to the Annals of Sejong?</ns0:t>
        </ns0:is>
      </ns0:c>
      <ns0:c r="C127" s="12" t="inlineStr">
        <ns0:is>
          <ns0:t>Regions and geographical information</ns0:t>
        </ns0:is>
      </ns0:c>
      <ns0:c r="D127" s="12" t="inlineStr">
        <ns0:is>
          <ns0:t>Only prohibitions on sea voyages</ns0:t>
        </ns0:is>
      </ns0:c>
      <ns0:c r="E127" s="12" t="inlineStr">
        <ns0:is>
          <ns0:t>An administrative reform order from 1900</ns0:t>
        </ns0:is>
      </ns0:c>
      <ns0:c r="F127" s="12" t="inlineStr"/>
      <ns0:c r="G127" s="12" t="n">
        <ns0:v>1</ns0:v>
      </ns0:c>
      <ns0:c r="H127" s="12" t="inlineStr">
        <ns0:is>
          <ns0:t>A geographical record describes places and features such as mountains, rivers and islands.</ns0:t>
        </ns0:is>
      </ns0:c>
      <ns0:c r="I127" s="12" t="inlineStr">
        <ns0:is>
          <ns0:t>Joseon geographical records provide evidence of how places and islands were understood at the time.</ns0:t>
        </ns0:is>
      </ns0:c>
      <ns0:c r="J127" s="12" t="inlineStr"/>
      <ns0:c r="K127" s="12" t="inlineStr">
        <ns0:is>
          <ns0:t>대한민국 외교부 자료실 · 세종실록 지리지(1454)
https://dokdo.mofa.go.kr/kor/pds/part06_view02.jsp</ns0:t>
        </ns0:is>
      </ns0:c>
    </ns0:row>
    <ns0:row r="128" ht="53" customHeight="1">
      <ns0:c r="A128" s="10" t="n">
        <ns0:v>920127</ns0:v>
      </ns0:c>
      <ns0:c r="B128" s="10" t="inlineStr">
        <ns0:is>
          <ns0:t>What can be established from the two-island entry in the Sejong geographical record?</ns0:t>
        </ns0:is>
      </ns0:c>
      <ns0:c r="C128" s="10" t="inlineStr">
        <ns0:is>
          <ns0:t>The 1900 decree was issued at that time</ns0:t>
        </ns0:is>
      </ns0:c>
      <ns0:c r="D128" s="10" t="inlineStr">
        <ns0:is>
          <ns0:t>Usan and Mureung appear in a Joseon geographical record</ns0:t>
        </ns0:is>
      </ns0:c>
      <ns0:c r="E128" s="10" t="inlineStr">
        <ns0:is>
          <ns0:t>All present island buildings already existed then</ns0:t>
        </ns0:is>
      </ns0:c>
      <ns0:c r="F128" s="10" t="inlineStr"/>
      <ns0:c r="G128" s="10" t="n">
        <ns0:v>2</ns0:v>
      </ns0:c>
      <ns0:c r="H128" s="10" t="inlineStr">
        <ns0:is>
          <ns0:t>The presence of the two names is directly supported by the supplied entry.</ns0:t>
        </ns0:is>
      </ns0:c>
      <ns0:c r="I128" s="10" t="inlineStr">
        <ns0:is>
          <ns0:t>Joseon geographical records provide evidence of how places and islands were understood at the time.</ns0:t>
        </ns0:is>
      </ns0:c>
      <ns0:c r="J128" s="10" t="inlineStr">
        <ns0:is>
          <ns0:t>The geographical appendix to the Annals of Sejong describes the location of Usan and Mureung and visibility in clear weather.</ns0:t>
        </ns0:is>
      </ns0:c>
      <ns0:c r="K128" s="10" t="inlineStr">
        <ns0:is>
          <ns0:t>대한민국 외교부 자료실 · 세종실록 지리지(1454)
https://dokdo.mofa.go.kr/kor/pds/part06_view02.jsp</ns0:t>
        </ns0:is>
      </ns0:c>
    </ns0:row>
    <ns0:row r="129" ht="53" customHeight="1">
      <ns0:c r="A129" s="12" t="n">
        <ns0:v>920128</ns0:v>
      </ns0:c>
      <ns0:c r="B129" s="12" t="inlineStr">
        <ns0:is>
          <ns0:t>What information should first identify the Sejong geographical record in a historical account of Dokdo?</ns0:t>
        </ns0:is>
      </ns0:c>
      <ns0:c r="C129" s="12" t="inlineStr">
        <ns0:is>
          <ns0:t>That it was written today because a modern institution publishes it</ns0:t>
        </ns0:is>
      </ns0:c>
      <ns0:c r="D129" s="12" t="inlineStr">
        <ns0:is>
          <ns0:t>That matching names make it identical to a current map</ns0:t>
        </ns0:is>
      </ns0:c>
      <ns0:c r="E129" s="12" t="inlineStr">
        <ns0:is>
          <ns0:t>Its origin as a Joseon geographical record and its date</ns0:t>
        </ns0:is>
      </ns0:c>
      <ns0:c r="F129" s="12" t="inlineStr"/>
      <ns0:c r="G129" s="12" t="n">
        <ns0:v>3</ns0:v>
      </ns0:c>
      <ns0:c r="H129" s="12" t="inlineStr">
        <ns0:is>
          <ns0:t>Identifying origin, date and document type places the evidence in its historical setting.</ns0:t>
        </ns0:is>
      </ns0:c>
      <ns0:c r="I129" s="12" t="inlineStr">
        <ns0:is>
          <ns0:t>Joseon geographical records provide evidence of how places and islands were understood at the time.</ns0:t>
        </ns0:is>
      </ns0:c>
      <ns0:c r="J129" s="12" t="inlineStr">
        <ns0:is>
          <ns0:t>Create a source card: geographical appendix to the Annals of Sejong, a Joseon geographical record presented as compiled in 1454. ROK MOFA now publishes a translation and commentary.</ns0:t>
        </ns0:is>
      </ns0:c>
      <ns0:c r="K129" s="12" t="inlineStr">
        <ns0:is>
          <ns0:t>대한민국 외교부 자료실 · 세종실록 지리지(1454)
https://dokdo.mofa.go.kr/kor/pds/part06_view02.jsp</ns0:t>
        </ns0:is>
      </ns0:c>
    </ns0:row>
    <ns0:row r="130" ht="98" customHeight="1">
      <ns0:c r="A130" s="10" t="n">
        <ns0:v>920129</ns0:v>
      </ns0:c>
      <ns0:c r="B130" s="10" t="inlineStr">
        <ns0:is>
          <ns0:t>Who was taken to Japan with Park Eo-dun from Ulleungdo in 1693?</ns0:t>
        </ns0:is>
      </ns0:c>
      <ns0:c r="C130" s="10" t="inlineStr">
        <ns0:is>
          <ns0:t>An Yong-bok</ns0:t>
        </ns0:is>
      </ns0:c>
      <ns0:c r="D130" s="10" t="inlineStr">
        <ns0:is>
          <ns0:t>Shim Heung-taek</ns0:t>
        </ns0:is>
      </ns0:c>
      <ns0:c r="E130" s="10" t="inlineStr">
        <ns0:is>
          <ns0:t>Isabu</ns0:t>
        </ns0:is>
      </ns0:c>
      <ns0:c r="F130" s="10" t="inlineStr"/>
      <ns0:c r="G130" s="10" t="n">
        <ns0:v>1</ns0:v>
      </ns0:c>
      <ns0:c r="H130" s="10" t="inlineStr">
        <ns0:is>
          <ns0:t>The two Joseon fishermen in the 1693 incident were An Yong-bok and Park Eo-dun.</ns0:t>
        </ns0:is>
      </ns0:c>
      <ns0:c r="I130" s="10" t="inlineStr">
        <ns0:is>
          <ns0:t>In 1693 An Yong-bok and Park Eo-dun were taken to Japan while fishing at Ulleungdo, prompting negotiations concerning the island.</ns0:t>
        </ns0:is>
      </ns0:c>
      <ns0:c r="J130" s="10" t="inlineStr"/>
      <ns0:c r="K130" s="10" t="inlineStr">
        <ns0:is>
          <ns0:t>대한민국 외교부 · 안용복의 활동과 기록
https://dokdo.mofa.go.kr/kor/include/print_faq.jsp?class_faq=q5
대한민국 외교부 · 독도 연표
https://dokdo.mofa.go.kr/m/kor/dokdo/reason_list.jsp</ns0:t>
        </ns0:is>
      </ns0:c>
    </ns0:row>
    <ns0:row r="131" ht="98" customHeight="1">
      <ns0:c r="A131" s="12" t="n">
        <ns0:v>920130</ns0:v>
      </ns0:c>
      <ns0:c r="B131" s="12" t="inlineStr">
        <ns0:is>
          <ns0:t>At which island were An Yong-bok and Park Eo-dun fishing in 1693?</ns0:t>
        </ns0:is>
      </ns0:c>
      <ns0:c r="C131" s="12" t="inlineStr">
        <ns0:is>
          <ns0:t>Jeju Island</ns0:t>
        </ns0:is>
      </ns0:c>
      <ns0:c r="D131" s="12" t="inlineStr">
        <ns0:is>
          <ns0:t>Ulleungdo</ns0:t>
        </ns0:is>
      </ns0:c>
      <ns0:c r="E131" s="12" t="inlineStr">
        <ns0:is>
          <ns0:t>Oki Islands</ns0:t>
        </ns0:is>
      </ns0:c>
      <ns0:c r="F131" s="12" t="inlineStr"/>
      <ns0:c r="G131" s="12" t="n">
        <ns0:v>2</ns0:v>
      </ns0:c>
      <ns0:c r="H131" s="12" t="inlineStr">
        <ns0:is>
          <ns0:t>They were fishing at Ulleungdo when taken to Japan.</ns0:t>
        </ns0:is>
      </ns0:c>
      <ns0:c r="I131" s="12" t="inlineStr">
        <ns0:is>
          <ns0:t>In 1693 An Yong-bok and Park Eo-dun were taken to Japan while fishing at Ulleungdo, prompting negotiations concerning the island.</ns0:t>
        </ns0:is>
      </ns0:c>
      <ns0:c r="J131" s="12" t="inlineStr"/>
      <ns0:c r="K131" s="12" t="inlineStr">
        <ns0:is>
          <ns0:t>대한민국 외교부 · 안용복의 활동과 기록
https://dokdo.mofa.go.kr/kor/include/print_faq.jsp?class_faq=q5
대한민국 외교부 · 독도 연표
https://dokdo.mofa.go.kr/m/kor/dokdo/reason_list.jsp</ns0:t>
        </ns0:is>
      </ns0:c>
    </ns0:row>
    <ns0:row r="132" ht="98" customHeight="1">
      <ns0:c r="A132" s="10" t="n">
        <ns0:v>920131</ns0:v>
      </ns0:c>
      <ns0:c r="B132" s="10" t="inlineStr">
        <ns0:is>
          <ns0:t>Which island became the subject of negotiations following the 1693 fishermen incident?</ns0:t>
        </ns0:is>
      </ns0:c>
      <ns0:c r="C132" s="10" t="inlineStr">
        <ns0:is>
          <ns0:t>Jeju Island</ns0:t>
        </ns0:is>
      </ns0:c>
      <ns0:c r="D132" s="10" t="inlineStr">
        <ns0:is>
          <ns0:t>Tsushima itself</ns0:t>
        </ns0:is>
      </ns0:c>
      <ns0:c r="E132" s="10" t="inlineStr">
        <ns0:is>
          <ns0:t>Ulleungdo</ns0:t>
        </ns0:is>
      </ns0:c>
      <ns0:c r="F132" s="10" t="inlineStr"/>
      <ns0:c r="G132" s="10" t="n">
        <ns0:v>3</ns0:v>
      </ns0:c>
      <ns0:c r="H132" s="10" t="inlineStr">
        <ns0:is>
          <ns0:t>Negotiations followed over Ulleungdo’s status and voyages to it.</ns0:t>
        </ns0:is>
      </ns0:c>
      <ns0:c r="I132" s="10" t="inlineStr">
        <ns0:is>
          <ns0:t>In 1693 An Yong-bok and Park Eo-dun were taken to Japan while fishing at Ulleungdo, prompting negotiations concerning the island.</ns0:t>
        </ns0:is>
      </ns0:c>
      <ns0:c r="J132" s="10" t="inlineStr">
        <ns0:is>
          <ns0:t>In 1693 the fishermen were taken from Ulleungdo to Japan. The incident led to negotiations between Joseon and Japan concerning Ulleungdo.</ns0:t>
        </ns0:is>
      </ns0:c>
      <ns0:c r="K132" s="10" t="inlineStr">
        <ns0:is>
          <ns0:t>대한민국 외교부 · 안용복의 활동과 기록
https://dokdo.mofa.go.kr/kor/include/print_faq.jsp?class_faq=q5
대한민국 외교부 · 독도 연표
https://dokdo.mofa.go.kr/m/kor/dokdo/reason_list.jsp</ns0:t>
        </ns0:is>
      </ns0:c>
    </ns0:row>
    <ns0:row r="133" ht="98" customHeight="1">
      <ns0:c r="A133" s="12" t="n">
        <ns0:v>920132</ns0:v>
      </ns0:c>
      <ns0:c r="B133" s="12" t="inlineStr">
        <ns0:is>
          <ns0:t>Which account distinguishes An Yong-bok’s 1693 incident from his 1696 activity?</ns0:t>
        </ns0:is>
      </ns0:c>
      <ns0:c r="C133" s="12" t="inlineStr">
        <ns0:is>
          <ns0:t>1693: taken to Japan / 1696: travelled there again</ns0:t>
        </ns0:is>
      </ns0:c>
      <ns0:c r="D133" s="12" t="inlineStr">
        <ns0:is>
          <ns0:t>1693: travelled again / 1696: first taken there</ns0:t>
        </ns0:is>
      </ns0:c>
      <ns0:c r="E133" s="12" t="inlineStr">
        <ns0:is>
          <ns0:t>Both records refer only to the first incident in 1693</ns0:t>
        </ns0:is>
      </ns0:c>
      <ns0:c r="F133" s="12" t="inlineStr"/>
      <ns0:c r="G133" s="12" t="n">
        <ns0:v>1</ns0:v>
      </ns0:c>
      <ns0:c r="H133" s="12" t="inlineStr">
        <ns0:is>
          <ns0:t>This distinguishes the circumstances given for the two years.</ns0:t>
        </ns0:is>
      </ns0:c>
      <ns0:c r="I133" s="12" t="inlineStr">
        <ns0:is>
          <ns0:t>In 1693 An Yong-bok and Park Eo-dun were taken to Japan while fishing at Ulleungdo, prompting negotiations concerning the island.</ns0:t>
        </ns0:is>
      </ns0:c>
      <ns0:c r="J133" s="12" t="inlineStr">
        <ns0:is>
          <ns0:t>Timeline: taken from Ulleungdo to Japan in 1693; travelled to Japan again in 1696.</ns0:t>
        </ns0:is>
      </ns0:c>
      <ns0:c r="K133" s="12" t="inlineStr">
        <ns0:is>
          <ns0:t>대한민국 외교부 · 안용복의 활동과 기록
https://dokdo.mofa.go.kr/kor/include/print_faq.jsp?class_faq=q5
대한민국 외교부 · 독도 연표
https://dokdo.mofa.go.kr/m/kor/dokdo/reason_list.jsp</ns0:t>
        </ns0:is>
      </ns0:c>
    </ns0:row>
    <ns0:row r="134" ht="53" customHeight="1">
      <ns0:c r="A134" s="10" t="n">
        <ns0:v>920133</ns0:v>
      </ns0:c>
      <ns0:c r="B134" s="10" t="inlineStr">
        <ns0:is>
          <ns0:t>Which Joseon annals record An Yong-bok’s activity?</ns0:t>
        </ns0:is>
      </ns0:c>
      <ns0:c r="C134" s="10" t="inlineStr">
        <ns0:is>
          <ns0:t>The Annals of Sejong</ns0:t>
        </ns0:is>
      </ns0:c>
      <ns0:c r="D134" s="10" t="inlineStr">
        <ns0:is>
          <ns0:t>The Annals of Sukjong</ns0:t>
        </ns0:is>
      </ns0:c>
      <ns0:c r="E134" s="10" t="inlineStr">
        <ns0:is>
          <ns0:t>The government gazette of 1900</ns0:t>
        </ns0:is>
      </ns0:c>
      <ns0:c r="F134" s="10" t="inlineStr"/>
      <ns0:c r="G134" s="10" t="n">
        <ns0:v>2</ns0:v>
      </ns0:c>
      <ns0:c r="H134" s="10" t="inlineStr">
        <ns0:is>
          <ns0:t>An Yong-bok’s activity and statements appear in the Annals of Sukjong.</ns0:t>
        </ns0:is>
      </ns0:c>
      <ns0:c r="I134" s="10" t="inlineStr">
        <ns0:is>
          <ns0:t>An Yong-bok’s 1696 activity can be studied through both Joseon records and a Japanese inquiry record from Oki.</ns0:t>
        </ns0:is>
      </ns0:c>
      <ns0:c r="J134" s="10" t="inlineStr"/>
      <ns0:c r="K134" s="10" t="inlineStr">
        <ns0:is>
          <ns0:t>대한민국 외교부 · 안용복의 활동과 기록
https://dokdo.mofa.go.kr/kor/include/print_faq.jsp?class_faq=q5</ns0:t>
        </ns0:is>
      </ns0:c>
    </ns0:row>
    <ns0:row r="135" ht="53" customHeight="1">
      <ns0:c r="A135" s="12" t="n">
        <ns0:v>920134</ns0:v>
      </ns0:c>
      <ns0:c r="B135" s="12" t="inlineStr">
        <ns0:is>
          <ns0:t>Which Japanese island group is associated with the 1696 inquiry record of An Yong-bok’s party?</ns0:t>
        </ns0:is>
      </ns0:c>
      <ns0:c r="C135" s="12" t="inlineStr">
        <ns0:is>
          <ns0:t>Jeju Island</ns0:t>
        </ns0:is>
      </ns0:c>
      <ns0:c r="D135" s="12" t="inlineStr">
        <ns0:is>
          <ns0:t>Ulleungdo</ns0:t>
        </ns0:is>
      </ns0:c>
      <ns0:c r="E135" s="12" t="inlineStr">
        <ns0:is>
          <ns0:t>The Oki Islands</ns0:t>
        </ns0:is>
      </ns0:c>
      <ns0:c r="F135" s="12" t="inlineStr"/>
      <ns0:c r="G135" s="12" t="n">
        <ns0:v>3</ns0:v>
      </ns0:c>
      <ns0:c r="H135" s="12" t="inlineStr">
        <ns0:is>
          <ns0:t>ROK MOFA presents an Oki inquiry record as related Japanese evidence.</ns0:t>
        </ns0:is>
      </ns0:c>
      <ns0:c r="I135" s="12" t="inlineStr">
        <ns0:is>
          <ns0:t>An Yong-bok’s 1696 activity can be studied through both Joseon records and a Japanese inquiry record from Oki.</ns0:t>
        </ns0:is>
      </ns0:c>
      <ns0:c r="J135" s="12" t="inlineStr"/>
      <ns0:c r="K135" s="12" t="inlineStr">
        <ns0:is>
          <ns0:t>대한민국 외교부 · 안용복의 활동과 기록
https://dokdo.mofa.go.kr/kor/include/print_faq.jsp?class_faq=q5</ns0:t>
        </ns0:is>
      </ns0:c>
    </ns0:row>
    <ns0:row r="136" ht="53" customHeight="1">
      <ns0:c r="A136" s="10" t="n">
        <ns0:v>920135</ns0:v>
      </ns0:c>
      <ns0:c r="B136" s="10" t="inlineStr">
        <ns0:is>
          <ns0:t>Which pair provides Joseon and Japanese records for comparing An Yong-bok’s 1696 activity?</ns0:t>
        </ns0:is>
      </ns0:c>
      <ns0:c r="C136" s="10" t="inlineStr">
        <ns0:is>
          <ns0:t>The Annals of Sukjong and the 1696 Oki inquiry record</ns0:t>
        </ns0:is>
      </ns0:c>
      <ns0:c r="D136" s="10" t="inlineStr">
        <ns0:is>
          <ns0:t>The 1900 decree and 1906 Directive No. 3</ns0:t>
        </ns0:is>
      </ns0:c>
      <ns0:c r="E136" s="10" t="inlineStr">
        <ns0:is>
          <ns0:t>The Sejong geographical record and the 1877 Dajokan directive</ns0:t>
        </ns0:is>
      </ns0:c>
      <ns0:c r="F136" s="10" t="inlineStr"/>
      <ns0:c r="G136" s="10" t="n">
        <ns0:v>1</ns0:v>
      </ns0:c>
      <ns0:c r="H136" s="10" t="inlineStr">
        <ns0:is>
          <ns0:t>The pair supplies Joseon and Japanese records of the relevant activity.</ns0:t>
        </ns0:is>
      </ns0:c>
      <ns0:c r="I136" s="10" t="inlineStr">
        <ns0:is>
          <ns0:t>An Yong-bok’s 1696 activity can be studied through both Joseon records and a Japanese inquiry record from Oki.</ns0:t>
        </ns0:is>
      </ns0:c>
      <ns0:c r="J136" s="10" t="inlineStr">
        <ns0:is>
          <ns0:t>Related records: An Yong-bok’s statements in the Joseon Annals of Sukjong; a Japanese Oki inquiry record concerning his party in 1696.</ns0:t>
        </ns0:is>
      </ns0:c>
      <ns0:c r="K136" s="10" t="inlineStr">
        <ns0:is>
          <ns0:t>대한민국 외교부 · 안용복의 활동과 기록
https://dokdo.mofa.go.kr/kor/include/print_faq.jsp?class_faq=q5</ns0:t>
        </ns0:is>
      </ns0:c>
    </ns0:row>
    <ns0:row r="137" ht="53" customHeight="1">
      <ns0:c r="A137" s="12" t="n">
        <ns0:v>920136</ns0:v>
      </ns0:c>
      <ns0:c r="B137" s="12" t="inlineStr">
        <ns0:is>
          <ns0:t>What should first be matched when comparing the same event in two records of An Yong-bok?</ns0:t>
        </ns0:is>
      </ns0:c>
      <ns0:c r="C137" s="12" t="inlineStr">
        <ns0:is>
          <ns0:t>Match only the person and ignore the year</ns0:t>
        </ns0:is>
      </ns0:c>
      <ns0:c r="D137" s="12" t="inlineStr">
        <ns0:is>
          <ns0:t>People, time and places visited</ns0:t>
        </ns0:is>
      </ns0:c>
      <ns0:c r="E137" s="12" t="inlineStr">
        <ns0:is>
          <ns0:t>Match only the destination and ignore person and date</ns0:t>
        </ns0:is>
      </ns0:c>
      <ns0:c r="F137" s="12" t="inlineStr"/>
      <ns0:c r="G137" s="12" t="n">
        <ns0:v>2</ns0:v>
      </ns0:c>
      <ns0:c r="H137" s="12" t="inlineStr">
        <ns0:is>
          <ns0:t>First establish whether the sources concern the same activity.</ns0:t>
        </ns0:is>
      </ns0:c>
      <ns0:c r="I137" s="12" t="inlineStr">
        <ns0:is>
          <ns0:t>An Yong-bok’s 1696 activity can be studied through both Joseon records and a Japanese inquiry record from Oki.</ns0:t>
        </ns0:is>
      </ns0:c>
      <ns0:c r="J137" s="12" t="inlineStr">
        <ns0:is>
          <ns0:t>An Yong-bok went to Japan in different circumstances in 1693 and 1696. The comparison concerns Joseon and Japanese records of the 1696 activity.</ns0:t>
        </ns0:is>
      </ns0:c>
      <ns0:c r="K137" s="12" t="inlineStr">
        <ns0:is>
          <ns0:t>대한민국 외교부 · 안용복의 활동과 기록
https://dokdo.mofa.go.kr/kor/include/print_faq.jsp?class_faq=q5</ns0:t>
        </ns0:is>
      </ns0:c>
    </ns0:row>
    <ns0:row r="138" ht="98" customHeight="1">
      <ns0:c r="A138" s="10" t="n">
        <ns0:v>920137</ns0:v>
      </ns0:c>
      <ns0:c r="B138" s="10" t="inlineStr">
        <ns0:is>
          <ns0:t>In which month of 1696 was the Edo shogunate’s Ulleungdo voyage prohibition issued?</ns0:t>
        </ns0:is>
      </ns0:c>
      <ns0:c r="C138" s="10" t="inlineStr">
        <ns0:is>
          <ns0:t>May</ns0:t>
        </ns0:is>
      </ns0:c>
      <ns0:c r="D138" s="10" t="inlineStr">
        <ns0:is>
          <ns0:t>October</ns0:t>
        </ns0:is>
      </ns0:c>
      <ns0:c r="E138" s="10" t="inlineStr">
        <ns0:is>
          <ns0:t>January</ns0:t>
        </ns0:is>
      </ns0:c>
      <ns0:c r="F138" s="10" t="inlineStr"/>
      <ns0:c r="G138" s="10" t="n">
        <ns0:v>3</ns0:v>
      </ns0:c>
      <ns0:c r="H138" s="10" t="inlineStr">
        <ns0:is>
          <ns0:t>The timeline places the prohibition in January 1696.</ns0:t>
        </ns0:is>
      </ns0:c>
      <ns0:c r="I138" s="10" t="inlineStr">
        <ns0:is>
          <ns0:t>The January 1696 Ulleungdo voyage prohibition preceded An Yong-bok’s May journey to Japan.</ns0:t>
        </ns0:is>
      </ns0:c>
      <ns0:c r="J138" s="10" t="inlineStr">
        <ns0:is>
          <ns0:t>Event order: prohibition in January 1696 → An Yong-bok’s journey in May.</ns0:t>
        </ns0:is>
      </ns0:c>
      <ns0:c r="K138" s="10" t="inlineStr">
        <ns0:is>
          <ns0:t>대한민국 외교부 · 독도 연표
https://dokdo.mofa.go.kr/m/kor/dokdo/reason_list.jsp
대한민국 외교부 · 울릉도 도해금지령(1696)
https://dokdo.mofa.go.kr/kor/pds/part05_view06.jsp</ns0:t>
        </ns0:is>
      </ns0:c>
    </ns0:row>
    <ns0:row r="139" ht="98" customHeight="1">
      <ns0:c r="A139" s="12" t="n">
        <ns0:v>920138</ns0:v>
      </ns0:c>
      <ns0:c r="B139" s="12" t="inlineStr">
        <ns0:is>
          <ns0:t>Which event happened first in 1696?</ns0:t>
        </ns0:is>
      </ns0:c>
      <ns0:c r="C139" s="12" t="inlineStr">
        <ns0:is>
          <ns0:t>The Ulleungdo voyage prohibition</ns0:t>
        </ns0:is>
      </ns0:c>
      <ns0:c r="D139" s="12" t="inlineStr">
        <ns0:is>
          <ns0:t>An Yong-bok’s May journey</ns0:t>
        </ns0:is>
      </ns0:c>
      <ns0:c r="E139" s="12" t="inlineStr"/>
      <ns0:c r="F139" s="12" t="inlineStr"/>
      <ns0:c r="G139" s="12" t="n">
        <ns0:v>1</ns0:v>
      </ns0:c>
      <ns0:c r="H139" s="12" t="inlineStr">
        <ns0:is>
          <ns0:t>The January prohibition preceded the May journey.</ns0:t>
        </ns0:is>
      </ns0:c>
      <ns0:c r="I139" s="12" t="inlineStr">
        <ns0:is>
          <ns0:t>The January 1696 Ulleungdo voyage prohibition preceded An Yong-bok’s May journey to Japan.</ns0:t>
        </ns0:is>
      </ns0:c>
      <ns0:c r="J139" s="12" t="inlineStr">
        <ns0:is>
          <ns0:t>January 1696: Ulleungdo voyage prohibition; May 1696: An Yong-bok travelled to Japan.</ns0:t>
        </ns0:is>
      </ns0:c>
      <ns0:c r="K139" s="12" t="inlineStr">
        <ns0:is>
          <ns0:t>대한민국 외교부 · 독도 연표
https://dokdo.mofa.go.kr/m/kor/dokdo/reason_list.jsp
대한민국 외교부 · 울릉도 도해금지령(1696)
https://dokdo.mofa.go.kr/kor/pds/part05_view06.jsp</ns0:t>
        </ns0:is>
      </ns0:c>
    </ns0:row>
    <ns0:row r="140" ht="98" customHeight="1">
      <ns0:c r="A140" s="10" t="n">
        <ns0:v>920139</ns0:v>
      </ns0:c>
      <ns0:c r="B140" s="10" t="inlineStr">
        <ns0:is>
          <ns0:t>Which event in the timeline precedes An Yong-bok’s May journey?</ns0:t>
        </ns0:is>
      </ns0:c>
      <ns0:c r="C140" s="10" t="inlineStr">
        <ns0:is>
          <ns0:t>The Edo shogunate’s January prohibition</ns0:t>
        </ns0:is>
      </ns0:c>
      <ns0:c r="D140" s="10" t="inlineStr">
        <ns0:is>
          <ns0:t>Korean Empire Decree No. 41 in 1900</ns0:t>
        </ns0:is>
      </ns0:c>
      <ns0:c r="E140" s="10" t="inlineStr">
        <ns0:is>
          <ns0:t>Shim Heung-taek’s report in 1906</ns0:t>
        </ns0:is>
      </ns0:c>
      <ns0:c r="F140" s="10" t="inlineStr"/>
      <ns0:c r="G140" s="10" t="n">
        <ns0:v>1</ns0:v>
      </ns0:c>
      <ns0:c r="H140" s="10" t="inlineStr">
        <ns0:is>
          <ns0:t>Within the same year, January precedes May.</ns0:t>
        </ns0:is>
      </ns0:c>
      <ns0:c r="I140" s="10" t="inlineStr">
        <ns0:is>
          <ns0:t>The January 1696 Ulleungdo voyage prohibition preceded An Yong-bok’s May journey to Japan.</ns0:t>
        </ns0:is>
      </ns0:c>
      <ns0:c r="J140" s="10" t="inlineStr">
        <ns0:is>
          <ns0:t>Timeline: January 1696 prohibition → May 1696 An’s journey → Decree No. 41 in 1900 → Shim’s report in 1906.</ns0:t>
        </ns0:is>
      </ns0:c>
      <ns0:c r="K140" s="10" t="inlineStr">
        <ns0:is>
          <ns0:t>대한민국 외교부 · 독도 연표
https://dokdo.mofa.go.kr/m/kor/dokdo/reason_list.jsp
대한민국 외교부 · 울릉도 도해금지령(1696)
https://dokdo.mofa.go.kr/kor/pds/part05_view06.jsp</ns0:t>
        </ns0:is>
      </ns0:c>
    </ns0:row>
    <ns0:row r="141" ht="98" customHeight="1">
      <ns0:c r="A141" s="12" t="n">
        <ns0:v>920140</ns0:v>
      </ns0:c>
      <ns0:c r="B141" s="12" t="inlineStr">
        <ns0:is>
          <ns0:t>Why is it wrong to say the May 1696 journey caused the prohibition issued that January?</ns0:t>
        </ns0:is>
      </ns0:c>
      <ns0:c r="C141" s="12" t="inlineStr">
        <ns0:is>
          <ns0:t>Both events occurred on the same day</ns0:t>
        </ns0:is>
      </ns0:c>
      <ns0:c r="D141" s="12" t="inlineStr">
        <ns0:is>
          <ns0:t>The proposed cause occurred after the prohibition</ns0:t>
        </ns0:is>
      </ns0:c>
      <ns0:c r="E141" s="12" t="inlineStr">
        <ns0:is>
          <ns0:t>The prohibition was issued in 1900</ns0:t>
        </ns0:is>
      </ns0:c>
      <ns0:c r="F141" s="12" t="inlineStr"/>
      <ns0:c r="G141" s="12" t="n">
        <ns0:v>2</ns0:v>
      </ns0:c>
      <ns0:c r="H141" s="12" t="inlineStr">
        <ns0:is>
          <ns0:t>In this timeline a later May event cannot have caused the earlier January order.</ns0:t>
        </ns0:is>
      </ns0:c>
      <ns0:c r="I141" s="12" t="inlineStr">
        <ns0:is>
          <ns0:t>The January 1696 Ulleungdo voyage prohibition preceded An Yong-bok’s May journey to Japan.</ns0:t>
        </ns0:is>
      </ns0:c>
      <ns0:c r="J141" s="12" t="inlineStr">
        <ns0:is>
          <ns0:t>January 1696: the Edo shogunate prohibited voyages to Ulleungdo.
May 1696: An Yong-bok travelled to Japan.</ns0:t>
        </ns0:is>
      </ns0:c>
      <ns0:c r="K141" s="12" t="inlineStr">
        <ns0:is>
          <ns0:t>대한민국 외교부 · 독도 연표
https://dokdo.mofa.go.kr/m/kor/dokdo/reason_list.jsp
대한민국 외교부 · 울릉도 도해금지령(1696)
https://dokdo.mofa.go.kr/kor/pds/part05_view06.jsp</ns0:t>
        </ns0:is>
      </ns0:c>
    </ns0:row>
    <ns0:row r="142" ht="53" customHeight="1">
      <ns0:c r="A142" s="10" t="n">
        <ns0:v>920141</ns0:v>
      </ns0:c>
      <ns0:c r="B142" s="10" t="inlineStr">
        <ns0:is>
          <ns0:t>Which 1900 order renamed Ulleungdo as Uldo?</ns0:t>
        </ns0:is>
      </ns0:c>
      <ns0:c r="C142" s="10" t="inlineStr">
        <ns0:is>
          <ns0:t>Korean Empire Decree No. 41</ns0:t>
        </ns0:is>
      </ns0:c>
      <ns0:c r="D142" s="10" t="inlineStr">
        <ns0:is>
          <ns0:t>The Ulleungdo voyage prohibition</ns0:t>
        </ns0:is>
      </ns0:c>
      <ns0:c r="E142" s="10" t="inlineStr">
        <ns0:is>
          <ns0:t>The Dajokan directive</ns0:t>
        </ns0:is>
      </ns0:c>
      <ns0:c r="F142" s="10" t="inlineStr">
        <ns0:is>
          <ns0:t>Directive No. 3</ns0:t>
        </ns0:is>
      </ns0:c>
      <ns0:c r="G142" s="10" t="n">
        <ns0:v>1</ns0:v>
      </ns0:c>
      <ns0:c r="H142" s="10" t="inlineStr">
        <ns0:is>
          <ns0:t>Article 1 of Decree No. 41 records the changes of name and administrative office.</ns0:t>
        </ns0:is>
      </ns0:c>
      <ns0:c r="I142" s="10" t="inlineStr">
        <ns0:is>
          <ns0:t>Korean Empire Decree No. 41 of 1900 renamed Ulleungdo as Uldo and reorganised its administration.</ns0:t>
        </ns0:is>
      </ns0:c>
      <ns0:c r="J142" s="10" t="inlineStr">
        <ns0:is>
          <ns0:t>A decree is an order issued by the emperor. Korean Empire Decree No. 41 dates to 1900.</ns0:t>
        </ns0:is>
      </ns0:c>
      <ns0:c r="K142" s="10" t="inlineStr">
        <ns0:is>
          <ns0:t>대한민국 외교부 자료실 · 대한제국 칙령 제41호
https://dokdo.mofa.go.kr/kor/pds/part02_view02.jsp</ns0:t>
        </ns0:is>
      </ns0:c>
    </ns0:row>
    <ns0:row r="143" ht="53" customHeight="1">
      <ns0:c r="A143" s="12" t="n">
        <ns0:v>920142</ns0:v>
      </ns0:c>
      <ns0:c r="B143" s="12" t="inlineStr">
        <ns0:is>
          <ns0:t>What administrative name replaced Ulleungdo under Decree No. 41?</ns0:t>
        </ns0:is>
      </ns0:c>
      <ns0:c r="C143" s="12" t="inlineStr">
        <ns0:is>
          <ns0:t>Usan-guk</ns0:t>
        </ns0:is>
      </ns0:c>
      <ns0:c r="D143" s="12" t="inlineStr">
        <ns0:is>
          <ns0:t>Oki County</ns0:t>
        </ns0:is>
      </ns0:c>
      <ns0:c r="E143" s="12" t="inlineStr">
        <ns0:is>
          <ns0:t>Uldo</ns0:t>
        </ns0:is>
      </ns0:c>
      <ns0:c r="F143" s="12" t="inlineStr"/>
      <ns0:c r="G143" s="12" t="n">
        <ns0:v>3</ns0:v>
      </ns0:c>
      <ns0:c r="H143" s="12" t="inlineStr">
        <ns0:is>
          <ns0:t>Article 1 specifies the name change from Ulleungdo to Uldo.</ns0:t>
        </ns0:is>
      </ns0:c>
      <ns0:c r="I143" s="12" t="inlineStr">
        <ns0:is>
          <ns0:t>Korean Empire Decree No. 41 of 1900 renamed Ulleungdo as Uldo and reorganised its administration.</ns0:t>
        </ns0:is>
      </ns0:c>
      <ns0:c r="J143" s="12" t="inlineStr"/>
      <ns0:c r="K143" s="12" t="inlineStr">
        <ns0:is>
          <ns0:t>대한민국 외교부 자료실 · 대한제국 칙령 제41호
https://dokdo.mofa.go.kr/kor/pds/part02_view02.jsp</ns0:t>
        </ns0:is>
      </ns0:c>
    </ns0:row>
    <ns0:row r="144" ht="53" customHeight="1">
      <ns0:c r="A144" s="10" t="n">
        <ns0:v>920143</ns0:v>
      </ns0:c>
      <ns0:c r="B144" s="10" t="inlineStr">
        <ns0:is>
          <ns0:t>Which pair correctly shows the name change in the supplied Article 1?</ns0:t>
        </ns0:is>
      </ns0:c>
      <ns0:c r="C144" s="10" t="inlineStr">
        <ns0:is>
          <ns0:t>Ulleungdo → Uldo</ns0:t>
        </ns0:is>
      </ns0:c>
      <ns0:c r="D144" s="10" t="inlineStr">
        <ns0:is>
          <ns0:t>Uldo → Ulleungdo</ns0:t>
        </ns0:is>
      </ns0:c>
      <ns0:c r="E144" s="10" t="inlineStr">
        <ns0:is>
          <ns0:t>Dokdo → Jukdo</ns0:t>
        </ns0:is>
      </ns0:c>
      <ns0:c r="F144" s="10" t="inlineStr"/>
      <ns0:c r="G144" s="10" t="n">
        <ns0:v>1</ns0:v>
      </ns0:c>
      <ns0:c r="H144" s="10" t="inlineStr">
        <ns0:is>
          <ns0:t>This follows the original and replacement names in the article.</ns0:t>
        </ns0:is>
      </ns0:c>
      <ns0:c r="I144" s="10" t="inlineStr">
        <ns0:is>
          <ns0:t>Korean Empire Decree No. 41 of 1900 renamed Ulleungdo as Uldo and reorganised its administration.</ns0:t>
        </ns0:is>
      </ns0:c>
      <ns0:c r="J144" s="10" t="inlineStr">
        <ns0:is>
          <ns0:t>Plain-language summary of Article 1: rename Ulleungdo as Uldo and place it under Gangwon-do.</ns0:t>
        </ns0:is>
      </ns0:c>
      <ns0:c r="K144" s="10" t="inlineStr">
        <ns0:is>
          <ns0:t>대한민국 외교부 자료실 · 대한제국 칙령 제41호
https://dokdo.mofa.go.kr/kor/pds/part02_view02.jsp</ns0:t>
        </ns0:is>
      </ns0:c>
    </ns0:row>
    <ns0:row r="145" ht="53" customHeight="1">
      <ns0:c r="A145" s="12" t="n">
        <ns0:v>920144</ns0:v>
      </ns0:c>
      <ns0:c r="B145" s="12" t="inlineStr">
        <ns0:is>
          <ns0:t>Which two administrative elements changed together under Article 1 of Decree No. 41?</ns0:t>
        </ns0:is>
      </ns0:c>
      <ns0:c r="C145" s="12" t="inlineStr">
        <ns0:is>
          <ns0:t>Jurisdiction list and county-office location</ns0:t>
        </ns0:is>
      </ns0:c>
      <ns0:c r="D145" s="12" t="inlineStr">
        <ns0:is>
          <ns0:t>Administrative name and official’s office</ns0:t>
        </ns0:is>
      </ns0:c>
      <ns0:c r="E145" s="12" t="inlineStr">
        <ns0:is>
          <ns0:t>Magistrate’s pay and tax obligations</ns0:t>
        </ns0:is>
      </ns0:c>
      <ns0:c r="F145" s="12" t="inlineStr"/>
      <ns0:c r="G145" s="12" t="n">
        <ns0:v>2</ns0:v>
      </ns0:c>
      <ns0:c r="H145" s="12" t="inlineStr">
        <ns0:is>
          <ns0:t>Article 1 changes the administrative name and the responsible office.</ns0:t>
        </ns0:is>
      </ns0:c>
      <ns0:c r="I145" s="12" t="inlineStr">
        <ns0:is>
          <ns0:t>Korean Empire Decree No. 41 of 1900 renamed Ulleungdo as Uldo and reorganised its administration.</ns0:t>
        </ns0:is>
      </ns0:c>
      <ns0:c r="J145" s="12" t="inlineStr">
        <ns0:is>
          <ns0:t>Article 1 summary: rename Ulleungdo as Uldo; replace the island supervisor with a county magistrate, an official responsible for county administration.</ns0:t>
        </ns0:is>
      </ns0:c>
      <ns0:c r="K145" s="12" t="inlineStr">
        <ns0:is>
          <ns0:t>대한민국 외교부 자료실 · 대한제국 칙령 제41호
https://dokdo.mofa.go.kr/kor/pds/part02_view02.jsp</ns0:t>
        </ns0:is>
      </ns0:c>
    </ns0:row>
    <ns0:row r="146" ht="53" customHeight="1">
      <ns0:c r="A146" s="10" t="n">
        <ns0:v>920145</ns0:v>
      </ns0:c>
      <ns0:c r="B146" s="10" t="inlineStr">
        <ns0:is>
          <ns0:t>Which office replaced the island supervisor under Decree No. 41?</ns0:t>
        </ns0:is>
      </ns0:c>
      <ns0:c r="C146" s="10" t="inlineStr">
        <ns0:is>
          <ns0:t>Provincial governor</ns0:t>
        </ns0:is>
      </ns0:c>
      <ns0:c r="D146" s="10" t="inlineStr">
        <ns0:is>
          <ns0:t>Home-affairs minister</ns0:t>
        </ns0:is>
      </ns0:c>
      <ns0:c r="E146" s="10" t="inlineStr">
        <ns0:is>
          <ns0:t>County magistrate</ns0:t>
        </ns0:is>
      </ns0:c>
      <ns0:c r="F146" s="10" t="inlineStr"/>
      <ns0:c r="G146" s="10" t="n">
        <ns0:v>3</ns0:v>
      </ns0:c>
      <ns0:c r="H146" s="10" t="inlineStr">
        <ns0:is>
          <ns0:t>This is the administrative office specified to replace the supervisor.</ns0:t>
        </ns0:is>
      </ns0:c>
      <ns0:c r="I146" s="10" t="inlineStr">
        <ns0:is>
          <ns0:t>Decree No. 41 replaced the island supervisor with a county magistrate responsible for county administration.</ns0:t>
        </ns0:is>
      </ns0:c>
      <ns0:c r="J146" s="10" t="inlineStr"/>
      <ns0:c r="K146" s="10" t="inlineStr">
        <ns0:is>
          <ns0:t>대한민국 외교부 자료실 · 대한제국 칙령 제41호
https://dokdo.mofa.go.kr/kor/pds/part02_view02.jsp</ns0:t>
        </ns0:is>
      </ns0:c>
    </ns0:row>
    <ns0:row r="147" ht="53" customHeight="1">
      <ns0:c r="A147" s="12" t="n">
        <ns0:v>920146</ns0:v>
      </ns0:c>
      <ns0:c r="B147" s="12" t="inlineStr">
        <ns0:is>
          <ns0:t>What is the responsibility of the “magistrate” in Uldo county magistrate?</ns0:t>
        </ns0:is>
      </ns0:c>
      <ns0:c r="C147" s="12" t="inlineStr">
        <ns0:is>
          <ns0:t>County administration</ns0:t>
        </ns0:is>
      </ns0:c>
      <ns0:c r="D147" s="12" t="inlineStr">
        <ns0:is>
          <ns0:t>Operating one ship</ns0:t>
        </ns0:is>
      </ns0:c>
      <ns0:c r="E147" s="12" t="inlineStr">
        <ns0:is>
          <ns0:t>Managing one lighthouse light</ns0:t>
        </ns0:is>
      </ns0:c>
      <ns0:c r="F147" s="12" t="inlineStr"/>
      <ns0:c r="G147" s="12" t="n">
        <ns0:v>1</ns0:v>
      </ns0:c>
      <ns0:c r="H147" s="12" t="inlineStr">
        <ns0:is>
          <ns0:t>A county magistrate is responsible for the affairs of a county.</ns0:t>
        </ns0:is>
      </ns0:c>
      <ns0:c r="I147" s="12" t="inlineStr">
        <ns0:is>
          <ns0:t>Decree No. 41 replaced the island supervisor with a county magistrate responsible for county administration.</ns0:t>
        </ns0:is>
      </ns0:c>
      <ns0:c r="J147" s="12" t="inlineStr"/>
      <ns0:c r="K147" s="12" t="inlineStr">
        <ns0:is>
          <ns0:t>대한민국 외교부 자료실 · 대한제국 칙령 제41호
https://dokdo.mofa.go.kr/kor/pds/part02_view02.jsp</ns0:t>
        </ns0:is>
      </ns0:c>
    </ns0:row>
    <ns0:row r="148" ht="53" customHeight="1">
      <ns0:c r="A148" s="10" t="n">
        <ns0:v>920147</ns0:v>
      </ns0:c>
      <ns0:c r="B148" s="10" t="inlineStr">
        <ns0:is>
          <ns0:t>What is the direction of the office change in Article 1 of Decree No. 41?</ns0:t>
        </ns0:is>
      </ns0:c>
      <ns0:c r="C148" s="10" t="inlineStr">
        <ns0:is>
          <ns0:t>County magistrate → supervisor</ns0:t>
        </ns0:is>
      </ns0:c>
      <ns0:c r="D148" s="10" t="inlineStr">
        <ns0:is>
          <ns0:t>Supervisor → county magistrate</ns0:t>
        </ns0:is>
      </ns0:c>
      <ns0:c r="E148" s="10" t="inlineStr">
        <ns0:is>
          <ns0:t>Supervisor → provincial governor</ns0:t>
        </ns0:is>
      </ns0:c>
      <ns0:c r="F148" s="10" t="inlineStr"/>
      <ns0:c r="G148" s="10" t="n">
        <ns0:v>2</ns0:v>
      </ns0:c>
      <ns0:c r="H148" s="10" t="inlineStr">
        <ns0:is>
          <ns0:t>This matches the stated replacement.</ns0:t>
        </ns0:is>
      </ns0:c>
      <ns0:c r="I148" s="10" t="inlineStr">
        <ns0:is>
          <ns0:t>Decree No. 41 replaced the island supervisor with a county magistrate responsible for county administration.</ns0:t>
        </ns0:is>
      </ns0:c>
      <ns0:c r="J148" s="10" t="inlineStr">
        <ns0:is>
          <ns0:t>Article 1 translation, summarised: replace the island supervisor with a county magistrate.</ns0:t>
        </ns0:is>
      </ns0:c>
      <ns0:c r="K148" s="10" t="inlineStr">
        <ns0:is>
          <ns0:t>대한민국 외교부 자료실 · 대한제국 칙령 제41호
https://dokdo.mofa.go.kr/kor/pds/part02_view02.jsp</ns0:t>
        </ns0:is>
      </ns0:c>
    </ns0:row>
    <ns0:row r="149" ht="53" customHeight="1">
      <ns0:c r="A149" s="12" t="n">
        <ns0:v>920148</ns0:v>
      </ns0:c>
      <ns0:c r="B149" s="12" t="inlineStr">
        <ns0:is>
          <ns0:t>Which responsibility explains a Uldo magistrate reporting local conditions to higher authorities?</ns0:t>
        </ns0:is>
      </ns0:c>
      <ns0:c r="C149" s="12" t="inlineStr">
        <ns0:is>
          <ns0:t>Administering the entire province of Gangwon</ns0:t>
        </ns0:is>
      </ns0:c>
      <ns0:c r="D149" s="12" t="inlineStr">
        <ns0:is>
          <ns0:t>Issuing imperial decrees for the whole state</ns0:t>
        </ns0:is>
      </ns0:c>
      <ns0:c r="E149" s="12" t="inlineStr">
        <ns0:is>
          <ns0:t>Managing and reporting conditions in the jurisdiction</ns0:t>
        </ns0:is>
      </ns0:c>
      <ns0:c r="F149" s="12" t="inlineStr"/>
      <ns0:c r="G149" s="12" t="n">
        <ns0:v>3</ns0:v>
      </ns0:c>
      <ns0:c r="H149" s="12" t="inlineStr">
        <ns0:is>
          <ns0:t>Local reporting follows the magistrate’s administrative responsibility.</ns0:t>
        </ns0:is>
      </ns0:c>
      <ns0:c r="I149" s="12" t="inlineStr">
        <ns0:is>
          <ns0:t>Decree No. 41 replaced the island supervisor with a county magistrate responsible for county administration.</ns0:t>
        </ns0:is>
      </ns0:c>
      <ns0:c r="J149" s="12" t="inlineStr">
        <ns0:is>
          <ns0:t>A county magistrate administers a county and can report important conditions within the jurisdiction to higher authorities.</ns0:t>
        </ns0:is>
      </ns0:c>
      <ns0:c r="K149" s="12" t="inlineStr">
        <ns0:is>
          <ns0:t>대한민국 외교부 자료실 · 대한제국 칙령 제41호
https://dokdo.mofa.go.kr/kor/pds/part02_view02.jsp</ns0:t>
        </ns0:is>
      </ns0:c>
    </ns0:row>
    <ns0:row r="150" ht="98" customHeight="1">
      <ns0:c r="A150" s="10" t="n">
        <ns0:v>920149</ns0:v>
      </ns0:c>
      <ns0:c r="B150" s="10" t="inlineStr">
        <ns0:is>
          <ns0:t>Which island name appears in Article 2’s list of jurisdictions in Decree No. 41?</ns0:t>
        </ns0:is>
      </ns0:c>
      <ns0:c r="C150" s="10" t="inlineStr">
        <ns0:is>
          <ns0:t>Seokdo</ns0:t>
        </ns0:is>
      </ns0:c>
      <ns0:c r="D150" s="10" t="inlineStr">
        <ns0:is>
          <ns0:t>Oki Islands</ns0:t>
        </ns0:is>
      </ns0:c>
      <ns0:c r="E150" s="10" t="inlineStr">
        <ns0:is>
          <ns0:t>Jeju Island</ns0:t>
        </ns0:is>
      </ns0:c>
      <ns0:c r="F150" s="10" t="inlineStr"/>
      <ns0:c r="G150" s="10" t="n">
        <ns0:v>1</ns0:v>
      </ns0:c>
      <ns0:c r="H150" s="10" t="inlineStr">
        <ns0:is>
          <ns0:t>Article 2 lists Ulleungjeondo, Jukdo and Seokdo.</ns0:t>
        </ns0:is>
      </ns0:c>
      <ns0:c r="I150" s="10" t="inlineStr">
        <ns0:is>
          <ns0:t>Article 2 lists Ulleungjeondo, Jukdo and Seokdo; ROK MOFA identifies Seokdo as Dokdo.</ns0:t>
        </ns0:is>
      </ns0:c>
      <ns0:c r="J150" s="10" t="inlineStr">
        <ns0:is>
          <ns0:t>Article 2 list: Ulleungjeondo, Jukdo and Seokdo. Jurisdiction means the area under an authority’s responsibility.
Original place names are distinguished from modern identification. ROK MOFA presents the decree as evidence of the Korean Empire’s administration of Dokdo.</ns0:t>
        </ns0:is>
      </ns0:c>
      <ns0:c r="K150" s="10" t="inlineStr">
        <ns0:is>
          <ns0:t>대한민국 외교부 자료실 · 대한제국 칙령 제41호
https://dokdo.mofa.go.kr/kor/pds/part02_view02.jsp
대한민국 외교부 · 칙령 제41호와 독도 관할 해설
https://dokdo.mofa.go.kr/kor/include/print_faq.jsp?class_faq=q8</ns0:t>
        </ns0:is>
      </ns0:c>
    </ns0:row>
    <ns0:row r="151" ht="98" customHeight="1">
      <ns0:c r="A151" s="12" t="n">
        <ns0:v>920150</ns0:v>
      </ns0:c>
      <ns0:c r="B151" s="12" t="inlineStr">
        <ns0:is>
          <ns0:t>Which present-day island is identified with “Seokdo” in Decree No. 41?</ns0:t>
        </ns0:is>
      </ns0:c>
      <ns0:c r="C151" s="12" t="inlineStr">
        <ns0:is>
          <ns0:t>Ulleungdo</ns0:t>
        </ns0:is>
      </ns0:c>
      <ns0:c r="D151" s="12" t="inlineStr">
        <ns0:is>
          <ns0:t>Dokdo</ns0:t>
        </ns0:is>
      </ns0:c>
      <ns0:c r="E151" s="12" t="inlineStr">
        <ns0:is>
          <ns0:t>Oki Islands</ns0:t>
        </ns0:is>
      </ns0:c>
      <ns0:c r="F151" s="12" t="inlineStr"/>
      <ns0:c r="G151" s="12" t="n">
        <ns0:v>2</ns0:v>
      </ns0:c>
      <ns0:c r="H151" s="12" t="inlineStr">
        <ns0:is>
          <ns0:t>ROK MOFA identifies Seokdo as Dokdo and explains the decree as recording Dokdo within Uldo’s jurisdiction.</ns0:t>
        </ns0:is>
      </ns0:c>
      <ns0:c r="I151" s="12" t="inlineStr">
        <ns0:is>
          <ns0:t>Article 2 lists Ulleungjeondo, Jukdo and Seokdo; ROK MOFA identifies Seokdo as Dokdo.</ns0:t>
        </ns0:is>
      </ns0:c>
      <ns0:c r="J151" s="12" t="inlineStr">
        <ns0:is>
          <ns0:t>Article 2’s original names are Ulleungjeondo, Jukdo and Seokdo. Modern identifications in this lesson follow ROK MOFA’s commentary.
Original place names are distinguished from modern identification. ROK MOFA presents the decree as evidence of the Korean Empire’s administration of Dokdo.</ns0:t>
        </ns0:is>
      </ns0:c>
      <ns0:c r="K151" s="12" t="inlineStr">
        <ns0:is>
          <ns0:t>대한민국 외교부 자료실 · 대한제국 칙령 제41호
https://dokdo.mofa.go.kr/kor/pds/part02_view02.jsp
대한민국 외교부 · 칙령 제41호와 독도 관할 해설
https://dokdo.mofa.go.kr/kor/include/print_faq.jsp?class_faq=q8</ns0:t>
        </ns0:is>
      </ns0:c>
    </ns0:row>
    <ns0:row r="152" ht="98" customHeight="1">
      <ns0:c r="A152" s="10" t="n">
        <ns0:v>920151</ns0:v>
      </ns0:c>
      <ns0:c r="B152" s="10" t="inlineStr">
        <ns0:is>
          <ns0:t>Which option reproduces the full jurisdiction list in Decree No. 41?</ns0:t>
        </ns0:is>
      </ns0:c>
      <ns0:c r="C152" s="10" t="inlineStr">
        <ns0:is>
          <ns0:t>Ulleungjeondo and Jukdo</ns0:t>
        </ns0:is>
      </ns0:c>
      <ns0:c r="D152" s="10" t="inlineStr">
        <ns0:is>
          <ns0:t>Ulleungjeondo, Seokdo and Oki</ns0:t>
        </ns0:is>
      </ns0:c>
      <ns0:c r="E152" s="10" t="inlineStr">
        <ns0:is>
          <ns0:t>Ulleungjeondo, Jukdo and Seokdo</ns0:t>
        </ns0:is>
      </ns0:c>
      <ns0:c r="F152" s="10" t="inlineStr"/>
      <ns0:c r="G152" s="10" t="n">
        <ns0:v>3</ns0:v>
      </ns0:c>
      <ns0:c r="H152" s="10" t="inlineStr">
        <ns0:is>
          <ns0:t>This includes all three names in Article 2.</ns0:t>
        </ns0:is>
      </ns0:c>
      <ns0:c r="I152" s="10" t="inlineStr">
        <ns0:is>
          <ns0:t>Article 2 lists Ulleungjeondo, Jukdo and Seokdo; ROK MOFA identifies Seokdo as Dokdo.</ns0:t>
        </ns0:is>
      </ns0:c>
      <ns0:c r="J152" s="10" t="inlineStr">
        <ns0:is>
          <ns0:t>Article 2, summarised: the jurisdiction is to include Ulleungjeondo, Jukdo and Seokdo.
Original place names are distinguished from modern identification. ROK MOFA presents the decree as evidence of the Korean Empire’s administration of Dokdo.</ns0:t>
        </ns0:is>
      </ns0:c>
      <ns0:c r="K152" s="10" t="inlineStr">
        <ns0:is>
          <ns0:t>대한민국 외교부 자료실 · 대한제국 칙령 제41호
https://dokdo.mofa.go.kr/kor/pds/part02_view02.jsp
대한민국 외교부 · 칙령 제41호와 독도 관할 해설
https://dokdo.mofa.go.kr/kor/include/print_faq.jsp?class_faq=q8</ns0:t>
        </ns0:is>
      </ns0:c>
    </ns0:row>
    <ns0:row r="153" ht="98" customHeight="1">
      <ns0:c r="A153" s="12" t="n">
        <ns0:v>920152</ns0:v>
      </ns0:c>
      <ns0:c r="B153" s="12" t="inlineStr">
        <ns0:is>
          <ns0:t>What is omitted by describing Decree No. 41 as administering only Ulleungdo?</ns0:t>
        </ns0:is>
      </ns0:c>
      <ns0:c r="C153" s="12" t="inlineStr">
        <ns0:is>
          <ns0:t>Jukdo and Seokdo are also listed</ns0:t>
        </ns0:is>
      </ns0:c>
      <ns0:c r="D153" s="12" t="inlineStr">
        <ns0:is>
          <ns0:t>Oki is listed</ns0:t>
        </ns0:is>
      </ns0:c>
      <ns0:c r="E153" s="12" t="inlineStr">
        <ns0:is>
          <ns0:t>Jeju is listed</ns0:t>
        </ns0:is>
      </ns0:c>
      <ns0:c r="F153" s="12" t="inlineStr"/>
      <ns0:c r="G153" s="12" t="n">
        <ns0:v>1</ns0:v>
      </ns0:c>
      <ns0:c r="H153" s="12" t="inlineStr">
        <ns0:is>
          <ns0:t>The two names following Ulleungjeondo must also be included.</ns0:t>
        </ns0:is>
      </ns0:c>
      <ns0:c r="I153" s="12" t="inlineStr">
        <ns0:is>
          <ns0:t>Article 2 lists Ulleungjeondo, Jukdo and Seokdo; ROK MOFA identifies Seokdo as Dokdo.</ns0:t>
        </ns0:is>
      </ns0:c>
      <ns0:c r="J153" s="12" t="inlineStr">
        <ns0:is>
          <ns0:t>Article 2 jurisdiction: Ulleungjeondo, Jukdo and Seokdo.
Original place names are distinguished from modern identification. ROK MOFA presents the decree as evidence of the Korean Empire’s administration of Dokdo.</ns0:t>
        </ns0:is>
      </ns0:c>
      <ns0:c r="K153" s="12" t="inlineStr">
        <ns0:is>
          <ns0:t>대한민국 외교부 자료실 · 대한제국 칙령 제41호
https://dokdo.mofa.go.kr/kor/pds/part02_view02.jsp
대한민국 외교부 · 칙령 제41호와 독도 관할 해설
https://dokdo.mofa.go.kr/kor/include/print_faq.jsp?class_faq=q8</ns0:t>
        </ns0:is>
      </ns0:c>
    </ns0:row>
    <ns0:row r="154" ht="98" customHeight="1">
      <ns0:c r="A154" s="10" t="n">
        <ns0:v>920153</ns0:v>
      </ns0:c>
      <ns0:c r="B154" s="10" t="inlineStr">
        <ns0:is>
          <ns0:t>What date is written on Korean Empire Decree No. 41?</ns0:t>
        </ns0:is>
      </ns0:c>
      <ns0:c r="C154" s="10" t="inlineStr">
        <ns0:is>
          <ns0:t>27 October 1900</ns0:t>
        </ns0:is>
      </ns0:c>
      <ns0:c r="D154" s="10" t="inlineStr">
        <ns0:is>
          <ns0:t>25 October 1900</ns0:t>
        </ns0:is>
      </ns0:c>
      <ns0:c r="E154" s="10" t="inlineStr">
        <ns0:is>
          <ns0:t>10 May 1906</ns0:t>
        </ns0:is>
      </ns0:c>
      <ns0:c r="F154" s="10" t="inlineStr"/>
      <ns0:c r="G154" s="10" t="n">
        <ns0:v>2</ns0:v>
      </ns0:c>
      <ns0:c r="H154" s="10" t="inlineStr">
        <ns0:is>
          <ns0:t>The decree itself is dated 25 October.</ns0:t>
        </ns0:is>
      </ns0:c>
      <ns0:c r="I154" s="10" t="inlineStr">
        <ns0:is>
          <ns0:t>Decree No. 41 is dated 25 October 1900 and appeared in the gazette on 27 October.</ns0:t>
        </ns0:is>
      </ns0:c>
      <ns0:c r="J154" s="10" t="inlineStr"/>
      <ns0:c r="K154" s="10" t="inlineStr">
        <ns0:is>
          <ns0:t>대한민국 외교부 자료실 · 대한제국 칙령 제41호
https://dokdo.mofa.go.kr/kor/pds/part02_view02.jsp
대한민국 외교부 자료실 · 관보(1900.10.27)
https://dokdo.mofa.go.kr/kor/pds/part02_view03.jsp</ns0:t>
        </ns0:is>
      </ns0:c>
    </ns0:row>
    <ns0:row r="155" ht="98" customHeight="1">
      <ns0:c r="A155" s="12" t="n">
        <ns0:v>920154</ns0:v>
      </ns0:c>
      <ns0:c r="B155" s="12" t="inlineStr">
        <ns0:is>
          <ns0:t>What was the role of the Korean Empire gazette that published the decree?</ns0:t>
        </ns0:is>
      </ns0:c>
      <ns0:c r="C155" s="12" t="inlineStr">
        <ns0:is>
          <ns0:t>Submitting a new reform proposal</ns0:t>
        </ns0:is>
      </ns0:c>
      <ns0:c r="D155" s="12" t="inlineStr">
        <ns0:is>
          <ns0:t>Reporting local events only to a superior</ns0:t>
        </ns0:is>
      </ns0:c>
      <ns0:c r="E155" s="12" t="inlineStr">
        <ns0:is>
          <ns0:t>Officially announcing an issued order</ns0:t>
        </ns0:is>
      </ns0:c>
      <ns0:c r="F155" s="12" t="inlineStr"/>
      <ns0:c r="G155" s="12" t="n">
        <ns0:v>3</ns0:v>
      </ns0:c>
      <ns0:c r="H155" s="12" t="inlineStr">
        <ns0:is>
          <ns0:t>The gazette publishes official material such as decrees.</ns0:t>
        </ns0:is>
      </ns0:c>
      <ns0:c r="I155" s="12" t="inlineStr">
        <ns0:is>
          <ns0:t>Decree No. 41 is dated 25 October 1900 and appeared in the gazette on 27 October.</ns0:t>
        </ns0:is>
      </ns0:c>
      <ns0:c r="J155" s="12" t="inlineStr"/>
      <ns0:c r="K155" s="12" t="inlineStr">
        <ns0:is>
          <ns0:t>대한민국 외교부 자료실 · 대한제국 칙령 제41호
https://dokdo.mofa.go.kr/kor/pds/part02_view02.jsp
대한민국 외교부 자료실 · 관보(1900.10.27)
https://dokdo.mofa.go.kr/kor/pds/part02_view03.jsp</ns0:t>
        </ns0:is>
      </ns0:c>
    </ns0:row>
    <ns0:row r="156" ht="98" customHeight="1">
      <ns0:c r="A156" s="10" t="n">
        <ns0:v>920155</ns0:v>
      </ns0:c>
      <ns0:c r="B156" s="10" t="inlineStr">
        <ns0:is>
          <ns0:t>When was Decree No. 41 published in the government gazette?</ns0:t>
        </ns0:is>
      </ns0:c>
      <ns0:c r="C156" s="10" t="inlineStr">
        <ns0:is>
          <ns0:t>27 October 1900</ns0:t>
        </ns0:is>
      </ns0:c>
      <ns0:c r="D156" s="10" t="inlineStr">
        <ns0:is>
          <ns0:t>25 October 1900</ns0:t>
        </ns0:is>
      </ns0:c>
      <ns0:c r="E156" s="10" t="inlineStr">
        <ns0:is>
          <ns0:t>22 October 1900</ns0:t>
        </ns0:is>
      </ns0:c>
      <ns0:c r="F156" s="10" t="inlineStr"/>
      <ns0:c r="G156" s="10" t="n">
        <ns0:v>1</ns0:v>
      </ns0:c>
      <ns0:c r="H156" s="10" t="inlineStr">
        <ns0:is>
          <ns0:t>The supplied publication record dates the gazette entry to 27 October.</ns0:t>
        </ns0:is>
      </ns0:c>
      <ns0:c r="I156" s="10" t="inlineStr">
        <ns0:is>
          <ns0:t>Decree No. 41 is dated 25 October 1900 and appeared in the gazette on 27 October.</ns0:t>
        </ns0:is>
      </ns0:c>
      <ns0:c r="J156" s="10" t="inlineStr">
        <ns0:is>
          <ns0:t>Document date: Decree No. 41 — 25 October 1900.
Gazette publication: Decree No. 41 — 27 October 1900.</ns0:t>
        </ns0:is>
      </ns0:c>
      <ns0:c r="K156" s="10" t="inlineStr">
        <ns0:is>
          <ns0:t>대한민국 외교부 자료실 · 대한제국 칙령 제41호
https://dokdo.mofa.go.kr/kor/pds/part02_view02.jsp
대한민국 외교부 자료실 · 관보(1900.10.27)
https://dokdo.mofa.go.kr/kor/pds/part02_view03.jsp</ns0:t>
        </ns0:is>
      </ns0:c>
    </ns0:row>
    <ns0:row r="157" ht="98" customHeight="1">
      <ns0:c r="A157" s="12" t="n">
        <ns0:v>920156</ns0:v>
      </ns0:c>
      <ns0:c r="B157" s="12" t="inlineStr">
        <ns0:is>
          <ns0:t>Why does the decree carry the 25th while the gazette carries the 27th?</ns0:t>
        </ns0:is>
      </ns0:c>
      <ns0:c r="C157" s="12" t="inlineStr">
        <ns0:is>
          <ns0:t>They must be two different decrees</ns0:t>
        </ns0:is>
      </ns0:c>
      <ns0:c r="D157" s="12" t="inlineStr">
        <ns0:is>
          <ns0:t>The document date differs from its official publication date</ns0:t>
        </ns0:is>
      </ns0:c>
      <ns0:c r="E157" s="12" t="inlineStr">
        <ns0:is>
          <ns0:t>One date must be a printing error</ns0:t>
        </ns0:is>
      </ns0:c>
      <ns0:c r="F157" s="12" t="inlineStr"/>
      <ns0:c r="G157" s="12" t="n">
        <ns0:v>2</ns0:v>
      </ns0:c>
      <ns0:c r="H157" s="12" t="inlineStr">
        <ns0:is>
          <ns0:t>A decree’s date and its appearance in the gazette are distinct.</ns0:t>
        </ns0:is>
      </ns0:c>
      <ns0:c r="I157" s="12" t="inlineStr">
        <ns0:is>
          <ns0:t>Decree No. 41 is dated 25 October 1900 and appeared in the gazette on 27 October.</ns0:t>
        </ns0:is>
      </ns0:c>
      <ns0:c r="J157" s="12" t="inlineStr">
        <ns0:is>
          <ns0:t>Two dates for the same decree: document date, 25 October 1900; gazette publication, 27 October 1900.</ns0:t>
        </ns0:is>
      </ns0:c>
      <ns0:c r="K157" s="12" t="inlineStr">
        <ns0:is>
          <ns0:t>대한민국 외교부 자료실 · 대한제국 칙령 제41호
https://dokdo.mofa.go.kr/kor/pds/part02_view02.jsp
대한민국 외교부 자료실 · 관보(1900.10.27)
https://dokdo.mofa.go.kr/kor/pds/part02_view03.jsp</ns0:t>
        </ns0:is>
      </ns0:c>
    </ns0:row>
    <ns0:row r="158" ht="143" customHeight="1">
      <ns0:c r="A158" s="10" t="n">
        <ns0:v>920157</ns0:v>
      </ns0:c>
      <ns0:c r="B158" s="10" t="inlineStr">
        <ns0:is>
          <ns0:t>What is the document proposing the Uldo administrative reorganisation in 1900 called?</ns0:t>
        </ns0:is>
      </ns0:c>
      <ns0:c r="C158" s="10" t="inlineStr">
        <ns0:is>
          <ns0:t>A voyage prohibition</ns0:t>
        </ns0:is>
      </ns0:c>
      <ns0:c r="D158" s="10" t="inlineStr">
        <ns0:is>
          <ns0:t>The Dajokan directive</ns0:t>
        </ns0:is>
      </ns0:c>
      <ns0:c r="E158" s="10" t="inlineStr">
        <ns0:is>
          <ns0:t>A petition submitting a proposal</ns0:t>
        </ns0:is>
      </ns0:c>
      <ns0:c r="F158" s="10" t="inlineStr"/>
      <ns0:c r="G158" s="10" t="n">
        <ns0:v>3</ns0:v>
      </ns0:c>
      <ns0:c r="H158" s="10" t="inlineStr">
        <ns0:is>
          <ns0:t>A petition submits a matter for consideration.</ns0:t>
        </ns0:is>
      </ns0:c>
      <ns0:c r="I158" s="10" t="inlineStr">
        <ns0:is>
          <ns0:t>Uldo’s reorganisation can be traced through a proposal, decree and gazette publication.</ns0:t>
        </ns0:is>
      </ns0:c>
      <ns0:c r="J158" s="10" t="inlineStr">
        <ns0:is>
          <ns0:t>The petition dated 22 October 1900 submitted a plan to reorganise Ulleungdo’s administration.</ns0:t>
        </ns0:is>
      </ns0:c>
      <ns0:c r="K158" s="10" t="inlineStr">
        <ns0:is>
          <ns0:t>대한민국 외교부 자료실 · 의정부 청의서(1900.10.22)
https://dokdo.mofa.go.kr/kor/pds/part02_view01.jsp
대한민국 외교부 자료실 · 대한제국 칙령 제41호
https://dokdo.mofa.go.kr/kor/pds/part02_view02.jsp
대한민국 외교부 자료실 · 관보(1900.10.27)
https://dokdo.mofa.go.kr/kor/pds/part02_view03.jsp</ns0:t>
        </ns0:is>
      </ns0:c>
    </ns0:row>
    <ns0:row r="159" ht="143" customHeight="1">
      <ns0:c r="A159" s="12" t="n">
        <ns0:v>920158</ns0:v>
      </ns0:c>
      <ns0:c r="B159" s="12" t="inlineStr">
        <ns0:is>
          <ns0:t>Which pairing correctly distinguishes the petition from the decree?</ns0:t>
        </ns0:is>
      </ns0:c>
      <ns0:c r="C159" s="12" t="inlineStr">
        <ns0:is>
          <ns0:t>Petition: proposal / decree: imperial order</ns0:t>
        </ns0:is>
      </ns0:c>
      <ns0:c r="D159" s="12" t="inlineStr">
        <ns0:is>
          <ns0:t>Petition: imperial order / decree: proposal</ns0:t>
        </ns0:is>
      </ns0:c>
      <ns0:c r="E159" s="12" t="inlineStr">
        <ns0:is>
          <ns0:t>Petition: gazette publication / decree: local report</ns0:t>
        </ns0:is>
      </ns0:c>
      <ns0:c r="F159" s="12" t="inlineStr"/>
      <ns0:c r="G159" s="12" t="n">
        <ns0:v>1</ns0:v>
      </ns0:c>
      <ns0:c r="H159" s="12" t="inlineStr">
        <ns0:is>
          <ns0:t>The documents have different roles: proposal and order.</ns0:t>
        </ns0:is>
      </ns0:c>
      <ns0:c r="I159" s="12" t="inlineStr">
        <ns0:is>
          <ns0:t>Uldo’s reorganisation can be traced through a proposal, decree and gazette publication.</ns0:t>
        </ns0:is>
      </ns0:c>
      <ns0:c r="J159" s="12" t="inlineStr"/>
      <ns0:c r="K159" s="12" t="inlineStr">
        <ns0:is>
          <ns0:t>대한민국 외교부 자료실 · 의정부 청의서(1900.10.22)
https://dokdo.mofa.go.kr/kor/pds/part02_view01.jsp
대한민국 외교부 자료실 · 대한제국 칙령 제41호
https://dokdo.mofa.go.kr/kor/pds/part02_view02.jsp
대한민국 외교부 자료실 · 관보(1900.10.27)
https://dokdo.mofa.go.kr/kor/pds/part02_view03.jsp</ns0:t>
        </ns0:is>
      </ns0:c>
    </ns0:row>
    <ns0:row r="160" ht="143" customHeight="1">
      <ns0:c r="A160" s="10" t="n">
        <ns0:v>920159</ns0:v>
      </ns0:c>
      <ns0:c r="B160" s="10" t="inlineStr">
        <ns0:is>
          <ns0:t>What is the chronological order of the three documents from 1900?</ns0:t>
        </ns0:is>
      </ns0:c>
      <ns0:c r="C160" s="10" t="inlineStr">
        <ns0:is>
          <ns0:t>Gazette → petition → decree</ns0:t>
        </ns0:is>
      </ns0:c>
      <ns0:c r="D160" s="10" t="inlineStr">
        <ns0:is>
          <ns0:t>Petition → decree → gazette publication</ns0:t>
        </ns0:is>
      </ns0:c>
      <ns0:c r="E160" s="10" t="inlineStr">
        <ns0:is>
          <ns0:t>Decree → gazette → petition</ns0:t>
        </ns0:is>
      </ns0:c>
      <ns0:c r="F160" s="10" t="inlineStr"/>
      <ns0:c r="G160" s="10" t="n">
        <ns0:v>2</ns0:v>
      </ns0:c>
      <ns0:c r="H160" s="10" t="inlineStr">
        <ns0:is>
          <ns0:t>The dates run from the 22nd to the 25th to the 27th.</ns0:t>
        </ns0:is>
      </ns0:c>
      <ns0:c r="I160" s="10" t="inlineStr">
        <ns0:is>
          <ns0:t>Uldo’s reorganisation can be traced through a proposal, decree and gazette publication.</ns0:t>
        </ns0:is>
      </ns0:c>
      <ns0:c r="J160" s="10" t="inlineStr">
        <ns0:is>
          <ns0:t>22 October 1900: petition; 25 October: Decree No. 41; 27 October: publication in the gazette.</ns0:t>
        </ns0:is>
      </ns0:c>
      <ns0:c r="K160" s="10" t="inlineStr">
        <ns0:is>
          <ns0:t>대한민국 외교부 자료실 · 의정부 청의서(1900.10.22)
https://dokdo.mofa.go.kr/kor/pds/part02_view01.jsp
대한민국 외교부 자료실 · 대한제국 칙령 제41호
https://dokdo.mofa.go.kr/kor/pds/part02_view02.jsp
대한민국 외교부 자료실 · 관보(1900.10.27)
https://dokdo.mofa.go.kr/kor/pds/part02_view03.jsp</ns0:t>
        </ns0:is>
      </ns0:c>
    </ns0:row>
    <ns0:row r="161" ht="143" customHeight="1">
      <ns0:c r="A161" s="12" t="n">
        <ns0:v>920160</ns0:v>
      </ns0:c>
      <ns0:c r="B161" s="12" t="inlineStr">
        <ns0:is>
          <ns0:t>Why distinguish a proposal for administrative reform from its published order?</ns0:t>
        </ns0:is>
      </ns0:c>
      <ns0:c r="C161" s="12" t="inlineStr">
        <ns0:is>
          <ns0:t>A petition cannot have a date</ns0:t>
        </ns0:is>
      </ns0:c>
      <ns0:c r="D161" s="12" t="inlineStr">
        <ns0:is>
          <ns0:t>A gazette contains only private opinions</ns0:t>
        </ns0:is>
      </ns0:c>
      <ns0:c r="E161" s="12" t="inlineStr">
        <ns0:is>
          <ns0:t>Proposing a measure and publishing an order are different steps</ns0:t>
        </ns0:is>
      </ns0:c>
      <ns0:c r="F161" s="12" t="inlineStr"/>
      <ns0:c r="G161" s="12" t="n">
        <ns0:v>3</ns0:v>
      </ns0:c>
      <ns0:c r="H161" s="12" t="inlineStr">
        <ns0:is>
          <ns0:t>A proposal alone does not establish publication; the decree and gazette provide the later steps.</ns0:t>
        </ns0:is>
      </ns0:c>
      <ns0:c r="I161" s="12" t="inlineStr">
        <ns0:is>
          <ns0:t>Uldo’s reorganisation can be traced through a proposal, decree and gazette publication.</ns0:t>
        </ns0:is>
      </ns0:c>
      <ns0:c r="J161" s="12" t="inlineStr">
        <ns0:is>
          <ns0:t>A reform proposal was followed by a decree and its gazette publication. The three records document different steps in the same reorganisation.</ns0:t>
        </ns0:is>
      </ns0:c>
      <ns0:c r="K161" s="12" t="inlineStr">
        <ns0:is>
          <ns0:t>대한민국 외교부 자료실 · 의정부 청의서(1900.10.22)
https://dokdo.mofa.go.kr/kor/pds/part02_view01.jsp
대한민국 외교부 자료실 · 대한제국 칙령 제41호
https://dokdo.mofa.go.kr/kor/pds/part02_view02.jsp
대한민국 외교부 자료실 · 관보(1900.10.27)
https://dokdo.mofa.go.kr/kor/pds/part02_view03.jsp</ns0:t>
        </ns0:is>
      </ns0:c>
    </ns0:row>
    <ns0:row r="162" ht="53" customHeight="1">
      <ns0:c r="A162" s="10" t="n">
        <ns0:v>920161</ns0:v>
      </ns0:c>
      <ns0:c r="B162" s="10" t="inlineStr">
        <ns0:is>
          <ns0:t>Who was the Uldo magistrate who reported on Dokdo in 1906?</ns0:t>
        </ns0:is>
      </ns0:c>
      <ns0:c r="C162" s="10" t="inlineStr">
        <ns0:is>
          <ns0:t>An Yong-bok</ns0:t>
        </ns0:is>
      </ns0:c>
      <ns0:c r="D162" s="10" t="inlineStr">
        <ns0:is>
          <ns0:t>Shim Heung-taek</ns0:t>
        </ns0:is>
      </ns0:c>
      <ns0:c r="E162" s="10" t="inlineStr">
        <ns0:is>
          <ns0:t>Park Eo-dun</ns0:t>
        </ns0:is>
      </ns0:c>
      <ns0:c r="F162" s="10" t="inlineStr">
        <ns0:is>
          <ns0:t>Isabu</ns0:t>
        </ns0:is>
      </ns0:c>
      <ns0:c r="G162" s="10" t="n">
        <ns0:v>2</ns0:v>
      </ns0:c>
      <ns0:c r="H162" s="10" t="inlineStr">
        <ns0:is>
          <ns0:t>The report was made by Uldo magistrate Shim Heung-taek.</ns0:t>
        </ns0:is>
      </ns0:c>
      <ns0:c r="I162" s="10" t="inlineStr">
        <ns0:is>
          <ns0:t>As Uldo magistrate, Shim Heung-taek reported information concerning Dokdo to higher authorities in 1906.</ns0:t>
        </ns0:is>
      </ns0:c>
      <ns0:c r="J162" s="10" t="inlineStr"/>
      <ns0:c r="K162" s="10" t="inlineStr">
        <ns0:is>
          <ns0:t>대한민국 외교부 자료실 · 심흥택 보고서(1906)
https://dokdo.mofa.go.kr/kor/pds/part02_view04.jsp</ns0:t>
        </ns0:is>
      </ns0:c>
    </ns0:row>
    <ns0:row r="163" ht="53" customHeight="1">
      <ns0:c r="A163" s="12" t="n">
        <ns0:v>920162</ns0:v>
      </ns0:c>
      <ns0:c r="B163" s="12" t="inlineStr">
        <ns0:is>
          <ns0:t>What office did Shim Heung-taek hold in 1906?</ns0:t>
        </ns0:is>
      </ns0:c>
      <ns0:c r="C163" s="12" t="inlineStr">
        <ns0:is>
          <ns0:t>Uldo county magistrate</ns0:t>
        </ns0:is>
      </ns0:c>
      <ns0:c r="D163" s="12" t="inlineStr">
        <ns0:is>
          <ns0:t>Japanese home minister</ns0:t>
        </ns0:is>
      </ns0:c>
      <ns0:c r="E163" s="12" t="inlineStr">
        <ns0:is>
          <ns0:t>Dokdo lighthouse keeper</ns0:t>
        </ns0:is>
      </ns0:c>
      <ns0:c r="F163" s="12" t="inlineStr"/>
      <ns0:c r="G163" s="12" t="n">
        <ns0:v>1</ns0:v>
      </ns0:c>
      <ns0:c r="H163" s="12" t="inlineStr">
        <ns0:is>
          <ns0:t>Shim was responsible for Uldo county administration.</ns0:t>
        </ns0:is>
      </ns0:c>
      <ns0:c r="I163" s="12" t="inlineStr">
        <ns0:is>
          <ns0:t>As Uldo magistrate, Shim Heung-taek reported information concerning Dokdo to higher authorities in 1906.</ns0:t>
        </ns0:is>
      </ns0:c>
      <ns0:c r="J163" s="12" t="inlineStr"/>
      <ns0:c r="K163" s="12" t="inlineStr">
        <ns0:is>
          <ns0:t>대한민국 외교부 자료실 · 심흥택 보고서(1906)
https://dokdo.mofa.go.kr/kor/pds/part02_view04.jsp</ns0:t>
        </ns0:is>
      </ns0:c>
    </ns0:row>
    <ns0:row r="164" ht="53" customHeight="1">
      <ns0:c r="A164" s="10" t="n">
        <ns0:v>920163</ns0:v>
      </ns0:c>
      <ns0:c r="B164" s="10" t="inlineStr">
        <ns0:is>
          <ns0:t>Which direction describes the transmission of Shim Heung-taek’s report?</ns0:t>
        </ns0:is>
      </ns0:c>
      <ns0:c r="C164" s="10" t="inlineStr">
        <ns0:is>
          <ns0:t>Central government → Japanese fishermen → Uldo magistrate</ns0:t>
        </ns0:is>
      </ns0:c>
      <ns0:c r="D164" s="10" t="inlineStr">
        <ns0:is>
          <ns0:t>Uldo magistrate → Gangwon administration → central government</ns0:t>
        </ns0:is>
      </ns0:c>
      <ns0:c r="E164" s="10" t="inlineStr">
        <ns0:is>
          <ns0:t>Dajokan → Japanese Home Ministry → Uldo magistrate</ns0:t>
        </ns0:is>
      </ns0:c>
      <ns0:c r="F164" s="10" t="inlineStr"/>
      <ns0:c r="G164" s="10" t="n">
        <ns0:v>2</ns0:v>
      </ns0:c>
      <ns0:c r="H164" s="10" t="inlineStr">
        <ns0:is>
          <ns0:t>The local report is relayed through provincial administration to the centre.</ns0:t>
        </ns0:is>
      </ns0:c>
      <ns0:c r="I164" s="10" t="inlineStr">
        <ns0:is>
          <ns0:t>As Uldo magistrate, Shim Heung-taek reported information concerning Dokdo to higher authorities in 1906.</ns0:t>
        </ns0:is>
      </ns0:c>
      <ns0:c r="J164" s="10" t="inlineStr">
        <ns0:is>
          <ns0:t>In 1906 Uldo magistrate Shim reported conditions concerning Dokdo. His report was relayed through the Gangwon provincial administration to the central government.</ns0:t>
        </ns0:is>
      </ns0:c>
      <ns0:c r="K164" s="10" t="inlineStr">
        <ns0:is>
          <ns0:t>대한민국 외교부 자료실 · 심흥택 보고서(1906)
https://dokdo.mofa.go.kr/kor/pds/part02_view04.jsp</ns0:t>
        </ns0:is>
      </ns0:c>
    </ns0:row>
    <ns0:row r="165" ht="53" customHeight="1">
      <ns0:c r="A165" s="12" t="n">
        <ns0:v>920164</ns0:v>
      </ns0:c>
      <ns0:c r="B165" s="12" t="inlineStr">
        <ns0:is>
          <ns0:t>Why is Shim’s report evidence of local administrative activity?</ns0:t>
        </ns0:is>
      </ns0:c>
      <ns0:c r="C165" s="12" t="inlineStr">
        <ns0:is>
          <ns0:t>It is a Japanese fisherman’s private diary</ns0:t>
        </ns0:is>
      </ns0:c>
      <ns0:c r="D165" s="12" t="inlineStr">
        <ns0:is>
          <ns0:t>It is a judgment issued by an international court</ns0:t>
        </ns0:is>
      </ns0:c>
      <ns0:c r="E165" s="12" t="inlineStr">
        <ns0:is>
          <ns0:t>The magistrate informed higher authorities about an island in his county</ns0:t>
        </ns0:is>
      </ns0:c>
      <ns0:c r="F165" s="12" t="inlineStr"/>
      <ns0:c r="G165" s="12" t="n">
        <ns0:v>3</ns0:v>
      </ns0:c>
      <ns0:c r="H165" s="12" t="inlineStr">
        <ns0:is>
          <ns0:t>The author’s office and subject matter show his administrative responsibility.</ns0:t>
        </ns0:is>
      </ns0:c>
      <ns0:c r="I165" s="12" t="inlineStr">
        <ns0:is>
          <ns0:t>As Uldo magistrate, Shim Heung-taek reported information concerning Dokdo to higher authorities in 1906.</ns0:t>
        </ns0:is>
      </ns0:c>
      <ns0:c r="J165" s="12" t="inlineStr">
        <ns0:is>
          <ns0:t>Author: Uldo magistrate Shim Heung-taek. Subject: information from Japanese officials concerning Dokdo, described as belonging to his county, reported upward.</ns0:t>
        </ns0:is>
      </ns0:c>
      <ns0:c r="K165" s="12" t="inlineStr">
        <ns0:is>
          <ns0:t>대한민국 외교부 자료실 · 심흥택 보고서(1906)
https://dokdo.mofa.go.kr/kor/pds/part02_view04.jsp</ns0:t>
        </ns0:is>
      </ns0:c>
    </ns0:row>
    <ns0:row r="166" ht="53" customHeight="1">
      <ns0:c r="A166" s="10" t="n">
        <ns0:v>920165</ns0:v>
      </ns0:c>
      <ns0:c r="B166" s="10" t="inlineStr">
        <ns0:is>
          <ns0:t>Which county does “this county” refer to in Shim’s “Dokdo belonging to this county”?</ns0:t>
        </ns0:is>
      </ns0:c>
      <ns0:c r="C166" s="10" t="inlineStr">
        <ns0:is>
          <ns0:t>Uldo county</ns0:t>
        </ns0:is>
      </ns0:c>
      <ns0:c r="D166" s="10" t="inlineStr">
        <ns0:is>
          <ns0:t>Japan’s Oki district</ns0:t>
        </ns0:is>
      </ns0:c>
      <ns0:c r="E166" s="10" t="inlineStr">
        <ns0:is>
          <ns0:t>Jeju county</ns0:t>
        </ns0:is>
      </ns0:c>
      <ns0:c r="F166" s="10" t="inlineStr"/>
      <ns0:c r="G166" s="10" t="n">
        <ns0:v>1</ns0:v>
      </ns0:c>
      <ns0:c r="H166" s="10" t="inlineStr">
        <ns0:is>
          <ns0:t>The author was Uldo magistrate, so “this county” means Uldo.</ns0:t>
        </ns0:is>
      </ns0:c>
      <ns0:c r="I166" s="10" t="inlineStr">
        <ns0:is>
          <ns0:t>Shim’s phrase “Dokdo belonging to this county” shows his understanding of Dokdo as part of Uldo county.</ns0:t>
        </ns0:is>
      </ns0:c>
      <ns0:c r="J166" s="10" t="inlineStr">
        <ns0:is>
          <ns0:t>“This county” refers to the author’s county. The author was Uldo magistrate Shim Heung-taek.</ns0:t>
        </ns0:is>
      </ns0:c>
      <ns0:c r="K166" s="10" t="inlineStr">
        <ns0:is>
          <ns0:t>대한민국 외교부 자료실 · 심흥택 보고서(1906)
https://dokdo.mofa.go.kr/kor/pds/part02_view04.jsp</ns0:t>
        </ns0:is>
      </ns0:c>
    </ns0:row>
    <ns0:row r="167" ht="53" customHeight="1">
      <ns0:c r="A167" s="12" t="n">
        <ns0:v>920166</ns0:v>
      </ns0:c>
      <ns0:c r="B167" s="12" t="inlineStr">
        <ns0:is>
          <ns0:t>What did Shim Heung-taek mean by ‘Dokdo belonging to this county’?</ns0:t>
        </ns0:is>
      </ns0:c>
      <ns0:c r="C167" s="12" t="inlineStr">
        <ns0:is>
          <ns0:t>Dokdo belongs to Japan’s Oki district</ns0:t>
        </ns0:is>
      </ns0:c>
      <ns0:c r="D167" s="12" t="inlineStr">
        <ns0:is>
          <ns0:t>Dokdo belongs to Uldo County</ns0:t>
        </ns0:is>
      </ns0:c>
      <ns0:c r="E167" s="12" t="inlineStr">
        <ns0:is>
          <ns0:t>Dokdo’s affiliation is unknown</ns0:t>
        </ns0:is>
      </ns0:c>
      <ns0:c r="F167" s="12" t="inlineStr"/>
      <ns0:c r="G167" s="12" t="n">
        <ns0:v>2</ns0:v>
      </ns0:c>
      <ns0:c r="H167" s="12" t="inlineStr">
        <ns0:is>
          <ns0:t>He describes Dokdo as an island of his own county.</ns0:t>
        </ns0:is>
      </ns0:c>
      <ns0:c r="I167" s="12" t="inlineStr">
        <ns0:is>
          <ns0:t>Shim’s phrase “Dokdo belonging to this county” shows his understanding of Dokdo as part of Uldo county.</ns0:t>
        </ns0:is>
      </ns0:c>
      <ns0:c r="J167" s="12" t="inlineStr"/>
      <ns0:c r="K167" s="12" t="inlineStr">
        <ns0:is>
          <ns0:t>대한민국 외교부 자료실 · 심흥택 보고서(1906)
https://dokdo.mofa.go.kr/kor/pds/part02_view04.jsp</ns0:t>
        </ns0:is>
      </ns0:c>
    </ns0:row>
    <ns0:row r="168" ht="53" customHeight="1">
      <ns0:c r="A168" s="10" t="n">
        <ns0:v>920167</ns0:v>
      </ns0:c>
      <ns0:c r="B168" s="10" t="inlineStr">
        <ns0:is>
          <ns0:t>Which phrase directly expresses Shim’s view that Dokdo belongs to Uldo county?</ns0:t>
        </ns0:is>
      </ns0:c>
      <ns0:c r="C168" s="10" t="inlineStr">
        <ns0:is>
          <ns0:t>Japanese officials visited</ns0:t>
        </ns0:is>
      </ns0:c>
      <ns0:c r="D168" s="10" t="inlineStr">
        <ns0:is>
          <ns0:t>I report as follows</ns0:t>
        </ns0:is>
      </ns0:c>
      <ns0:c r="E168" s="10" t="inlineStr">
        <ns0:is>
          <ns0:t>Dokdo belonging to this county</ns0:t>
        </ns0:is>
      </ns0:c>
      <ns0:c r="F168" s="10" t="inlineStr"/>
      <ns0:c r="G168" s="10" t="n">
        <ns0:v>3</ns0:v>
      </ns0:c>
      <ns0:c r="H168" s="10" t="inlineStr">
        <ns0:is>
          <ns0:t>“Belonging to this county” states the administrative affiliation.</ns0:t>
        </ns0:is>
      </ns0:c>
      <ns0:c r="I168" s="10" t="inlineStr">
        <ns0:is>
          <ns0:t>Shim’s phrase “Dokdo belonging to this county” shows his understanding of Dokdo as part of Uldo county.</ns0:t>
        </ns0:is>
      </ns0:c>
      <ns0:c r="J168" s="10" t="inlineStr">
        <ns0:is>
          <ns0:t>Short extract: “Dokdo belonging to this county.” Here the county is Uldo, administered by the author, Shim Heung-taek.</ns0:t>
        </ns0:is>
      </ns0:c>
      <ns0:c r="K168" s="10" t="inlineStr">
        <ns0:is>
          <ns0:t>대한민국 외교부 자료실 · 심흥택 보고서(1906)
https://dokdo.mofa.go.kr/kor/pds/part02_view04.jsp</ns0:t>
        </ns0:is>
      </ns0:c>
    </ns0:row>
    <ns0:row r="169" ht="53" customHeight="1">
      <ns0:c r="A169" s="12" t="n">
        <ns0:v>920168</ns0:v>
      </ns0:c>
      <ns0:c r="B169" s="12" t="inlineStr">
        <ns0:is>
          <ns0:t>What does the phrase “Dokdo belonging to this county” most directly establish?</ns0:t>
        </ns0:is>
      </ns0:c>
      <ns0:c r="C169" s="12" t="inlineStr">
        <ns0:is>
          <ns0:t>The Uldo magistrate recorded Dokdo as his county’s island in 1906</ns0:t>
        </ns0:is>
      </ns0:c>
      <ns0:c r="D169" s="12" t="inlineStr">
        <ns0:is>
          <ns0:t>Japanese officials approved Uldo affiliation in 1906</ns0:t>
        </ns0:is>
      </ns0:c>
      <ns0:c r="E169" s="12" t="inlineStr">
        <ns0:is>
          <ns0:t>The report says Dokdo was newly incorporated into Uldo in 1906</ns0:t>
        </ns0:is>
      </ns0:c>
      <ns0:c r="F169" s="12" t="inlineStr"/>
      <ns0:c r="G169" s="12" t="n">
        <ns0:v>1</ns0:v>
      </ns0:c>
      <ns0:c r="H169" s="12" t="inlineStr">
        <ns0:is>
          <ns0:t>This preserves the author, date and affiliation stated in the document.</ns0:t>
        </ns0:is>
      </ns0:c>
      <ns0:c r="I169" s="12" t="inlineStr">
        <ns0:is>
          <ns0:t>Shim’s phrase “Dokdo belonging to this county” shows his understanding of Dokdo as part of Uldo county.</ns0:t>
        </ns0:is>
      </ns0:c>
      <ns0:c r="J169" s="12" t="inlineStr">
        <ns0:is>
          <ns0:t>Author: Shim Heung-taek, Uldo magistrate of the Korean Empire. Date: 1906. Phrase: Dokdo belonging to this county.</ns0:t>
        </ns0:is>
      </ns0:c>
      <ns0:c r="K169" s="12" t="inlineStr">
        <ns0:is>
          <ns0:t>대한민국 외교부 자료실 · 심흥택 보고서(1906)
https://dokdo.mofa.go.kr/kor/pds/part02_view04.jsp</ns0:t>
        </ns0:is>
      </ns0:c>
    </ns0:row>
    <ns0:row r="170" ht="98" customHeight="1">
      <ns0:c r="A170" s="10" t="n">
        <ns0:v>920169</ns0:v>
      </ns0:c>
      <ns0:c r="B170" s="10" t="inlineStr">
        <ns0:is>
          <ns0:t>Who told Shim Heung-taek in 1906 that Dokdo belonged to Japan?</ns0:t>
        </ns0:is>
      </ns0:c>
      <ns0:c r="C170" s="10" t="inlineStr">
        <ns0:is>
          <ns0:t>The Korean Empire’s emperor</ns0:t>
        </ns0:is>
      </ns0:c>
      <ns0:c r="D170" s="10" t="inlineStr">
        <ns0:is>
          <ns0:t>The visiting Japanese officials</ns0:t>
        </ns0:is>
      </ns0:c>
      <ns0:c r="E170" s="10" t="inlineStr">
        <ns0:is>
          <ns0:t>The Uldo magistrate himself</ns0:t>
        </ns0:is>
      </ns0:c>
      <ns0:c r="F170" s="10" t="inlineStr"/>
      <ns0:c r="G170" s="10" t="n">
        <ns0:v>2</ns0:v>
      </ns0:c>
      <ns0:c r="H170" s="10" t="inlineStr">
        <ns0:is>
          <ns0:t>The report presents this as a claim heard from Japanese officials.</ns0:t>
        </ns0:is>
      </ns0:c>
      <ns0:c r="I170" s="10" t="inlineStr">
        <ns0:is>
          <ns0:t>A Japanese official’s claim quoted in Shim’s report is not an endorsement by Shim.</ns0:t>
        </ns0:is>
      </ns0:c>
      <ns0:c r="J170" s="10" t="inlineStr">
        <ns0:is>
          <ns0:t>Shim called Dokdo part of his county and reported the claim he heard from visiting Japanese officials.</ns0:t>
        </ns0:is>
      </ns0:c>
      <ns0:c r="K170" s="10" t="inlineStr">
        <ns0:is>
          <ns0:t>대한민국 외교부 자료실 · 심흥택 보고서(1906)
https://dokdo.mofa.go.kr/kor/pds/part02_view04.jsp
대한민국 외교부 자료실 · 지령 제3호(1906.5.10)
https://dokdo.mofa.go.kr/kor/pds/part02_view05.jsp</ns0:t>
        </ns0:is>
      </ns0:c>
    </ns0:row>
    <ns0:row r="171" ht="98" customHeight="1">
      <ns0:c r="A171" s="12" t="n">
        <ns0:v>920170</ns0:v>
      </ns0:c>
      <ns0:c r="B171" s="12" t="inlineStr">
        <ns0:is>
          <ns0:t>What did Shim do by recording the Japanese officials’ claim in his report?</ns0:t>
        </ns0:is>
      </ns0:c>
      <ns0:c r="C171" s="12" t="inlineStr">
        <ns0:is>
          <ns0:t>He approved his county becoming Japanese</ns0:t>
        </ns0:is>
      </ns0:c>
      <ns0:c r="D171" s="12" t="inlineStr">
        <ns0:is>
          <ns0:t>He issued that instruction to the Japanese officials</ns0:t>
        </ns0:is>
      </ns0:c>
      <ns0:c r="E171" s="12" t="inlineStr">
        <ns0:is>
          <ns0:t>He conveyed the statement he heard to higher authorities</ns0:t>
        </ns0:is>
      </ns0:c>
      <ns0:c r="F171" s="12" t="inlineStr"/>
      <ns0:c r="G171" s="12" t="n">
        <ns0:v>3</ns0:v>
      </ns0:c>
      <ns0:c r="H171" s="12" t="inlineStr">
        <ns0:is>
          <ns0:t>He reported what he heard while describing Dokdo as belonging to his county.</ns0:t>
        </ns0:is>
      </ns0:c>
      <ns0:c r="I171" s="12" t="inlineStr">
        <ns0:is>
          <ns0:t>A Japanese official’s claim quoted in Shim’s report is not an endorsement by Shim.</ns0:t>
        </ns0:is>
      </ns0:c>
      <ns0:c r="J171" s="12" t="inlineStr">
        <ns0:is>
          <ns0:t>This question concerns Shim’s reporting of the Japanese officials’ claim.</ns0:t>
        </ns0:is>
      </ns0:c>
      <ns0:c r="K171" s="12" t="inlineStr">
        <ns0:is>
          <ns0:t>대한민국 외교부 자료실 · 심흥택 보고서(1906)
https://dokdo.mofa.go.kr/kor/pds/part02_view04.jsp
대한민국 외교부 자료실 · 지령 제3호(1906.5.10)
https://dokdo.mofa.go.kr/kor/pds/part02_view05.jsp</ns0:t>
        </ns0:is>
      </ns0:c>
    </ns0:row>
    <ns0:row r="172" ht="98" customHeight="1">
      <ns0:c r="A172" s="10" t="n">
        <ns0:v>920171</ns0:v>
      </ns0:c>
      <ns0:c r="B172" s="10" t="inlineStr">
        <ns0:is>
          <ns0:t>Which of the two statements is attributed to the Japanese officials?</ns0:t>
        </ns0:is>
      </ns0:c>
      <ns0:c r="C172" s="10" t="inlineStr">
        <ns0:is>
          <ns0:t>A: Dokdo belonging to this county</ns0:t>
        </ns0:is>
      </ns0:c>
      <ns0:c r="D172" s="10" t="inlineStr">
        <ns0:is>
          <ns0:t>B: the claim that Dokdo became Japanese territory</ns0:t>
        </ns0:is>
      </ns0:c>
      <ns0:c r="E172" s="10" t="inlineStr"/>
      <ns0:c r="F172" s="10" t="inlineStr"/>
      <ns0:c r="G172" s="10" t="n">
        <ns0:v>2</ns0:v>
      </ns0:c>
      <ns0:c r="H172" s="10" t="inlineStr">
        <ns0:is>
          <ns0:t>B is explicitly identified as the visitors’ claim.</ns0:t>
        </ns0:is>
      </ns0:c>
      <ns0:c r="I172" s="10" t="inlineStr">
        <ns0:is>
          <ns0:t>A Japanese official’s claim quoted in Shim’s report is not an endorsement by Shim.</ns0:t>
        </ns0:is>
      </ns0:c>
      <ns0:c r="J172" s="10" t="inlineStr">
        <ns0:is>
          <ns0:t>A — Shim’s expression: Dokdo belonging to this county.
B — the Japanese officials’ claim as reported by Shim: Dokdo became Japanese territory.</ns0:t>
        </ns0:is>
      </ns0:c>
      <ns0:c r="K172" s="10" t="inlineStr">
        <ns0:is>
          <ns0:t>대한민국 외교부 자료실 · 심흥택 보고서(1906)
https://dokdo.mofa.go.kr/kor/pds/part02_view04.jsp
대한민국 외교부 자료실 · 지령 제3호(1906.5.10)
https://dokdo.mofa.go.kr/kor/pds/part02_view05.jsp</ns0:t>
        </ns0:is>
      </ns0:c>
    </ns0:row>
    <ns0:row r="173" ht="98" customHeight="1">
      <ns0:c r="A173" s="12" t="n">
        <ns0:v>920172</ns0:v>
      </ns0:c>
      <ns0:c r="B173" s="12" t="inlineStr">
        <ns0:is>
          <ns0:t>What is wrong with presenting Shim’s report as the Korean Empire’s acceptance of Japan’s claim?</ns0:t>
        </ns0:is>
      </ns0:c>
      <ns0:c r="C173" s="12" t="inlineStr">
        <ns0:is>
          <ns0:t>It confuses the visitors’ claim with Shim’s position</ns0:t>
        </ns0:is>
      </ns0:c>
      <ns0:c r="D173" s="12" t="inlineStr">
        <ns0:is>
          <ns0:t>It places the 1900 decree after the 1906 report</ns0:t>
        </ns0:is>
      </ns0:c>
      <ns0:c r="E173" s="12" t="inlineStr">
        <ns0:is>
          <ns0:t>It only swaps the magistrate’s and governor’s titles</ns0:t>
        </ns0:is>
      </ns0:c>
      <ns0:c r="F173" s="12" t="inlineStr"/>
      <ns0:c r="G173" s="12" t="n">
        <ns0:v>1</ns0:v>
      </ns0:c>
      <ns0:c r="H173" s="12" t="inlineStr">
        <ns0:is>
          <ns0:t>Shim reports their statement while describing Dokdo as part of his own county.</ns0:t>
        </ns0:is>
      </ns0:c>
      <ns0:c r="I173" s="12" t="inlineStr">
        <ns0:is>
          <ns0:t>A Japanese official’s claim quoted in Shim’s report is not an endorsement by Shim.</ns0:t>
        </ns0:is>
      </ns0:c>
      <ns0:c r="J173" s="12" t="inlineStr">
        <ns0:is>
          <ns0:t>Shim described Dokdo as belonging to his county and reported the visitors’ claim. The later Directive No. 3 rejected the Japanese claim and ordered investigation.</ns0:t>
        </ns0:is>
      </ns0:c>
      <ns0:c r="K173" s="12" t="inlineStr">
        <ns0:is>
          <ns0:t>대한민국 외교부 자료실 · 심흥택 보고서(1906)
https://dokdo.mofa.go.kr/kor/pds/part02_view04.jsp
대한민국 외교부 자료실 · 지령 제3호(1906.5.10)
https://dokdo.mofa.go.kr/kor/pds/part02_view05.jsp</ns0:t>
        </ns0:is>
      </ns0:c>
    </ns0:row>
    <ns0:row r="174" ht="53" customHeight="1">
      <ns0:c r="A174" s="10" t="n">
        <ns0:v>920173</ns0:v>
      </ns0:c>
      <ns0:c r="B174" s="10" t="inlineStr">
        <ns0:is>
          <ns0:t>Which 1906 directive rejected Japan’s claim to Dokdo?</ns0:t>
        </ns0:is>
      </ns0:c>
      <ns0:c r="C174" s="10" t="inlineStr">
        <ns0:is>
          <ns0:t>Korean Empire Decree No. 41</ns0:t>
        </ns0:is>
      </ns0:c>
      <ns0:c r="D174" s="10" t="inlineStr">
        <ns0:is>
          <ns0:t>The Ulleungdo voyage prohibition</ns0:t>
        </ns0:is>
      </ns0:c>
      <ns0:c r="E174" s="10" t="inlineStr">
        <ns0:is>
          <ns0:t>Directive No. 3</ns0:t>
        </ns0:is>
      </ns0:c>
      <ns0:c r="F174" s="10" t="inlineStr">
        <ns0:is>
          <ns0:t>The Dajokan directive</ns0:t>
        </ns0:is>
      </ns0:c>
      <ns0:c r="G174" s="10" t="n">
        <ns0:v>3</ns0:v>
      </ns0:c>
      <ns0:c r="H174" s="10" t="inlineStr">
        <ns0:is>
          <ns0:t>Directive No. 3 rejected the claim and requested investigation after receiving the report.</ns0:t>
        </ns0:is>
      </ns0:c>
      <ns0:c r="I174" s="10" t="inlineStr">
        <ns0:is>
          <ns0:t>Korean Empire Directive No. 3 of 1906 rejected Japan’s Dokdo claim and ordered further investigation and reporting.</ns0:t>
        </ns0:is>
      </ns0:c>
      <ns0:c r="J174" s="10" t="inlineStr"/>
      <ns0:c r="K174" s="10" t="inlineStr">
        <ns0:is>
          <ns0:t>대한민국 외교부 자료실 · 지령 제3호(1906.5.10)
https://dokdo.mofa.go.kr/kor/pds/part02_view05.jsp</ns0:t>
        </ns0:is>
      </ns0:c>
    </ns0:row>
    <ns0:row r="175" ht="53" customHeight="1">
      <ns0:c r="A175" s="12" t="n">
        <ns0:v>920174</ns0:v>
      </ns0:c>
      <ns0:c r="B175" s="12" t="inlineStr">
        <ns0:is>
          <ns0:t>How did Directive No. 3 respond to Japan’s claim that Dokdo was Japanese?</ns0:t>
        </ns0:is>
      </ns0:c>
      <ns0:c r="C175" s="12" t="inlineStr">
        <ns0:is>
          <ns0:t>It accepted the claim.</ns0:t>
        </ns0:is>
      </ns0:c>
      <ns0:c r="D175" s="12" t="inlineStr">
        <ns0:is>
          <ns0:t>It rejected the claim as false.</ns0:t>
        </ns0:is>
      </ns0:c>
      <ns0:c r="E175" s="12" t="inlineStr">
        <ns0:is>
          <ns0:t>It said no report had been received.</ns0:t>
        </ns0:is>
      </ns0:c>
      <ns0:c r="F175" s="12" t="inlineStr"/>
      <ns0:c r="G175" s="12" t="n">
        <ns0:v>2</ns0:v>
      </ns0:c>
      <ns0:c r="H175" s="12" t="inlineStr">
        <ns0:is>
          <ns0:t>The translated directive rejects the assertion of Japanese territory.</ns0:t>
        </ns0:is>
      </ns0:c>
      <ns0:c r="I175" s="12" t="inlineStr">
        <ns0:is>
          <ns0:t>Korean Empire Directive No. 3 of 1906 rejected Japan’s Dokdo claim and ordered further investigation and reporting.</ns0:t>
        </ns0:is>
      </ns0:c>
      <ns0:c r="J175" s="12" t="inlineStr"/>
      <ns0:c r="K175" s="12" t="inlineStr">
        <ns0:is>
          <ns0:t>대한민국 외교부 자료실 · 지령 제3호(1906.5.10)
https://dokdo.mofa.go.kr/kor/pds/part02_view05.jsp</ns0:t>
        </ns0:is>
      </ns0:c>
    </ns0:row>
    <ns0:row r="176" ht="53" customHeight="1">
      <ns0:c r="A176" s="10" t="n">
        <ns0:v>920175</ns0:v>
      </ns0:c>
      <ns0:c r="B176" s="10" t="inlineStr">
        <ns0:is>
          <ns0:t>What additional action did Directive No. 3 order the officials to take?</ns0:t>
        </ns0:is>
      </ns0:c>
      <ns0:c r="C176" s="10" t="inlineStr">
        <ns0:is>
          <ns0:t>Prepare a document approving Japan’s claim</ns0:t>
        </ns0:is>
      </ns0:c>
      <ns0:c r="D176" s="10" t="inlineStr">
        <ns0:is>
          <ns0:t>Erase the report and leave no record</ns0:t>
        </ns0:is>
      </ns0:c>
      <ns0:c r="E176" s="10" t="inlineStr">
        <ns0:is>
          <ns0:t>Investigate the island’s conditions and Japanese activities and report</ns0:t>
        </ns0:is>
      </ns0:c>
      <ns0:c r="F176" s="10" t="inlineStr"/>
      <ns0:c r="G176" s="10" t="n">
        <ns0:v>3</ns0:v>
      </ns0:c>
      <ns0:c r="H176" s="10" t="inlineStr">
        <ns0:is>
          <ns0:t>The translation requests further investigation and a new report.</ns0:t>
        </ns0:is>
      </ns0:c>
      <ns0:c r="I176" s="10" t="inlineStr">
        <ns0:is>
          <ns0:t>Korean Empire Directive No. 3 of 1906 rejected Japan’s Dokdo claim and ordered further investigation and reporting.</ns0:t>
        </ns0:is>
      </ns0:c>
      <ns0:c r="J176" s="10" t="inlineStr">
        <ns0:is>
          <ns0:t>Directive No. 3, summarised: the claim of Japanese territory is unfounded; investigate the island’s conditions and Japanese activities and report again.</ns0:t>
        </ns0:is>
      </ns0:c>
      <ns0:c r="K176" s="10" t="inlineStr">
        <ns0:is>
          <ns0:t>대한민국 외교부 자료실 · 지령 제3호(1906.5.10)
https://dokdo.mofa.go.kr/kor/pds/part02_view05.jsp</ns0:t>
        </ns0:is>
      </ns0:c>
    </ns0:row>
    <ns0:row r="177" ht="53" customHeight="1">
      <ns0:c r="A177" s="12" t="n">
        <ns0:v>920176</ns0:v>
      </ns0:c>
      <ns0:c r="B177" s="12" t="inlineStr">
        <ns0:is>
          <ns0:t>What administrative response is shown by reading Shim’s report with Directive No. 3?</ns0:t>
        </ns0:is>
      </ns0:c>
      <ns0:c r="C177" s="12" t="inlineStr">
        <ns0:is>
          <ns0:t>Receiving a local report, rejecting the claim and ordering further inquiry</ns0:t>
        </ns0:is>
      </ns0:c>
      <ns0:c r="D177" s="12" t="inlineStr">
        <ns0:is>
          <ns0:t>Immediate acceptance of Japan’s incorporation claim</ns0:t>
        </ns0:is>
      </ns0:c>
      <ns0:c r="E177" s="12" t="inlineStr">
        <ns0:is>
          <ns0:t>Prohibiting reports about the jurisdiction</ns0:t>
        </ns0:is>
      </ns0:c>
      <ns0:c r="F177" s="12" t="inlineStr"/>
      <ns0:c r="G177" s="12" t="n">
        <ns0:v>1</ns0:v>
      </ns0:c>
      <ns0:c r="H177" s="12" t="inlineStr">
        <ns0:is>
          <ns0:t>Reading the report and response together reveals the action following notification.</ns0:t>
        </ns0:is>
      </ns0:c>
      <ns0:c r="I177" s="12" t="inlineStr">
        <ns0:is>
          <ns0:t>Korean Empire Directive No. 3 of 1906 rejected Japan’s Dokdo claim and ordered further investigation and reporting.</ns0:t>
        </ns0:is>
      </ns0:c>
      <ns0:c r="J177" s="12" t="inlineStr">
        <ns0:is>
          <ns0:t>1906: the magistrate reports the visitors’ Dokdo claim → Korean Empire Directive No. 3 rejects it and requests further investigation and reporting.</ns0:t>
        </ns0:is>
      </ns0:c>
      <ns0:c r="K177" s="12" t="inlineStr">
        <ns0:is>
          <ns0:t>대한민국 외교부 자료실 · 지령 제3호(1906.5.10)
https://dokdo.mofa.go.kr/kor/pds/part02_view05.jsp</ns0:t>
        </ns0:is>
      </ns0:c>
    </ns0:row>
    <ns0:row r="178" ht="143" customHeight="1">
      <ns0:c r="A178" s="10" t="n">
        <ns0:v>920177</ns0:v>
      </ns0:c>
      <ns0:c r="B178" s="10" t="inlineStr">
        <ns0:is>
          <ns0:t>Which came first: Decree No. 41 or Shim’s report concerning Dokdo?</ns0:t>
        </ns0:is>
      </ns0:c>
      <ns0:c r="C178" s="10" t="inlineStr">
        <ns0:is>
          <ns0:t>Decree No. 41</ns0:t>
        </ns0:is>
      </ns0:c>
      <ns0:c r="D178" s="10" t="inlineStr">
        <ns0:is>
          <ns0:t>Shim’s report</ns0:t>
        </ns0:is>
      </ns0:c>
      <ns0:c r="E178" s="10" t="inlineStr"/>
      <ns0:c r="F178" s="10" t="inlineStr"/>
      <ns0:c r="G178" s="10" t="n">
        <ns0:v>1</ns0:v>
      </ns0:c>
      <ns0:c r="H178" s="10" t="inlineStr">
        <ns0:is>
          <ns0:t>The decree is from 1900 and the report from 1906.</ns0:t>
        </ns0:is>
      </ns0:c>
      <ns0:c r="I178" s="10" t="inlineStr">
        <ns0:is>
          <ns0:t>The 1900 decree organised Uldo administration; the 1906 report and directive show responses concerning Dokdo.</ns0:t>
        </ns0:is>
      </ns0:c>
      <ns0:c r="J178" s="10" t="inlineStr"/>
      <ns0:c r="K178" s="10" t="inlineStr">
        <ns0:is>
          <ns0:t>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ns0:t>
        </ns0:is>
      </ns0:c>
    </ns0:row>
    <ns0:row r="179" ht="143" customHeight="1">
      <ns0:c r="A179" s="12" t="n">
        <ns0:v>920178</ns0:v>
      </ns0:c>
      <ns0:c r="B179" s="12" t="inlineStr">
        <ns0:is>
          <ns0:t>Which document reported events concerning Dokdo after Uldo’s administrative reform?</ns0:t>
        </ns0:is>
      </ns0:c>
      <ns0:c r="C179" s="12" t="inlineStr">
        <ns0:is>
          <ns0:t>Decree No. 41</ns0:t>
        </ns0:is>
      </ns0:c>
      <ns0:c r="D179" s="12" t="inlineStr">
        <ns0:is>
          <ns0:t>Shim Heung-taek’s report</ns0:t>
        </ns0:is>
      </ns0:c>
      <ns0:c r="E179" s="12" t="inlineStr">
        <ns0:is>
          <ns0:t>The Dajokan directive</ns0:t>
        </ns0:is>
      </ns0:c>
      <ns0:c r="F179" s="12" t="inlineStr"/>
      <ns0:c r="G179" s="12" t="n">
        <ns0:v>2</ns0:v>
      </ns0:c>
      <ns0:c r="H179" s="12" t="inlineStr">
        <ns0:is>
          <ns0:t>Shim reported information about Dokdo in 1906, after the administrative reform of 1900.</ns0:t>
        </ns0:is>
      </ns0:c>
      <ns0:c r="I179" s="12" t="inlineStr">
        <ns0:is>
          <ns0:t>The 1900 decree organised Uldo administration; the 1906 report and directive show responses concerning Dokdo.</ns0:t>
        </ns0:is>
      </ns0:c>
      <ns0:c r="J179" s="12" t="inlineStr">
        <ns0:is>
          <ns0:t>Decree No. 41 set Uldo’s administrative structure in 1900. A report on local events followed in 1906.</ns0:t>
        </ns0:is>
      </ns0:c>
      <ns0:c r="K179" s="12" t="inlineStr">
        <ns0:is>
          <ns0:t>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ns0:t>
        </ns0:is>
      </ns0:c>
    </ns0:row>
    <ns0:row r="180" ht="143" customHeight="1">
      <ns0:c r="A180" s="10" t="n">
        <ns0:v>920179</ns0:v>
      </ns0:c>
      <ns0:c r="B180" s="10" t="inlineStr">
        <ns0:is>
          <ns0:t>What is the order of these three records from earliest to latest?</ns0:t>
        </ns0:is>
      </ns0:c>
      <ns0:c r="C180" s="10" t="inlineStr">
        <ns0:is>
          <ns0:t>Directive No. 3 → 1900 decree → Shim’s report</ns0:t>
        </ns0:is>
      </ns0:c>
      <ns0:c r="D180" s="10" t="inlineStr">
        <ns0:is>
          <ns0:t>Shim’s report → Directive No. 3 → 1900 decree</ns0:t>
        </ns0:is>
      </ns0:c>
      <ns0:c r="E180" s="10" t="inlineStr">
        <ns0:is>
          <ns0:t>1900 decree → Shim’s 1906 report → Directive No. 3</ns0:t>
        </ns0:is>
      </ns0:c>
      <ns0:c r="F180" s="10" t="inlineStr"/>
      <ns0:c r="G180" s="10" t="n">
        <ns0:v>3</ns0:v>
      </ns0:c>
      <ns0:c r="H180" s="10" t="inlineStr">
        <ns0:is>
          <ns0:t>Reorganisation preceded the local report and the subsequent directive.</ns0:t>
        </ns0:is>
      </ns0:c>
      <ns0:c r="I180" s="10" t="inlineStr">
        <ns0:is>
          <ns0:t>The 1900 decree organised Uldo administration; the 1906 report and directive show responses concerning Dokdo.</ns0:t>
        </ns0:is>
      </ns0:c>
      <ns0:c r="J180" s="10" t="inlineStr">
        <ns0:is>
          <ns0:t>1900: Decree No. 41.
1906: Shim’s Dokdo report and the subsequent Directive No. 3.</ns0:t>
        </ns0:is>
      </ns0:c>
      <ns0:c r="K180" s="10" t="inlineStr">
        <ns0:is>
          <ns0:t>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ns0:t>
        </ns0:is>
      </ns0:c>
    </ns0:row>
    <ns0:row r="181" ht="143" customHeight="1">
      <ns0:c r="A181" s="12" t="n">
        <ns0:v>920180</ns0:v>
      </ns0:c>
      <ns0:c r="B181" s="12" t="inlineStr">
        <ns0:is>
          <ns0:t>Which summary correctly distinguishes the roles of the three records?</ns0:t>
        </ns0:is>
      </ns0:c>
      <ns0:c r="C181" s="12" t="inlineStr">
        <ns0:is>
          <ns0:t>Decree: reform / report: notification / directive: response</ns0:t>
        </ns0:is>
      </ns0:c>
      <ns0:c r="D181" s="12" t="inlineStr">
        <ns0:is>
          <ns0:t>Decree: local report / report: imperial order / directive: map</ns0:t>
        </ns0:is>
      </ns0:c>
      <ns0:c r="E181" s="12" t="inlineStr">
        <ns0:is>
          <ns0:t>Decree: response / report: renaming / directive: local report</ns0:t>
        </ns0:is>
      </ns0:c>
      <ns0:c r="F181" s="12" t="inlineStr"/>
      <ns0:c r="G181" s="12" t="n">
        <ns0:v>1</ns0:v>
      </ns0:c>
      <ns0:c r="H181" s="12" t="inlineStr">
        <ns0:is>
          <ns0:t>This distinguishes each record’s role in sequence.</ns0:t>
        </ns0:is>
      </ns0:c>
      <ns0:c r="I181" s="12" t="inlineStr">
        <ns0:is>
          <ns0:t>The 1900 decree organised Uldo administration; the 1906 report and directive show responses concerning Dokdo.</ns0:t>
        </ns0:is>
      </ns0:c>
      <ns0:c r="J181" s="12" t="inlineStr">
        <ns0:is>
          <ns0:t>Record cards: 1900 decree — Uldo reorganisation; 1906 Shim report — local information; Directive No. 3 — rejection of the claim and further investigation.</ns0:t>
        </ns0:is>
      </ns0:c>
      <ns0:c r="K181" s="12" t="inlineStr">
        <ns0:is>
          <ns0:t>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ns0:t>
        </ns0:is>
      </ns0:c>
    </ns0:row>
    <ns0:row r="182" ht="98" customHeight="1">
      <ns0:c r="A182" s="10" t="n">
        <ns0:v>920181</ns0:v>
      </ns0:c>
      <ns0:c r="B182" s="10" t="inlineStr">
        <ns0:is>
          <ns0:t>On which main island of Dokdo is Cheonjang Cave?</ns0:t>
        </ns0:is>
      </ns0:c>
      <ns0:c r="C182" s="10" t="inlineStr">
        <ns0:is>
          <ns0:t>Seodo</ns0:t>
        </ns0:is>
      </ns0:c>
      <ns0:c r="D182" s="10" t="inlineStr">
        <ns0:is>
          <ns0:t>Dongdo</ns0:t>
        </ns0:is>
      </ns0:c>
      <ns0:c r="E182" s="10" t="inlineStr"/>
      <ns0:c r="F182" s="10" t="inlineStr"/>
      <ns0:c r="G182" s="10" t="n">
        <ns0:v>2</ns0:v>
      </ns0:c>
      <ns0:c r="H182" s="10" t="inlineStr">
        <ns0:is>
          <ns0:t>Cheonjang Cave is described as a depression in central Dongdo.</ns0:t>
        </ns0:is>
      </ns0:c>
      <ns0:c r="I182" s="10" t="inlineStr">
        <ns0:is>
          <ns0:t>Cheonjang Cave is a deep, well-shaped depression in central Dongdo.</ns0:t>
        </ns0:is>
      </ns0:c>
      <ns0:c r="J182" s="10" t="inlineStr"/>
      <ns0:c r="K182" s="10" t="inlineStr">
        <ns0:is>
          <ns0:t>대한민국 한국관광공사 · 천장굴
https://korean.visitkorea.or.kr/detail/ms_detail.do?cotid=21978541-1e2d-4dd8-83fd-92ce4f55dec6
대한민국 한국해양과학기술원 · 독도의 지명
https://www.dokdo.re.kr/home/cms/cmsCont.do?cntnts_sn=65</ns0:t>
        </ns0:is>
      </ns0:c>
    </ns0:row>
    <ns0:row r="183" ht="98" customHeight="1">
      <ns0:c r="A183" s="12" t="n">
        <ns0:v>920182</ns0:v>
      </ns0:c>
      <ns0:c r="B183" s="12" t="inlineStr">
        <ns0:is>
          <ns0:t>Which description best matches the overall form of Cheonjang Cave?</ns0:t>
        </ns0:is>
      </ns0:c>
      <ns0:c r="C183" s="12" t="inlineStr">
        <ns0:is>
          <ns0:t>A door-like rock arch</ns0:t>
        </ns0:is>
      </ns0:c>
      <ns0:c r="D183" s="12" t="inlineStr">
        <ns0:is>
          <ns0:t>A deep, well-shaped hollow</ns0:t>
        </ns0:is>
      </ns0:c>
      <ns0:c r="E183" s="12" t="inlineStr">
        <ns0:is>
          <ns0:t>A sandy ridge parallel to the sea</ns0:t>
        </ns0:is>
      </ns0:c>
      <ns0:c r="F183" s="12" t="inlineStr"/>
      <ns0:c r="G183" s="12" t="n">
        <ns0:v>2</ns0:v>
      </ns0:c>
      <ns0:c r="H183" s="12" t="inlineStr">
        <ns0:is>
          <ns0:t>A deep central depression is the described feature.</ns0:t>
        </ns0:is>
      </ns0:c>
      <ns0:c r="I183" s="12" t="inlineStr">
        <ns0:is>
          <ns0:t>Cheonjang Cave is a deep, well-shaped depression in central Dongdo.</ns0:t>
        </ns0:is>
      </ns0:c>
      <ns0:c r="J183" s="12" t="inlineStr"/>
      <ns0:c r="K183" s="12" t="inlineStr">
        <ns0:is>
          <ns0:t>대한민국 한국관광공사 · 천장굴
https://korean.visitkorea.or.kr/detail/ms_detail.do?cotid=21978541-1e2d-4dd8-83fd-92ce4f55dec6
대한민국 한국해양과학기술원 · 독도의 지명
https://www.dokdo.re.kr/home/cms/cmsCont.do?cntnts_sn=65</ns0:t>
        </ns0:is>
      </ns0:c>
    </ns0:row>
    <ns0:row r="184" ht="98" customHeight="1">
      <ns0:c r="A184" s="10" t="n">
        <ns0:v>920183</ns0:v>
      </ns0:c>
      <ns0:c r="B184" s="10" t="inlineStr">
        <ns0:is>
          <ns0:t>Which Dokdo place matches the supplied description?</ns0:t>
        </ns0:is>
      </ns0:c>
      <ns0:c r="C184" s="10" t="inlineStr">
        <ns0:is>
          <ns0:t>Mulgol</ns0:t>
        </ns0:is>
      </ns0:c>
      <ns0:c r="D184" s="10" t="inlineStr">
        <ns0:is>
          <ns0:t>Tanggeonbong</ns0:t>
        </ns0:is>
      </ns0:c>
      <ns0:c r="E184" s="10" t="inlineStr">
        <ns0:is>
          <ns0:t>Cheonjang Cave</ns0:t>
        </ns0:is>
      </ns0:c>
      <ns0:c r="F184" s="10" t="inlineStr"/>
      <ns0:c r="G184" s="10" t="n">
        <ns0:v>3</ns0:v>
      </ns0:c>
      <ns0:c r="H184" s="10" t="inlineStr">
        <ns0:is>
          <ns0:t>Its central Dongdo location and well-shaped depression identify Cheonjang Cave.</ns0:t>
        </ns0:is>
      </ns0:c>
      <ns0:c r="I184" s="10" t="inlineStr">
        <ns0:is>
          <ns0:t>Cheonjang Cave is a deep, well-shaped depression in central Dongdo.</ns0:t>
        </ns0:is>
      </ns0:c>
      <ns0:c r="J184" s="10" t="inlineStr">
        <ns0:is>
          <ns0:t>Location: central Dongdo. Form: a deep, well-shaped depression. Although once thought to be a crater, the tourism description explains it as a collapse feature shaped by weathering and erosion.</ns0:t>
        </ns0:is>
      </ns0:c>
      <ns0:c r="K184" s="10" t="inlineStr">
        <ns0:is>
          <ns0:t>대한민국 한국관광공사 · 천장굴
https://korean.visitkorea.or.kr/detail/ms_detail.do?cotid=21978541-1e2d-4dd8-83fd-92ce4f55dec6
대한민국 한국해양과학기술원 · 독도의 지명
https://www.dokdo.re.kr/home/cms/cmsCont.do?cntnts_sn=65</ns0:t>
        </ns0:is>
      </ns0:c>
    </ns0:row>
    <ns0:row r="185" ht="98" customHeight="1">
      <ns0:c r="A185" s="12" t="n">
        <ns0:v>920184</ns0:v>
      </ns0:c>
      <ns0:c r="B185" s="12" t="inlineStr">
        <ns0:is>
          <ns0:t>Which feature should an explanatory drawing of Cheonjang Cave include?</ns0:t>
        </ns0:is>
      </ns0:c>
      <ns0:c r="C185" s="12" t="inlineStr">
        <ns0:is>
          <ns0:t>A deep hollow descending within Dongdo</ns0:t>
        </ns0:is>
      </ns0:c>
      <ns0:c r="D185" s="12" t="inlineStr">
        <ns0:is>
          <ns0:t>A sharp summit on Seodo</ns0:t>
        </ns0:is>
      </ns0:c>
      <ns0:c r="E185" s="12" t="inlineStr">
        <ns0:is>
          <ns0:t>Only a door-shaped arch on Dongdo’s coast</ns0:t>
        </ns0:is>
      </ns0:c>
      <ns0:c r="F185" s="12" t="inlineStr"/>
      <ns0:c r="G185" s="12" t="n">
        <ns0:v>1</ns0:v>
      </ns0:c>
      <ns0:c r="H185" s="12" t="inlineStr">
        <ns0:is>
          <ns0:t>The central depression, not merely a small opening in a coastal wall, is the key feature.</ns0:t>
        </ns0:is>
      </ns0:c>
      <ns0:c r="I185" s="12" t="inlineStr">
        <ns0:is>
          <ns0:t>Cheonjang Cave is a deep, well-shaped depression in central Dongdo.</ns0:t>
        </ns0:is>
      </ns0:c>
      <ns0:c r="J185" s="12" t="inlineStr">
        <ns0:is>
          <ns0:t>Feature checklist: central Dongdo; well-shaped; deeply depressed space. This asks about an explanatory drawing, not a surveyed plan.</ns0:t>
        </ns0:is>
      </ns0:c>
      <ns0:c r="K185" s="12" t="inlineStr">
        <ns0:is>
          <ns0:t>대한민국 한국관광공사 · 천장굴
https://korean.visitkorea.or.kr/detail/ms_detail.do?cotid=21978541-1e2d-4dd8-83fd-92ce4f55dec6
대한민국 한국해양과학기술원 · 독도의 지명
https://www.dokdo.re.kr/home/cms/cmsCont.do?cntnts_sn=65</ns0:t>
        </ns0:is>
      </ns0:c>
    </ns0:row>
    <ns0:row r="186" ht="158" customHeight="1">
      <ns0:c r="A186" s="10" t="n">
        <ns0:v>920185</ns0:v>
      </ns0:c>
      <ns0:c r="B186" s="10" t="inlineStr">
        <ns0:is>
          <ns0:t>Which Dokdo rock is named for its door-like arch?</ns0:t>
        </ns0:is>
      </ns0:c>
      <ns0:c r="C186" s="10" t="inlineStr">
        <ns0:is>
          <ns0:t>Sutdol Rock</ns0:t>
        </ns0:is>
      </ns0:c>
      <ns0:c r="D186" s="10" t="inlineStr">
        <ns0:is>
          <ns0:t>Dongnimmun Rock</ns0:t>
        </ns0:is>
      </ns0:c>
      <ns0:c r="E186" s="10" t="inlineStr">
        <ns0:is>
          <ns0:t>Gaje Rock</ns0:t>
        </ns0:is>
      </ns0:c>
      <ns0:c r="F186" s="10" t="inlineStr"/>
      <ns0:c r="G186" s="10" t="n">
        <ns0:v>2</ns0:v>
      </ns0:c>
      <ns0:c r="H186" s="10" t="inlineStr">
        <ns0:is>
          <ns0:t>Its arch-like form is associated with the name Dongnimmun.</ns0:t>
        </ns0:is>
      </ns0:c>
      <ns0:c r="I186" s="10" t="inlineStr">
        <ns0:is>
          <ns0:t>Dongnimmun Rock on Dongdo is a door-like sea arch formed in coastal rock.</ns0:t>
        </ns0:is>
      </ns0:c>
      <ns0:c r="J186" s="10" t="inlineStr"/>
      <ns0:c r="K186" s="10" t="inlineStr">
        <ns0:is>
          <ns0:t>대한민국 한국관광공사 · 독립문바위
https://korean.visitkorea.or.kr/detail/ms_detail.do?cotid=0fe4eeb6-3f6a-48b1-ab75-c8d4ab6b43be
대한민국 한국해양과학기술원 · 독도의 지명
https://www.dokdo.re.kr/home/cms/cmsCont.do?cntnts_sn=65
대한민국 한국해양과학기술원 · 독도 지형 및 지질
https://www.dokdo.re.kr/home/cms/cmsCont.do?cntnts_sn=66</ns0:t>
        </ns0:is>
      </ns0:c>
    </ns0:row>
    <ns0:row r="187" ht="158" customHeight="1">
      <ns0:c r="A187" s="12" t="n">
        <ns0:v>920186</ns0:v>
      </ns0:c>
      <ns0:c r="B187" s="12" t="inlineStr">
        <ns0:is>
          <ns0:t>On which main island’s coast is Dongnimmun Rock?</ns0:t>
        </ns0:is>
      </ns0:c>
      <ns0:c r="C187" s="12" t="inlineStr">
        <ns0:is>
          <ns0:t>Dongdo</ns0:t>
        </ns0:is>
      </ns0:c>
      <ns0:c r="D187" s="12" t="inlineStr">
        <ns0:is>
          <ns0:t>Seodo</ns0:t>
        </ns0:is>
      </ns0:c>
      <ns0:c r="E187" s="12" t="inlineStr"/>
      <ns0:c r="F187" s="12" t="inlineStr"/>
      <ns0:c r="G187" s="12" t="n">
        <ns0:v>1</ns0:v>
      </ns0:c>
      <ns0:c r="H187" s="12" t="inlineStr">
        <ns0:is>
          <ns0:t>Dongnimmun Rock is described as a sea arch on Dongdo.</ns0:t>
        </ns0:is>
      </ns0:c>
      <ns0:c r="I187" s="12" t="inlineStr">
        <ns0:is>
          <ns0:t>Dongnimmun Rock on Dongdo is a door-like sea arch formed in coastal rock.</ns0:t>
        </ns0:is>
      </ns0:c>
      <ns0:c r="J187" s="12" t="inlineStr"/>
      <ns0:c r="K187" s="12" t="inlineStr">
        <ns0:is>
          <ns0:t>대한민국 한국관광공사 · 독립문바위
https://korean.visitkorea.or.kr/detail/ms_detail.do?cotid=0fe4eeb6-3f6a-48b1-ab75-c8d4ab6b43be
대한민국 한국해양과학기술원 · 독도의 지명
https://www.dokdo.re.kr/home/cms/cmsCont.do?cntnts_sn=65
대한민국 한국해양과학기술원 · 독도 지형 및 지질
https://www.dokdo.re.kr/home/cms/cmsCont.do?cntnts_sn=66</ns0:t>
        </ns0:is>
      </ns0:c>
    </ns0:row>
    <ns0:row r="188" ht="158" customHeight="1">
      <ns0:c r="A188" s="10" t="n">
        <ns0:v>920187</ns0:v>
      </ns0:c>
      <ns0:c r="B188" s="10" t="inlineStr">
        <ns0:is>
          <ns0:t>What type of landform is Dongnimmun Rock?</ns0:t>
        </ns0:is>
      </ns0:c>
      <ns0:c r="C188" s="10" t="inlineStr">
        <ns0:is>
          <ns0:t>River delta</ns0:t>
        </ns0:is>
      </ns0:c>
      <ns0:c r="D188" s="10" t="inlineStr">
        <ns0:is>
          <ns0:t>Glacial valley</ns0:t>
        </ns0:is>
      </ns0:c>
      <ns0:c r="E188" s="10" t="inlineStr">
        <ns0:is>
          <ns0:t>Sea arch</ns0:t>
        </ns0:is>
      </ns0:c>
      <ns0:c r="F188" s="10" t="inlineStr"/>
      <ns0:c r="G188" s="10" t="n">
        <ns0:v>3</ns0:v>
      </ns0:c>
      <ns0:c r="H188" s="10" t="inlineStr">
        <ns0:is>
          <ns0:t>A sea arch is an opening eroded through coastal rock.</ns0:t>
        </ns0:is>
      </ns0:c>
      <ns0:c r="I188" s="10" t="inlineStr">
        <ns0:is>
          <ns0:t>Dongnimmun Rock on Dongdo is a door-like sea arch formed in coastal rock.</ns0:t>
        </ns0:is>
      </ns0:c>
      <ns0:c r="J188" s="10" t="inlineStr">
        <ns0:is>
          <ns0:t>Dongnimmun Rock: erosion opened a passage through coastal rock, leaving rock above it as a door-like arch.</ns0:t>
        </ns0:is>
      </ns0:c>
      <ns0:c r="K188" s="10" t="inlineStr">
        <ns0:is>
          <ns0:t>대한민국 한국관광공사 · 독립문바위
https://korean.visitkorea.or.kr/detail/ms_detail.do?cotid=0fe4eeb6-3f6a-48b1-ab75-c8d4ab6b43be
대한민국 한국해양과학기술원 · 독도의 지명
https://www.dokdo.re.kr/home/cms/cmsCont.do?cntnts_sn=65
대한민국 한국해양과학기술원 · 독도 지형 및 지질
https://www.dokdo.re.kr/home/cms/cmsCont.do?cntnts_sn=66</ns0:t>
        </ns0:is>
      </ns0:c>
    </ns0:row>
    <ns0:row r="189" ht="158" customHeight="1">
      <ns0:c r="A189" s="12" t="n">
        <ns0:v>920188</ns0:v>
      </ns0:c>
      <ns0:c r="B189" s="12" t="inlineStr">
        <ns0:is>
          <ns0:t>Which distinction between Dongnimmun Rock and Cheonjang Cave is correct?</ns0:t>
        </ns0:is>
      </ns0:c>
      <ns0:c r="C189" s="12" t="inlineStr">
        <ns0:is>
          <ns0:t>Dongnimmun is an arch; Cheonjang is a well-shaped depression</ns0:t>
        </ns0:is>
      </ns0:c>
      <ns0:c r="D189" s="12" t="inlineStr">
        <ns0:is>
          <ns0:t>Both are sharp peaks on Seodo</ns0:t>
        </ns0:is>
      </ns0:c>
      <ns0:c r="E189" s="12" t="inlineStr">
        <ns0:is>
          <ns0:t>Dongnimmun is a depression; Cheonjang is a sea arch</ns0:t>
        </ns0:is>
      </ns0:c>
      <ns0:c r="F189" s="12" t="inlineStr"/>
      <ns0:c r="G189" s="12" t="n">
        <ns0:v>1</ns0:v>
      </ns0:c>
      <ns0:c r="H189" s="12" t="inlineStr">
        <ns0:is>
          <ns0:t>Both involve openings, but an arch passage and a depression are different forms.</ns0:t>
        </ns0:is>
      </ns0:c>
      <ns0:c r="I189" s="12" t="inlineStr">
        <ns0:is>
          <ns0:t>Dongnimmun Rock on Dongdo is a door-like sea arch formed in coastal rock.</ns0:t>
        </ns0:is>
      </ns0:c>
      <ns0:c r="J189" s="12" t="inlineStr">
        <ns0:is>
          <ns0:t>Dongdo comparison: Dongnimmun Rock — a door-like sea arch; Cheonjang Cave — a central well-shaped depression.</ns0:t>
        </ns0:is>
      </ns0:c>
      <ns0:c r="K189" s="12" t="inlineStr">
        <ns0:is>
          <ns0:t>대한민국 한국관광공사 · 독립문바위
https://korean.visitkorea.or.kr/detail/ms_detail.do?cotid=0fe4eeb6-3f6a-48b1-ab75-c8d4ab6b43be
대한민국 한국해양과학기술원 · 독도의 지명
https://www.dokdo.re.kr/home/cms/cmsCont.do?cntnts_sn=65
대한민국 한국해양과학기술원 · 독도 지형 및 지질
https://www.dokdo.re.kr/home/cms/cmsCont.do?cntnts_sn=66</ns0:t>
        </ns0:is>
      </ns0:c>
    </ns0:row>
    <ns0:row r="190" ht="98" customHeight="1">
      <ns0:c r="A190" s="10" t="n">
        <ns0:v>920189</ns0:v>
      </ns0:c>
      <ns0:c r="B190" s="10" t="inlineStr">
        <ns0:is>
          <ns0:t>Which facility is Sutdol Rock near?</ns0:t>
        </ns0:is>
      </ns0:c>
      <ns0:c r="C190" s="10" t="inlineStr">
        <ns0:is>
          <ns0:t>Seodo’s accommodation</ns0:t>
        </ns0:is>
      </ns0:c>
      <ns0:c r="D190" s="10" t="inlineStr">
        <ns0:is>
          <ns0:t>Dongdo’s dock</ns0:t>
        </ns0:is>
      </ns0:c>
      <ns0:c r="E190" s="10" t="inlineStr">
        <ns0:is>
          <ns0:t>A harbour on Ulleungdo</ns0:t>
        </ns0:is>
      </ns0:c>
      <ns0:c r="F190" s="10" t="inlineStr"/>
      <ns0:c r="G190" s="10" t="n">
        <ns0:v>2</ns0:v>
      </ns0:c>
      <ns0:c r="H190" s="10" t="inlineStr">
        <ns0:is>
          <ns0:t>The rock is described as being near Dongdo’s dock.</ns0:t>
        </ns0:is>
      </ns0:c>
      <ns0:c r="I190" s="10" t="inlineStr">
        <ns0:is>
          <ns0:t>Sutdol Rock is near Dongdo’s dock and is named for its whetstone-like rock.</ns0:t>
        </ns0:is>
      </ns0:c>
      <ns0:c r="J190" s="10" t="inlineStr"/>
      <ns0:c r="K190" s="10" t="inlineStr">
        <ns0:is>
          <ns0:t>대한민국 한국관광공사 · 숫돌바위
https://korean.visitkorea.or.kr/detail/ms_detail.do?cotid=603167d6-1056-43c1-8a3d-c8640dd25938
대한민국 한국해양과학기술원 · 독도의 지명
https://www.dokdo.re.kr/home/cms/cmsCont.do?cntnts_sn=65</ns0:t>
        </ns0:is>
      </ns0:c>
    </ns0:row>
    <ns0:row r="191" ht="98" customHeight="1">
      <ns0:c r="A191" s="12" t="n">
        <ns0:v>920190</ns0:v>
      </ns0:c>
      <ns0:c r="B191" s="12" t="inlineStr">
        <ns0:is>
          <ns0:t>Which object is associated with Sutdol Rock’s name?</ns0:t>
        </ns0:is>
      </ns0:c>
      <ns0:c r="C191" s="12" t="inlineStr">
        <ns0:is>
          <ns0:t>A tanggeon headpiece</ns0:t>
        </ns0:is>
      </ns0:c>
      <ns0:c r="D191" s="12" t="inlineStr">
        <ns0:is>
          <ns0:t>A gateway</ns0:t>
        </ns0:is>
      </ns0:c>
      <ns0:c r="E191" s="12" t="inlineStr">
        <ns0:is>
          <ns0:t>A whetstone used for sharpening</ns0:t>
        </ns0:is>
      </ns0:c>
      <ns0:c r="F191" s="12" t="inlineStr"/>
      <ns0:c r="G191" s="12" t="n">
        <ns0:v>3</ns0:v>
      </ns0:c>
      <ns0:c r="H191" s="12" t="inlineStr">
        <ns0:is>
          <ns0:t>The account links its rock to a whetstone used for sharpening.</ns0:t>
        </ns0:is>
      </ns0:c>
      <ns0:c r="I191" s="12" t="inlineStr">
        <ns0:is>
          <ns0:t>Sutdol Rock is near Dongdo’s dock and is named for its whetstone-like rock.</ns0:t>
        </ns0:is>
      </ns0:c>
      <ns0:c r="J191" s="12" t="inlineStr"/>
      <ns0:c r="K191" s="12" t="inlineStr">
        <ns0:is>
          <ns0:t>대한민국 한국관광공사 · 숫돌바위
https://korean.visitkorea.or.kr/detail/ms_detail.do?cotid=603167d6-1056-43c1-8a3d-c8640dd25938
대한민국 한국해양과학기술원 · 독도의 지명
https://www.dokdo.re.kr/home/cms/cmsCont.do?cntnts_sn=65</ns0:t>
        </ns0:is>
      </ns0:c>
    </ns0:row>
    <ns0:row r="192" ht="98" customHeight="1">
      <ns0:c r="A192" s="10" t="n">
        <ns0:v>920191</ns0:v>
      </ns0:c>
      <ns0:c r="B192" s="10" t="inlineStr">
        <ns0:is>
          <ns0:t>What orientation of columnar joints is described at Sutdol Rock?</ns0:t>
        </ns0:is>
      </ns0:c>
      <ns0:c r="C192" s="10" t="inlineStr">
        <ns0:is>
          <ns0:t>Lying horizontally</ns0:t>
        </ns0:is>
      </ns0:c>
      <ns0:c r="D192" s="10" t="inlineStr">
        <ns0:is>
          <ns0:t>All standing vertically</ns0:t>
        </ns0:is>
      </ns0:c>
      <ns0:c r="E192" s="10" t="inlineStr">
        <ns0:is>
          <ns0:t>Spiralling in circles</ns0:t>
        </ns0:is>
      </ns0:c>
      <ns0:c r="F192" s="10" t="inlineStr"/>
      <ns0:c r="G192" s="10" t="n">
        <ns0:v>1</ns0:v>
      </ns0:c>
      <ns0:c r="H192" s="10" t="inlineStr">
        <ns0:is>
          <ns0:t>The tourism account highlights horizontal columnar joints.</ns0:t>
        </ns0:is>
      </ns0:c>
      <ns0:c r="I192" s="10" t="inlineStr">
        <ns0:is>
          <ns0:t>Sutdol Rock is near Dongdo’s dock and is named for its whetstone-like rock.</ns0:t>
        </ns0:is>
      </ns0:c>
      <ns0:c r="J192" s="10" t="inlineStr">
        <ns0:is>
          <ns0:t>Sutdol Rock account: whetstone-like rock with horizontal columnar joints. Columnar jointing forms pillar-like divisions in rock.</ns0:t>
        </ns0:is>
      </ns0:c>
      <ns0:c r="K192" s="10" t="inlineStr">
        <ns0:is>
          <ns0:t>대한민국 한국관광공사 · 숫돌바위
https://korean.visitkorea.or.kr/detail/ms_detail.do?cotid=603167d6-1056-43c1-8a3d-c8640dd25938
대한민국 한국해양과학기술원 · 독도의 지명
https://www.dokdo.re.kr/home/cms/cmsCont.do?cntnts_sn=65</ns0:t>
        </ns0:is>
      </ns0:c>
    </ns0:row>
    <ns0:row r="193" ht="98" customHeight="1">
      <ns0:c r="A193" s="12" t="n">
        <ns0:v>920192</ns0:v>
      </ns0:c>
      <ns0:c r="B193" s="12" t="inlineStr">
        <ns0:is>
          <ns0:t>Which set of clues correctly identifies Sutdol Rock?</ns0:t>
        </ns0:is>
      </ns0:c>
      <ns0:c r="C193" s="12" t="inlineStr">
        <ns0:is>
          <ns0:t>A Seodo peak; headpiece shape; elevated summit</ns0:t>
        </ns0:is>
      </ns0:c>
      <ns0:c r="D193" s="12" t="inlineStr">
        <ns0:is>
          <ns0:t>Near Dongdo dock; whetstone-like rock; horizontal joints</ns0:t>
        </ns0:is>
      </ns0:c>
      <ns0:c r="E193" s="12" t="inlineStr">
        <ns0:is>
          <ns0:t>Central Dongdo; well-shaped; deeply depressed</ns0:t>
        </ns0:is>
      </ns0:c>
      <ns0:c r="F193" s="12" t="inlineStr"/>
      <ns0:c r="G193" s="12" t="n">
        <ns0:v>2</ns0:v>
      </ns0:c>
      <ns0:c r="H193" s="12" t="inlineStr">
        <ns0:is>
          <ns0:t>All three clues match the supplied description.</ns0:t>
        </ns0:is>
      </ns0:c>
      <ns0:c r="I193" s="12" t="inlineStr">
        <ns0:is>
          <ns0:t>Sutdol Rock is near Dongdo’s dock and is named for its whetstone-like rock.</ns0:t>
        </ns0:is>
      </ns0:c>
      <ns0:c r="J193" s="12" t="inlineStr">
        <ns0:is>
          <ns0:t>Sutdol Rock stands near Dongdo’s dock, has whetstone-like rock, and displays horizontal columnar jointing.</ns0:t>
        </ns0:is>
      </ns0:c>
      <ns0:c r="K193" s="12" t="inlineStr">
        <ns0:is>
          <ns0:t>대한민국 한국관광공사 · 숫돌바위
https://korean.visitkorea.or.kr/detail/ms_detail.do?cotid=603167d6-1056-43c1-8a3d-c8640dd25938
대한민국 한국해양과학기술원 · 독도의 지명
https://www.dokdo.re.kr/home/cms/cmsCont.do?cntnts_sn=65</ns0:t>
        </ns0:is>
      </ns0:c>
    </ns0:row>
    <ns0:row r="194" ht="53" customHeight="1">
      <ns0:c r="A194" s="10" t="n">
        <ns0:v>920193</ns0:v>
      </ns0:c>
      <ns0:c r="B194" s="10" t="inlineStr">
        <ns0:is>
          <ns0:t>“Gaje” in Dokdo’s Gaje Rock is an old name for which animal?</ns0:t>
        </ns0:is>
      </ns0:c>
      <ns0:c r="C194" s="10" t="inlineStr">
        <ns0:is>
          <ns0:t>Black-tailed gull</ns0:t>
        </ns0:is>
      </ns0:c>
      <ns0:c r="D194" s="10" t="inlineStr">
        <ns0:is>
          <ns0:t>Octopus</ns0:t>
        </ns0:is>
      </ns0:c>
      <ns0:c r="E194" s="10" t="inlineStr">
        <ns0:is>
          <ns0:t>Sea lion</ns0:t>
        </ns0:is>
      </ns0:c>
      <ns0:c r="F194" s="10" t="inlineStr"/>
      <ns0:c r="G194" s="10" t="n">
        <ns0:v>3</ns0:v>
      </ns0:c>
      <ns0:c r="H194" s="10" t="inlineStr">
        <ns0:is>
          <ns0:t>The place-name account links gaje with an old name for sea lions.</ns0:t>
        </ns0:is>
      </ns0:c>
      <ns0:c r="I194" s="10" t="inlineStr">
        <ns0:is>
          <ns0:t>Gaje is an old name for the sea lion and survives in the name Gaje Rock on Dokdo.</ns0:t>
        </ns0:is>
      </ns0:c>
      <ns0:c r="J194" s="10" t="inlineStr"/>
      <ns0:c r="K194" s="10" t="inlineStr">
        <ns0:is>
          <ns0:t>대한민국 한국해양과학기술원 · 독도의 지명
https://www.dokdo.re.kr/home/cms/cmsCont.do?cntnts_sn=65</ns0:t>
        </ns0:is>
      </ns0:c>
    </ns0:row>
    <ns0:row r="195" ht="53" customHeight="1">
      <ns0:c r="A195" s="12" t="n">
        <ns0:v>920194</ns0:v>
      </ns0:c>
      <ns0:c r="B195" s="12" t="inlineStr">
        <ns0:is>
          <ns0:t>What aspect of Dokdo’s history is remembered in the name Gaje Rock?</ns0:t>
        </ns0:is>
      </ns0:c>
      <ns0:c r="C195" s="12" t="inlineStr">
        <ns0:is>
          <ns0:t>The history of sea lions living there</ns0:t>
        </ns0:is>
      </ns0:c>
      <ns0:c r="D195" s="12" t="inlineStr">
        <ns0:is>
          <ns0:t>A name referring only to seabirds</ns0:t>
        </ns0:is>
      </ns0:c>
      <ns0:c r="E195" s="12" t="inlineStr">
        <ns0:is>
          <ns0:t>An old name for seaweed</ns0:t>
        </ns0:is>
      </ns0:c>
      <ns0:c r="F195" s="12" t="inlineStr"/>
      <ns0:c r="G195" s="12" t="n">
        <ns0:v>1</ns0:v>
      </ns0:c>
      <ns0:c r="H195" s="12" t="inlineStr">
        <ns0:is>
          <ns0:t>The rock name preserves gaje, an old sea lion term.</ns0:t>
        </ns0:is>
      </ns0:c>
      <ns0:c r="I195" s="12" t="inlineStr">
        <ns0:is>
          <ns0:t>Gaje is an old name for the sea lion and survives in the name Gaje Rock on Dokdo.</ns0:t>
        </ns0:is>
      </ns0:c>
      <ns0:c r="J195" s="12" t="inlineStr"/>
      <ns0:c r="K195" s="12" t="inlineStr">
        <ns0:is>
          <ns0:t>대한민국 한국해양과학기술원 · 독도의 지명
https://www.dokdo.re.kr/home/cms/cmsCont.do?cntnts_sn=65</ns0:t>
        </ns0:is>
      </ns0:c>
    </ns0:row>
    <ns0:row r="196" ht="53" customHeight="1">
      <ns0:c r="A196" s="10" t="n">
        <ns0:v>920195</ns0:v>
      </ns0:c>
      <ns0:c r="B196" s="10" t="inlineStr">
        <ns0:is>
          <ns0:t>Which place name is connected by the explanation “gaje is an old name for sea lions”?</ns0:t>
        </ns0:is>
      </ns0:c>
      <ns0:c r="C196" s="10" t="inlineStr">
        <ns0:is>
          <ns0:t>Tanggeonbong</ns0:t>
        </ns0:is>
      </ns0:c>
      <ns0:c r="D196" s="10" t="inlineStr">
        <ns0:is>
          <ns0:t>Gaje Rock</ns0:t>
        </ns0:is>
      </ns0:c>
      <ns0:c r="E196" s="10" t="inlineStr">
        <ns0:is>
          <ns0:t>Sutdol Rock</ns0:t>
        </ns0:is>
      </ns0:c>
      <ns0:c r="F196" s="10" t="inlineStr"/>
      <ns0:c r="G196" s="10" t="n">
        <ns0:v>2</ns0:v>
      </ns0:c>
      <ns0:c r="H196" s="10" t="inlineStr">
        <ns0:is>
          <ns0:t>The old animal name appears in the place name.</ns0:t>
        </ns0:is>
      </ns0:c>
      <ns0:c r="I196" s="10" t="inlineStr">
        <ns0:is>
          <ns0:t>Gaje is an old name for the sea lion and survives in the name Gaje Rock on Dokdo.</ns0:t>
        </ns0:is>
      </ns0:c>
      <ns0:c r="J196" s="10" t="inlineStr">
        <ns0:is>
          <ns0:t>Name key: gaje — an old word for sea lion; tanggeon — a traditional headpiece; sutdol — a sharpening stone.</ns0:t>
        </ns0:is>
      </ns0:c>
      <ns0:c r="K196" s="10" t="inlineStr">
        <ns0:is>
          <ns0:t>대한민국 한국해양과학기술원 · 독도의 지명
https://www.dokdo.re.kr/home/cms/cmsCont.do?cntnts_sn=65</ns0:t>
        </ns0:is>
      </ns0:c>
    </ns0:row>
    <ns0:row r="197" ht="53" customHeight="1">
      <ns0:c r="A197" s="12" t="n">
        <ns0:v>920196</ns0:v>
      </ns0:c>
      <ns0:c r="B197" s="12" t="inlineStr">
        <ns0:is>
          <ns0:t>Why can Gaje Rock’s name alone not tell us the number of sea lions living there now?</ns0:t>
        </ns0:is>
      </ns0:c>
      <ns0:c r="C197" s="12" t="inlineStr">
        <ns0:is>
          <ns0:t>Every animal place name is unrelated to real animals</ns0:t>
        </ns0:is>
      </ns0:c>
      <ns0:c r="D197" s="12" t="inlineStr">
        <ns0:is>
          <ns0:t>The old word never referred to an animal</ns0:t>
        </ns0:is>
      </ns0:c>
      <ns0:c r="E197" s="12" t="inlineStr">
        <ns0:is>
          <ns0:t>The name preserves an origin, not a current animal count</ns0:t>
        </ns0:is>
      </ns0:c>
      <ns0:c r="F197" s="12" t="inlineStr"/>
      <ns0:c r="G197" s="12" t="n">
        <ns0:v>3</ns0:v>
      </ns0:c>
      <ns0:c r="H197" s="12" t="inlineStr">
        <ns0:is>
          <ns0:t>A place name records history, not a present census.</ns0:t>
        </ns0:is>
      </ns0:c>
      <ns0:c r="I197" s="12" t="inlineStr">
        <ns0:is>
          <ns0:t>Gaje is an old name for the sea lion and survives in the name Gaje Rock on Dokdo.</ns0:t>
        </ns0:is>
      </ns0:c>
      <ns0:c r="J197" s="12" t="inlineStr">
        <ns0:is>
          <ns0:t>Gaje Rock preserves an old name for sea lions. The species is extinct; digital visitors in the app are not wildlife observations.</ns0:t>
        </ns0:is>
      </ns0:c>
      <ns0:c r="K197" s="12" t="inlineStr">
        <ns0:is>
          <ns0:t>대한민국 한국해양과학기술원 · 독도의 지명
https://www.dokdo.re.kr/home/cms/cmsCont.do?cntnts_sn=65</ns0:t>
        </ns0:is>
      </ns0:c>
    </ns0:row>
    <ns0:row r="198" ht="53" customHeight="1">
      <ns0:c r="A198" s="10" t="n">
        <ns0:v>920197</ns0:v>
      </ns0:c>
      <ns0:c r="B198" s="10" t="inlineStr">
        <ns0:is>
          <ns0:t>On which main island is Tanggeonbong?</ns0:t>
        </ns0:is>
      </ns0:c>
      <ns0:c r="C198" s="10" t="inlineStr">
        <ns0:is>
          <ns0:t>Dongdo</ns0:t>
        </ns0:is>
      </ns0:c>
      <ns0:c r="D198" s="10" t="inlineStr">
        <ns0:is>
          <ns0:t>Seodo</ns0:t>
        </ns0:is>
      </ns0:c>
      <ns0:c r="E198" s="10" t="inlineStr"/>
      <ns0:c r="F198" s="10" t="inlineStr"/>
      <ns0:c r="G198" s="10" t="n">
        <ns0:v>2</ns0:v>
      </ns0:c>
      <ns0:c r="H198" s="10" t="inlineStr">
        <ns0:is>
          <ns0:t>Tanggeonbong is a named peak on Seodo.</ns0:t>
        </ns0:is>
      </ns0:c>
      <ns0:c r="I198" s="10" t="inlineStr">
        <ns0:is>
          <ns0:t>Tanggeonbong is on Seodo and is named for its resemblance to a traditional tanggeon headpiece.</ns0:t>
        </ns0:is>
      </ns0:c>
      <ns0:c r="J198" s="10" t="inlineStr"/>
      <ns0:c r="K198" s="10" t="inlineStr">
        <ns0:is>
          <ns0:t>대한민국 한국해양과학기술원 · 독도의 지명
https://www.dokdo.re.kr/home/cms/cmsCont.do?cntnts_sn=65</ns0:t>
        </ns0:is>
      </ns0:c>
    </ns0:row>
    <ns0:row r="199" ht="53" customHeight="1">
      <ns0:c r="A199" s="12" t="n">
        <ns0:v>920198</ns0:v>
      </ns0:c>
      <ns0:c r="B199" s="12" t="inlineStr">
        <ns0:is>
          <ns0:t>What shape is associated with Tanggeonbong’s name?</ns0:t>
        </ns0:is>
      </ns0:c>
      <ns0:c r="C199" s="12" t="inlineStr">
        <ns0:is>
          <ns0:t>A traditional tanggeon headpiece</ns0:t>
        </ns0:is>
      </ns0:c>
      <ns0:c r="D199" s="12" t="inlineStr">
        <ns0:is>
          <ns0:t>A sharpening stone</ns0:t>
        </ns0:is>
      </ns0:c>
      <ns0:c r="E199" s="12" t="inlineStr">
        <ns0:is>
          <ns0:t>A doorway-like arch</ns0:t>
        </ns0:is>
      </ns0:c>
      <ns0:c r="F199" s="12" t="inlineStr"/>
      <ns0:c r="G199" s="12" t="n">
        <ns0:v>1</ns0:v>
      </ns0:c>
      <ns0:c r="H199" s="12" t="inlineStr">
        <ns0:is>
          <ns0:t>The name is explained through resemblance to the headpiece.</ns0:t>
        </ns0:is>
      </ns0:c>
      <ns0:c r="I199" s="12" t="inlineStr">
        <ns0:is>
          <ns0:t>Tanggeonbong is on Seodo and is named for its resemblance to a traditional tanggeon headpiece.</ns0:t>
        </ns0:is>
      </ns0:c>
      <ns0:c r="J199" s="12" t="inlineStr"/>
      <ns0:c r="K199" s="12" t="inlineStr">
        <ns0:is>
          <ns0:t>대한민국 한국해양과학기술원 · 독도의 지명
https://www.dokdo.re.kr/home/cms/cmsCont.do?cntnts_sn=65</ns0:t>
        </ns0:is>
      </ns0:c>
    </ns0:row>
    <ns0:row r="200" ht="53" customHeight="1">
      <ns0:c r="A200" s="10" t="n">
        <ns0:v>920199</ns0:v>
      </ns0:c>
      <ns0:c r="B200" s="10" t="inlineStr">
        <ns0:is>
          <ns0:t>Which Dokdo place name matches the headpiece shape in the name-origin table?</ns0:t>
        </ns0:is>
      </ns0:c>
      <ns0:c r="C200" s="10" t="inlineStr">
        <ns0:is>
          <ns0:t>Gaje Rock</ns0:t>
        </ns0:is>
      </ns0:c>
      <ns0:c r="D200" s="10" t="inlineStr">
        <ns0:is>
          <ns0:t>Tanggeonbong</ns0:t>
        </ns0:is>
      </ns0:c>
      <ns0:c r="E200" s="10" t="inlineStr">
        <ns0:is>
          <ns0:t>Sutdol Rock</ns0:t>
        </ns0:is>
      </ns0:c>
      <ns0:c r="F200" s="10" t="inlineStr"/>
      <ns0:c r="G200" s="10" t="n">
        <ns0:v>2</ns0:v>
      </ns0:c>
      <ns0:c r="H200" s="10" t="inlineStr">
        <ns0:is>
          <ns0:t>The name connects a peak’s shape with a tanggeon.</ns0:t>
        </ns0:is>
      </ns0:c>
      <ns0:c r="I200" s="10" t="inlineStr">
        <ns0:is>
          <ns0:t>Tanggeonbong is on Seodo and is named for its resemblance to a traditional tanggeon headpiece.</ns0:t>
        </ns0:is>
      </ns0:c>
      <ns0:c r="J200" s="10" t="inlineStr">
        <ns0:is>
          <ns0:t>Names and origins: Tanggeonbong — headpiece-like shape; Gaje Rock — an old sea lion name; Sutdol Rock — whetstone-like rock.</ns0:t>
        </ns0:is>
      </ns0:c>
      <ns0:c r="K200" s="10" t="inlineStr">
        <ns0:is>
          <ns0:t>대한민국 한국해양과학기술원 · 독도의 지명
https://www.dokdo.re.kr/home/cms/cmsCont.do?cntnts_sn=65</ns0:t>
        </ns0:is>
      </ns0:c>
    </ns0:row>
    <ns0:row r="201" ht="53" customHeight="1">
      <ns0:c r="A201" s="12" t="n">
        <ns0:v>920200</ns0:v>
      </ns0:c>
      <ns0:c r="B201" s="12" t="inlineStr">
        <ns0:is>
          <ns0:t>Which pairing correctly separates a shape-based and an animal-based Dokdo name?</ns0:t>
        </ns0:is>
      </ns0:c>
      <ns0:c r="C201" s="12" t="inlineStr">
        <ns0:is>
          <ns0:t>Shape: Gaje Rock / animal: Tanggeonbong</ns0:t>
        </ns0:is>
      </ns0:c>
      <ns0:c r="D201" s="12" t="inlineStr">
        <ns0:is>
          <ns0:t>Shape: Sutdol Rock / animal: Tanggeonbong</ns0:t>
        </ns0:is>
      </ns0:c>
      <ns0:c r="E201" s="12" t="inlineStr">
        <ns0:is>
          <ns0:t>Shape: Tanggeonbong / animal: Gaje Rock</ns0:t>
        </ns0:is>
      </ns0:c>
      <ns0:c r="F201" s="12" t="inlineStr"/>
      <ns0:c r="G201" s="12" t="n">
        <ns0:v>3</ns0:v>
      </ns0:c>
      <ns0:c r="H201" s="12" t="inlineStr">
        <ns0:is>
          <ns0:t>The former refers to a headpiece shape; the latter to sea lions.</ns0:t>
        </ns0:is>
      </ns0:c>
      <ns0:c r="I201" s="12" t="inlineStr">
        <ns0:is>
          <ns0:t>Tanggeonbong is on Seodo and is named for its resemblance to a traditional tanggeon headpiece.</ns0:t>
        </ns0:is>
      </ns0:c>
      <ns0:c r="J201" s="12" t="inlineStr">
        <ns0:is>
          <ns0:t>Tanggeon is a traditional headpiece; gaje is an old term for sea lions. The name account links them to Tanggeonbong and Gaje Rock.</ns0:t>
        </ns0:is>
      </ns0:c>
      <ns0:c r="K201" s="12" t="inlineStr">
        <ns0:is>
          <ns0:t>대한민국 한국해양과학기술원 · 독도의 지명
https://www.dokdo.re.kr/home/cms/cmsCont.do?cntnts_sn=65</ns0:t>
        </ns0:is>
      </ns0:c>
    </ns0:row>
    <ns0:row r="202" ht="98" customHeight="1">
      <ns0:c r="A202" s="10" t="n">
        <ns0:v>920201</ns0:v>
      </ns0:c>
      <ns0:c r="B202" s="10" t="inlineStr">
        <ns0:is>
          <ns0:t>Which 1877 Japanese document said Ulleungdo and Dokdo had nothing to do with Japan?</ns0:t>
        </ns0:is>
      </ns0:c>
      <ns0:c r="C202" s="10" t="inlineStr">
        <ns0:is>
          <ns0:t>Korean Empire Decree No. 41</ns0:t>
        </ns0:is>
      </ns0:c>
      <ns0:c r="D202" s="10" t="inlineStr">
        <ns0:is>
          <ns0:t>The Ulleungdo voyage prohibition</ns0:t>
        </ns0:is>
      </ns0:c>
      <ns0:c r="E202" s="10" t="inlineStr">
        <ns0:is>
          <ns0:t>Directive No. 3</ns0:t>
        </ns0:is>
      </ns0:c>
      <ns0:c r="F202" s="10" t="inlineStr">
        <ns0:is>
          <ns0:t>The Dajokan directive</ns0:t>
        </ns0:is>
      </ns0:c>
      <ns0:c r="G202" s="10" t="n">
        <ns0:v>4</ns0:v>
      </ns0:c>
      <ns0:c r="H202" s="10" t="inlineStr">
        <ns0:is>
          <ns0:t>This is the 1877 instruction from Japan’s highest administrative body to its Home Ministry.</ns0:t>
        </ns0:is>
      </ns0:c>
      <ns0:c r="I202" s="10" t="inlineStr">
        <ns0:is>
          <ns0:t>In 1877 Japan’s Dajokan instructed the Home Ministry to understand Ulleungdo and Dokdo as having no relation to Japan.</ns0:t>
        </ns0:is>
      </ns0:c>
      <ns0:c r="J202" s="10" t="inlineStr">
        <ns0:is>
          <ns0:t>The Dajokan was Japan’s highest administrative body at the time. A directive is an instruction from a superior authority.
The original wording is “Takeshima and one other island”. Modern names follow ROK MOFA’s published translation and commentary on the attached map.</ns0:t>
        </ns0:is>
      </ns0:c>
      <ns0:c r="K202" s="10" t="inlineStr">
        <ns0:is>
          <ns0:t>대한민국 외교부 자료실 · 태정관지령(1877)
https://dokdo.mofa.go.kr/kor/pds/part05_view03.jsp
대한민국 외교부 · 태정관지령과 기죽도약도(1877)
https://dokdo.mofa.go.kr/kor/pds/part06_view09.jsp</ns0:t>
        </ns0:is>
      </ns0:c>
    </ns0:row>
    <ns0:row r="203" ht="98" customHeight="1">
      <ns0:c r="A203" s="12" t="n">
        <ns0:v>920202</ns0:v>
      </ns0:c>
      <ns0:c r="B203" s="12" t="inlineStr">
        <ns0:is>
          <ns0:t>How did Japan’s Dajokan regard Ulleungdo and Dokdo in 1877?</ns0:t>
        </ns0:is>
      </ns0:c>
      <ns0:c r="C203" s="12" t="inlineStr">
        <ns0:is>
          <ns0:t>Islands having nothing to do with Japan</ns0:t>
        </ns0:is>
      </ns0:c>
      <ns0:c r="D203" s="12" t="inlineStr">
        <ns0:is>
          <ns0:t>Both islands belonging to Japan</ns0:t>
        </ns0:is>
      </ns0:c>
      <ns0:c r="E203" s="12" t="inlineStr">
        <ns0:is>
          <ns0:t>Only Dokdo belonging to Japan</ns0:t>
        </ns0:is>
      </ns0:c>
      <ns0:c r="F203" s="12" t="inlineStr"/>
      <ns0:c r="G203" s="12" t="n">
        <ns0:v>1</ns0:v>
      </ns0:c>
      <ns0:c r="H203" s="12" t="inlineStr">
        <ns0:is>
          <ns0:t>That is the central instruction in the published translation.</ns0:t>
        </ns0:is>
      </ns0:c>
      <ns0:c r="I203" s="12" t="inlineStr">
        <ns0:is>
          <ns0:t>In 1877 Japan’s Dajokan instructed the Home Ministry to understand Ulleungdo and Dokdo as having no relation to Japan.</ns0:t>
        </ns0:is>
      </ns0:c>
      <ns0:c r="J203" s="12" t="inlineStr">
        <ns0:is>
          <ns0:t>The original wording is “Takeshima and one other island”. Modern names follow ROK MOFA’s published translation and commentary on the attached map.</ns0:t>
        </ns0:is>
      </ns0:c>
      <ns0:c r="K203" s="12" t="inlineStr">
        <ns0:is>
          <ns0:t>대한민국 외교부 자료실 · 태정관지령(1877)
https://dokdo.mofa.go.kr/kor/pds/part05_view03.jsp
대한민국 외교부 · 태정관지령과 기죽도약도(1877)
https://dokdo.mofa.go.kr/kor/pds/part06_view09.jsp</ns0:t>
        </ns0:is>
      </ns0:c>
    </ns0:row>
    <ns0:row r="204" ht="98" customHeight="1">
      <ns0:c r="A204" s="10" t="n">
        <ns0:v>920203</ns0:v>
      </ns0:c>
      <ns0:c r="B204" s="10" t="inlineStr">
        <ns0:is>
          <ns0:t>Which country does “our country” refer to in the Japanese Dajokan document?</ns0:t>
        </ns0:is>
      </ns0:c>
      <ns0:c r="C204" s="10" t="inlineStr">
        <ns0:is>
          <ns0:t>Joseon</ns0:t>
        </ns0:is>
      </ns0:c>
      <ns0:c r="D204" s="10" t="inlineStr">
        <ns0:is>
          <ns0:t>Japan</ns0:t>
        </ns0:is>
      </ns0:c>
      <ns0:c r="E204" s="10" t="inlineStr">
        <ns0:is>
          <ns0:t>The Republic of Korea</ns0:t>
        </ns0:is>
      </ns0:c>
      <ns0:c r="F204" s="10" t="inlineStr"/>
      <ns0:c r="G204" s="10" t="n">
        <ns0:v>2</ns0:v>
      </ns0:c>
      <ns0:c r="H204" s="10" t="inlineStr">
        <ns0:is>
          <ns0:t>It is a Japanese government body’s reference to its own country.</ns0:t>
        </ns0:is>
      </ns0:c>
      <ns0:c r="I204" s="10" t="inlineStr">
        <ns0:is>
          <ns0:t>In 1877 Japan’s Dajokan instructed the Home Ministry to understand Ulleungdo and Dokdo as having no relation to Japan.</ns0:t>
        </ns0:is>
      </ns0:c>
      <ns0:c r="J204" s="10" t="inlineStr">
        <ns0:is>
          <ns0:t>Authoring authority: Japan’s Dajokan in 1877. The published translation identifies “our country” in the instruction as Japan.
The original wording is “Takeshima and one other island”. Modern names follow ROK MOFA’s published translation and commentary on the attached map.</ns0:t>
        </ns0:is>
      </ns0:c>
      <ns0:c r="K204" s="10" t="inlineStr">
        <ns0:is>
          <ns0:t>대한민국 외교부 자료실 · 태정관지령(1877)
https://dokdo.mofa.go.kr/kor/pds/part05_view03.jsp
대한민국 외교부 · 태정관지령과 기죽도약도(1877)
https://dokdo.mofa.go.kr/kor/pds/part06_view09.jsp</ns0:t>
        </ns0:is>
      </ns0:c>
    </ns0:row>
    <ns0:row r="205" ht="98" customHeight="1">
      <ns0:c r="A205" s="12" t="n">
        <ns0:v>920204</ns0:v>
      </ns0:c>
      <ns0:c r="B205" s="12" t="inlineStr">
        <ns0:is>
          <ns0:t>What historical Japanese government judgment is identified by reading the directive with its attached map?</ns0:t>
        </ns0:is>
      </ns0:c>
      <ns0:c r="C205" s="12" t="inlineStr">
        <ns0:is>
          <ns0:t>That Ulleungdo was excluded but Dokdo was Japanese</ns0:t>
        </ns0:is>
      </ns0:c>
      <ns0:c r="D205" s="12" t="inlineStr">
        <ns0:is>
          <ns0:t>That Dokdo was excluded but Ulleungdo was Japanese</ns0:t>
        </ns0:is>
      </ns0:c>
      <ns0:c r="E205" s="12" t="inlineStr">
        <ns0:is>
          <ns0:t>That the two islands were not regarded as Japanese territory</ns0:t>
        </ns0:is>
      </ns0:c>
      <ns0:c r="F205" s="12" t="inlineStr"/>
      <ns0:c r="G205" s="12" t="n">
        <ns0:v>3</ns0:v>
      </ns0:c>
      <ns0:c r="H205" s="12" t="inlineStr">
        <ns0:is>
          <ns0:t>ROK MOFA explains this historical significance through the instruction and map identifications.</ns0:t>
        </ns0:is>
      </ns0:c>
      <ns0:c r="I205" s="12" t="inlineStr">
        <ns0:is>
          <ns0:t>In 1877 Japan’s Dajokan instructed the Home Ministry to understand Ulleungdo and Dokdo as having no relation to Japan.</ns0:t>
        </ns0:is>
      </ns0:c>
      <ns0:c r="J205" s="12" t="inlineStr">
        <ns0:is>
          <ns0:t>Directive summary: understand Takeshima and one other island as having no relation to Japan.
Attached-map commentary: Takeshima here is Ulleungdo and the other island is Dokdo.
The original wording is “Takeshima and one other island”. Modern names follow ROK MOFA’s published translation and commentary on the attached map.</ns0:t>
        </ns0:is>
      </ns0:c>
      <ns0:c r="K205" s="12" t="inlineStr">
        <ns0:is>
          <ns0:t>대한민국 외교부 자료실 · 태정관지령(1877)
https://dokdo.mofa.go.kr/kor/pds/part05_view03.jsp
대한민국 외교부 · 태정관지령과 기죽도약도(1877)
https://dokdo.mofa.go.kr/kor/pds/part06_view09.jsp</ns0:t>
        </ns0:is>
      </ns0:c>
    </ns0:row>
    <ns0:row r="206" ht="98" customHeight="1">
      <ns0:c r="A206" s="10" t="n">
        <ns0:v>920205</ns0:v>
      </ns0:c>
      <ns0:c r="B206" s="10" t="inlineStr">
        <ns0:is>
          <ns0:t>What is the 1696 Edo shogunate order prohibiting Japanese fishermen’s voyages to Ulleungdo called?</ns0:t>
        </ns0:is>
      </ns0:c>
      <ns0:c r="C206" s="10" t="inlineStr">
        <ns0:is>
          <ns0:t>The Ulleungdo voyage prohibition</ns0:t>
        </ns0:is>
      </ns0:c>
      <ns0:c r="D206" s="10" t="inlineStr">
        <ns0:is>
          <ns0:t>The Dajokan directive</ns0:t>
        </ns0:is>
      </ns0:c>
      <ns0:c r="E206" s="10" t="inlineStr">
        <ns0:is>
          <ns0:t>Korean Empire Decree No. 41</ns0:t>
        </ns0:is>
      </ns0:c>
      <ns0:c r="F206" s="10" t="inlineStr">
        <ns0:is>
          <ns0:t>Directive No. 3</ns0:t>
        </ns0:is>
      </ns0:c>
      <ns0:c r="G206" s="10" t="n">
        <ns0:v>1</ns0:v>
      </ns0:c>
      <ns0:c r="H206" s="10" t="inlineStr">
        <ns0:is>
          <ns0:t>Dohae means crossing the sea; this order prohibited those voyages to Ulleungdo.</ns0:t>
        </ns0:is>
      </ns0:c>
      <ns0:c r="I206" s="10" t="inlineStr">
        <ns0:is>
          <ns0:t>In 1696 the Edo shogunate prohibited Japanese fishermen from sailing to Ulleungdo.</ns0:t>
        </ns0:is>
      </ns0:c>
      <ns0:c r="J206" s="10" t="inlineStr">
        <ns0:is>
          <ns0:t>The destination explicitly named in this prohibition is Ulleungdo. Its wider historical relevance to Dokdo is distinguished from the destination stated in the text.</ns0:t>
        </ns0:is>
      </ns0:c>
      <ns0:c r="K206" s="10" t="inlineStr">
        <ns0:is>
          <ns0:t>대한민국 외교부 · 울릉도 도해금지령(1696)
https://dokdo.mofa.go.kr/kor/pds/part05_view06.jsp
대한민국 외교부 · 독도 연표
https://dokdo.mofa.go.kr/m/kor/dokdo/reason_list.jsp</ns0:t>
        </ns0:is>
      </ns0:c>
    </ns0:row>
    <ns0:row r="207" ht="98" customHeight="1">
      <ns0:c r="A207" s="12" t="n">
        <ns0:v>920206</ns0:v>
      </ns0:c>
      <ns0:c r="B207" s="12" t="inlineStr">
        <ns0:is>
          <ns0:t>What does “dohae” mean in the 1696 Ulleungdo voyage prohibition?</ns0:t>
        </ns0:is>
      </ns0:c>
      <ns0:c r="C207" s="12" t="inlineStr">
        <ns0:is>
          <ns0:t>Crossing the sea</ns0:t>
        </ns0:is>
      </ns0:c>
      <ns0:c r="D207" s="12" t="inlineStr">
        <ns0:is>
          <ns0:t>Surveying land boundaries</ns0:t>
        </ns0:is>
      </ns0:c>
      <ns0:c r="E207" s="12" t="inlineStr">
        <ns0:is>
          <ns0:t>Renaming an island</ns0:t>
        </ns0:is>
      </ns0:c>
      <ns0:c r="F207" s="12" t="inlineStr"/>
      <ns0:c r="G207" s="12" t="n">
        <ns0:v>1</ns0:v>
      </ns0:c>
      <ns0:c r="H207" s="12" t="inlineStr">
        <ns0:is>
          <ns0:t>In this context it means making a sea voyage to Ulleungdo.</ns0:t>
        </ns0:is>
      </ns0:c>
      <ns0:c r="I207" s="12" t="inlineStr">
        <ns0:is>
          <ns0:t>In 1696 the Edo shogunate prohibited Japanese fishermen from sailing to Ulleungdo.</ns0:t>
        </ns0:is>
      </ns0:c>
      <ns0:c r="J207" s="12" t="inlineStr">
        <ns0:is>
          <ns0:t>The destination explicitly named in this prohibition is Ulleungdo. Its wider historical relevance to Dokdo is distinguished from the destination stated in the text.</ns0:t>
        </ns0:is>
      </ns0:c>
      <ns0:c r="K207" s="12" t="inlineStr">
        <ns0:is>
          <ns0:t>대한민국 외교부 · 울릉도 도해금지령(1696)
https://dokdo.mofa.go.kr/kor/pds/part05_view06.jsp
대한민국 외교부 · 독도 연표
https://dokdo.mofa.go.kr/m/kor/dokdo/reason_list.jsp</ns0:t>
        </ns0:is>
      </ns0:c>
    </ns0:row>
    <ns0:row r="208" ht="98" customHeight="1">
      <ns0:c r="A208" s="10" t="n">
        <ns0:v>920207</ns0:v>
      </ns0:c>
      <ns0:c r="B208" s="10" t="inlineStr">
        <ns0:is>
          <ns0:t>Which modern island is the destination called “Takeshima” in the 1696 prohibition?</ns0:t>
        </ns0:is>
      </ns0:c>
      <ns0:c r="C208" s="10" t="inlineStr">
        <ns0:is>
          <ns0:t>Dokdo</ns0:t>
        </ns0:is>
      </ns0:c>
      <ns0:c r="D208" s="10" t="inlineStr">
        <ns0:is>
          <ns0:t>Ulleungdo</ns0:t>
        </ns0:is>
      </ns0:c>
      <ns0:c r="E208" s="10" t="inlineStr">
        <ns0:is>
          <ns0:t>Oki Islands</ns0:t>
        </ns0:is>
      </ns0:c>
      <ns0:c r="F208" s="10" t="inlineStr"/>
      <ns0:c r="G208" s="10" t="n">
        <ns0:v>2</ns0:v>
      </ns0:c>
      <ns0:c r="H208" s="10" t="inlineStr">
        <ns0:is>
          <ns0:t>In the published translation of this prohibition, Takeshima is Ulleungdo.</ns0:t>
        </ns0:is>
      </ns0:c>
      <ns0:c r="I208" s="10" t="inlineStr">
        <ns0:is>
          <ns0:t>In 1696 the Edo shogunate prohibited Japanese fishermen from sailing to Ulleungdo.</ns0:t>
        </ns0:is>
      </ns0:c>
      <ns0:c r="J208" s="10" t="inlineStr">
        <ns0:is>
          <ns0:t>1696 prohibition, summarised: Japanese fishermen are prohibited from sailing to Takeshima, identified as Ulleungdo in this record.
The destination explicitly named in this prohibition is Ulleungdo. Its wider historical relevance to Dokdo is distinguished from the destination stated in the text.</ns0:t>
        </ns0:is>
      </ns0:c>
      <ns0:c r="K208" s="10" t="inlineStr">
        <ns0:is>
          <ns0:t>대한민국 외교부 · 울릉도 도해금지령(1696)
https://dokdo.mofa.go.kr/kor/pds/part05_view06.jsp
대한민국 외교부 · 독도 연표
https://dokdo.mofa.go.kr/m/kor/dokdo/reason_list.jsp</ns0:t>
        </ns0:is>
      </ns0:c>
    </ns0:row>
    <ns0:row r="209" ht="98" customHeight="1">
      <ns0:c r="A209" s="12" t="n">
        <ns0:v>920208</ns0:v>
      </ns0:c>
      <ns0:c r="B209" s="12" t="inlineStr">
        <ns0:is>
          <ns0:t>Which option correctly links the issuer, people affected and destination in the 1696 order?</ns0:t>
        </ns0:is>
      </ns0:c>
      <ns0:c r="C209" s="12" t="inlineStr">
        <ns0:is>
          <ns0:t>Joseon government → Joseon fishermen → Oki</ns0:t>
        </ns0:is>
      </ns0:c>
      <ns0:c r="D209" s="12" t="inlineStr">
        <ns0:is>
          <ns0:t>Edo shogunate → Joseon fishermen → Ulleungdo</ns0:t>
        </ns0:is>
      </ns0:c>
      <ns0:c r="E209" s="12" t="inlineStr">
        <ns0:is>
          <ns0:t>Edo shogunate → Japanese fishermen → Ulleungdo</ns0:t>
        </ns0:is>
      </ns0:c>
      <ns0:c r="F209" s="12" t="inlineStr"/>
      <ns0:c r="G209" s="12" t="n">
        <ns0:v>3</ns0:v>
      </ns0:c>
      <ns0:c r="H209" s="12" t="inlineStr">
        <ns0:is>
          <ns0:t>All three elements match the order.</ns0:t>
        </ns0:is>
      </ns0:c>
      <ns0:c r="I209" s="12" t="inlineStr">
        <ns0:is>
          <ns0:t>In 1696 the Edo shogunate prohibited Japanese fishermen from sailing to Ulleungdo.</ns0:t>
        </ns0:is>
      </ns0:c>
      <ns0:c r="J209" s="12" t="inlineStr">
        <ns0:is>
          <ns0:t>Record summary: in 1696 the Edo shogunate instructed Japanese fishermen not to sail to Ulleungdo.
The destination explicitly named in this prohibition is Ulleungdo. Its wider historical relevance to Dokdo is distinguished from the destination stated in the text.</ns0:t>
        </ns0:is>
      </ns0:c>
      <ns0:c r="K209" s="12" t="inlineStr">
        <ns0:is>
          <ns0:t>대한민국 외교부 · 울릉도 도해금지령(1696)
https://dokdo.mofa.go.kr/kor/pds/part05_view06.jsp
대한민국 외교부 · 독도 연표
https://dokdo.mofa.go.kr/m/kor/dokdo/reason_list.jsp</ns0:t>
        </ns0:is>
      </ns0:c>
    </ns0:row>
    <ns0:row r="210" ht="98" customHeight="1">
      <ns0:c r="A210" s="10" t="n">
        <ns0:v>920209</ns0:v>
      </ns0:c>
      <ns0:c r="B210" s="10" t="inlineStr">
        <ns0:is>
          <ns0:t>What is the map attached to the Dajokan directive-related papers called?</ns0:t>
        </ns0:is>
      </ns0:c>
      <ns0:c r="C210" s="10" t="inlineStr">
        <ns0:is>
          <ns0:t>Kijukudo-yakdo</ns0:t>
        </ns0:is>
      </ns0:c>
      <ns0:c r="D210" s="10" t="inlineStr">
        <ns0:is>
          <ns0:t>Daedongyeojido</ns0:t>
        </ns0:is>
      </ns0:c>
      <ns0:c r="E210" s="10" t="inlineStr">
        <ns0:is>
          <ns0:t>Paldo-chongdo</ns0:t>
        </ns0:is>
      </ns0:c>
      <ns0:c r="F210" s="10" t="inlineStr"/>
      <ns0:c r="G210" s="10" t="n">
        <ns0:v>1</ns0:v>
      </ns0:c>
      <ns0:c r="H210" s="10" t="inlineStr">
        <ns0:is>
          <ns0:t>This is the map presented as an attachment to the 1877 directive-related papers.</ns0:t>
        </ns0:is>
      </ns0:c>
      <ns0:c r="I210" s="10" t="inlineStr">
        <ns0:is>
          <ns0:t>The attached Kijukudo-yakdo map is presented as evidence identifying the directive’s “other island” as Dokdo.</ns0:t>
        </ns0:is>
      </ns0:c>
      <ns0:c r="J210" s="10" t="inlineStr">
        <ns0:is>
          <ns0:t>Kijukudo-yakdo is the name of a historical map of the islands, presented with the papers reviewed for the 1877 directive.
Place-name identifications and historical significance follow ROK MOFA’s commentary. The question does not infer sovereignty merely from a map’s country of production.</ns0:t>
        </ns0:is>
      </ns0:c>
      <ns0:c r="K210" s="10" t="inlineStr">
        <ns0:is>
          <ns0:t>대한민국 외교부 · 태정관지령과 기죽도약도(1877)
https://dokdo.mofa.go.kr/kor/pds/part06_view09.jsp
대한민국 외교부 · 태정관지령과 기죽도약도
https://dokdo.mofa.go.kr/kor/include/print_faq.jsp?class_faq=q7</ns0:t>
        </ns0:is>
      </ns0:c>
    </ns0:row>
    <ns0:row r="211" ht="98" customHeight="1">
      <ns0:c r="A211" s="12" t="n">
        <ns0:v>920210</ns0:v>
      </ns0:c>
      <ns0:c r="B211" s="12" t="inlineStr">
        <ns0:is>
          <ns0:t>Which modern island is identified as the directive’s “one other island”?</ns0:t>
        </ns0:is>
      </ns0:c>
      <ns0:c r="C211" s="12" t="inlineStr">
        <ns0:is>
          <ns0:t>Ulleungdo</ns0:t>
        </ns0:is>
      </ns0:c>
      <ns0:c r="D211" s="12" t="inlineStr">
        <ns0:is>
          <ns0:t>Dokdo</ns0:t>
        </ns0:is>
      </ns0:c>
      <ns0:c r="E211" s="12" t="inlineStr">
        <ns0:is>
          <ns0:t>Jeju Island</ns0:t>
        </ns0:is>
      </ns0:c>
      <ns0:c r="F211" s="12" t="inlineStr"/>
      <ns0:c r="G211" s="12" t="n">
        <ns0:v>2</ns0:v>
      </ns0:c>
      <ns0:c r="H211" s="12" t="inlineStr">
        <ns0:is>
          <ns0:t>ROK MOFA identifies the other island as Dokdo by considering the directive and attached map together.</ns0:t>
        </ns0:is>
      </ns0:c>
      <ns0:c r="I211" s="12" t="inlineStr">
        <ns0:is>
          <ns0:t>The attached Kijukudo-yakdo map is presented as evidence identifying the directive’s “other island” as Dokdo.</ns0:t>
        </ns0:is>
      </ns0:c>
      <ns0:c r="J211" s="12" t="inlineStr">
        <ns0:is>
          <ns0:t>Place-name identifications and historical significance follow ROK MOFA’s commentary. The question does not infer sovereignty merely from a map’s country of production.</ns0:t>
        </ns0:is>
      </ns0:c>
      <ns0:c r="K211" s="12" t="inlineStr">
        <ns0:is>
          <ns0:t>대한민국 외교부 · 태정관지령과 기죽도약도(1877)
https://dokdo.mofa.go.kr/kor/pds/part06_view09.jsp
대한민국 외교부 · 태정관지령과 기죽도약도
https://dokdo.mofa.go.kr/kor/include/print_faq.jsp?class_faq=q7</ns0:t>
        </ns0:is>
      </ns0:c>
    </ns0:row>
    <ns0:row r="212" ht="98" customHeight="1">
      <ns0:c r="A212" s="10" t="n">
        <ns0:v>920211</ns0:v>
      </ns0:c>
      <ns0:c r="B212" s="10" t="inlineStr">
        <ns0:is>
          <ns0:t>Which pair of historical names corresponds to Ulleungdo and Dokdo in the attached-map commentary?</ns0:t>
        </ns0:is>
      </ns0:c>
      <ns0:c r="C212" s="10" t="inlineStr">
        <ns0:is>
          <ns0:t>Takeshima — Dokdo / Matsushima — Ulleungdo</ns0:t>
        </ns0:is>
      </ns0:c>
      <ns0:c r="D212" s="10" t="inlineStr">
        <ns0:is>
          <ns0:t>Takeshima — Jeju / Matsushima — Oki</ns0:t>
        </ns0:is>
      </ns0:c>
      <ns0:c r="E212" s="10" t="inlineStr">
        <ns0:is>
          <ns0:t>Takeshima — Ulleungdo / Matsushima — Dokdo</ns0:t>
        </ns0:is>
      </ns0:c>
      <ns0:c r="F212" s="10" t="inlineStr"/>
      <ns0:c r="G212" s="10" t="n">
        <ns0:v>3</ns0:v>
      </ns0:c>
      <ns0:c r="H212" s="10" t="inlineStr">
        <ns0:is>
          <ns0:t>These are the identifications in this particular account.</ns0:t>
        </ns0:is>
      </ns0:c>
      <ns0:c r="I212" s="10" t="inlineStr">
        <ns0:is>
          <ns0:t>The attached Kijukudo-yakdo map is presented as evidence identifying the directive’s “other island” as Dokdo.</ns0:t>
        </ns0:is>
      </ns0:c>
      <ns0:c r="J212" s="10" t="inlineStr">
        <ns0:is>
          <ns0:t>Name table summarising the commentary: Takeshima — Ulleungdo; Matsushima — Dokdo. This is a reading task using a commentary table, not an image-based map-identification task.
Place-name identifications and historical significance follow ROK MOFA’s commentary. The question does not infer sovereignty merely from a map’s country of production.</ns0:t>
        </ns0:is>
      </ns0:c>
      <ns0:c r="K212" s="10" t="inlineStr">
        <ns0:is>
          <ns0:t>대한민국 외교부 · 태정관지령과 기죽도약도(1877)
https://dokdo.mofa.go.kr/kor/pds/part06_view09.jsp
대한민국 외교부 · 태정관지령과 기죽도약도
https://dokdo.mofa.go.kr/kor/include/print_faq.jsp?class_faq=q7</ns0:t>
        </ns0:is>
      </ns0:c>
    </ns0:row>
    <ns0:row r="213" ht="98" customHeight="1">
      <ns0:c r="A213" s="12" t="n">
        <ns0:v>920212</ns0:v>
      </ns0:c>
      <ns0:c r="B213" s="12" t="inlineStr">
        <ns0:is>
          <ns0:t>Why is the attached map important in interpreting the Dajokan directive?</ns0:t>
        </ns0:is>
      </ns0:c>
      <ns0:c r="C213" s="12" t="inlineStr">
        <ns0:is>
          <ns0:t>It helps identify Dokdo as the “other island” in the directive</ns0:t>
        </ns0:is>
      </ns0:c>
      <ns0:c r="D213" s="12" t="inlineStr">
        <ns0:is>
          <ns0:t>A map necessarily depicts only its maker’s territory</ns0:t>
        </ns0:is>
      </ns0:c>
      <ns0:c r="E213" s="12" t="inlineStr">
        <ns0:is>
          <ns0:t>It merges the two islands in the directive into Ulleungdo alone</ns0:t>
        </ns0:is>
      </ns0:c>
      <ns0:c r="F213" s="12" t="inlineStr"/>
      <ns0:c r="G213" s="12" t="n">
        <ns0:v>1</ns0:v>
      </ns0:c>
      <ns0:c r="H213" s="12" t="inlineStr">
        <ns0:is>
          <ns0:t>It identifies the island covered and thus the directive’s relevance to Dokdo.</ns0:t>
        </ns0:is>
      </ns0:c>
      <ns0:c r="I213" s="12" t="inlineStr">
        <ns0:is>
          <ns0:t>The attached Kijukudo-yakdo map is presented as evidence identifying the directive’s “other island” as Dokdo.</ns0:t>
        </ns0:is>
      </ns0:c>
      <ns0:c r="J213" s="12" t="inlineStr">
        <ns0:is>
          <ns0:t>The directive says to understand Takeshima and one other island as unrelated to Japan. Commentary on the attached map identifies Ulleungdo and Dokdo as the islands concerned.
Place-name identifications and historical significance follow ROK MOFA’s commentary. The question does not infer sovereignty merely from a map’s country of production.</ns0:t>
        </ns0:is>
      </ns0:c>
      <ns0:c r="K213" s="12" t="inlineStr">
        <ns0:is>
          <ns0:t>대한민국 외교부 · 태정관지령과 기죽도약도(1877)
https://dokdo.mofa.go.kr/kor/pds/part06_view09.jsp
대한민국 외교부 · 태정관지령과 기죽도약도
https://dokdo.mofa.go.kr/kor/include/print_faq.jsp?class_faq=q7</ns0:t>
        </ns0:is>
      </ns0:c>
    </ns0:row>
    <ns0:row r="214" ht="160" customHeight="1">
      <ns0:c r="A214" s="10" t="n">
        <ns0:v>920213</ns0:v>
      </ns0:c>
      <ns0:c r="B214" s="10" t="inlineStr">
        <ns0:is>
          <ns0:t>What type of document did Shim use to notify higher authorities of local conditions?</ns0:t>
        </ns0:is>
      </ns0:c>
      <ns0:c r="C214" s="10" t="inlineStr">
        <ns0:is>
          <ns0:t>A map</ns0:t>
        </ns0:is>
      </ns0:c>
      <ns0:c r="D214" s="10" t="inlineStr">
        <ns0:is>
          <ns0:t>A report</ns0:t>
        </ns0:is>
      </ns0:c>
      <ns0:c r="E214" s="10" t="inlineStr">
        <ns0:is>
          <ns0:t>An imperial decree</ns0:t>
        </ns0:is>
      </ns0:c>
      <ns0:c r="F214" s="10" t="inlineStr"/>
      <ns0:c r="G214" s="10" t="n">
        <ns0:v>2</ns0:v>
      </ns0:c>
      <ns0:c r="H214" s="10" t="inlineStr">
        <ns0:is>
          <ns0:t>It communicates local information to higher authorities.</ns0:t>
        </ns0:is>
      </ns0:c>
      <ns0:c r="I214" s="10" t="inlineStr">
        <ns0:is>
          <ns0:t>Geographical texts, maps, reports and orders provide different kinds of historical evidence concerning Dokdo.</ns0:t>
        </ns0:is>
      </ns0:c>
      <ns0:c r="J214" s="10" t="inlineStr"/>
      <ns0:c r="K214" s="10" t="inlineStr">
        <ns0:is>
          <ns0:t>대한민국 외교부 자료실 · 세종실록 지리지(1454)
https://dokdo.mofa.go.kr/kor/pds/part06_view02.jsp
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
대한민국 외교부 · 태정관지령과 기죽도약도(1877)
https://dokdo.mofa.go.kr/kor/pds/part06_view09.jsp</ns0:t>
        </ns0:is>
      </ns0:c>
    </ns0:row>
    <ns0:row r="215" ht="160" customHeight="1">
      <ns0:c r="A215" s="12" t="n">
        <ns0:v>920214</ns0:v>
      </ns0:c>
      <ns0:c r="B215" s="12" t="inlineStr">
        <ns0:is>
          <ns0:t>What kind of source is a decree establishing administrative jurisdiction?</ns0:t>
        </ns0:is>
      </ns0:c>
      <ns0:c r="C215" s="12" t="inlineStr">
        <ns0:is>
          <ns0:t>A private travel diary</ns0:t>
        </ns0:is>
      </ns0:c>
      <ns0:c r="D215" s="12" t="inlineStr">
        <ns0:is>
          <ns0:t>A sketch map of rocks</ns0:t>
        </ns0:is>
      </ns0:c>
      <ns0:c r="E215" s="12" t="inlineStr">
        <ns0:is>
          <ns0:t>An imperial order</ns0:t>
        </ns0:is>
      </ns0:c>
      <ns0:c r="F215" s="12" t="inlineStr"/>
      <ns0:c r="G215" s="12" t="n">
        <ns0:v>3</ns0:v>
      </ns0:c>
      <ns0:c r="H215" s="12" t="inlineStr">
        <ns0:is>
          <ns0:t>A decree is an order issued by the emperor.</ns0:t>
        </ns0:is>
      </ns0:c>
      <ns0:c r="I215" s="12" t="inlineStr">
        <ns0:is>
          <ns0:t>Geographical texts, maps, reports and orders provide different kinds of historical evidence concerning Dokdo.</ns0:t>
        </ns0:is>
      </ns0:c>
      <ns0:c r="J215" s="12" t="inlineStr"/>
      <ns0:c r="K215" s="12" t="inlineStr">
        <ns0:is>
          <ns0:t>대한민국 외교부 자료실 · 세종실록 지리지(1454)
https://dokdo.mofa.go.kr/kor/pds/part06_view02.jsp
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
대한민국 외교부 · 태정관지령과 기죽도약도(1877)
https://dokdo.mofa.go.kr/kor/pds/part06_view09.jsp</ns0:t>
        </ns0:is>
      </ns0:c>
    </ns0:row>
    <ns0:row r="216" ht="160" customHeight="1">
      <ns0:c r="A216" s="10" t="n">
        <ns0:v>920215</ns0:v>
      </ns0:c>
      <ns0:c r="B216" s="10" t="inlineStr">
        <ns0:is>
          <ns0:t>Which pair consists of administrative orders?</ns0:t>
        </ns0:is>
      </ns0:c>
      <ns0:c r="C216" s="10" t="inlineStr">
        <ns0:is>
          <ns0:t>Decree No. 41 and Directive No. 3</ns0:t>
        </ns0:is>
      </ns0:c>
      <ns0:c r="D216" s="10" t="inlineStr">
        <ns0:is>
          <ns0:t>Kijukudo-yakdo and a facility map</ns0:t>
        </ns0:is>
      </ns0:c>
      <ns0:c r="E216" s="10" t="inlineStr">
        <ns0:is>
          <ns0:t>Shim’s report and a traveller’s diary</ns0:t>
        </ns0:is>
      </ns0:c>
      <ns0:c r="F216" s="10" t="inlineStr"/>
      <ns0:c r="G216" s="10" t="n">
        <ns0:v>1</ns0:v>
      </ns0:c>
      <ns0:c r="H216" s="10" t="inlineStr">
        <ns0:is>
          <ns0:t>Both set out instructions: reorganisation and further investigation/reporting.</ns0:t>
        </ns0:is>
      </ns0:c>
      <ns0:c r="I216" s="10" t="inlineStr">
        <ns0:is>
          <ns0:t>Geographical texts, maps, reports and orders provide different kinds of historical evidence concerning Dokdo.</ns0:t>
        </ns0:is>
      </ns0:c>
      <ns0:c r="J216" s="10" t="inlineStr">
        <ns0:is>
          <ns0:t>Types: decree — imperial order; directive — institutional instruction; report — communication of conditions; map — spatial representation.</ns0:t>
        </ns0:is>
      </ns0:c>
      <ns0:c r="K216" s="10" t="inlineStr">
        <ns0:is>
          <ns0:t>대한민국 외교부 자료실 · 세종실록 지리지(1454)
https://dokdo.mofa.go.kr/kor/pds/part06_view02.jsp
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
대한민국 외교부 · 태정관지령과 기죽도약도(1877)
https://dokdo.mofa.go.kr/kor/pds/part06_view09.jsp</ns0:t>
        </ns0:is>
      </ns0:c>
    </ns0:row>
    <ns0:row r="217" ht="160" customHeight="1">
      <ns0:c r="A217" s="12" t="n">
        <ns0:v>920216</ns0:v>
      </ns0:c>
      <ns0:c r="B217" s="12" t="inlineStr">
        <ns0:is>
          <ns0:t>What can a decree and a local report respectively help establish?</ns0:t>
        </ns0:is>
      </ns0:c>
      <ns0:c r="C217" s="12" t="inlineStr">
        <ns0:is>
          <ns0:t>Read the decree as an eyewitness account and the report as an imperial order</ns0:t>
        </ns0:is>
      </ns0:c>
      <ns0:c r="D217" s="12" t="inlineStr">
        <ns0:is>
          <ns0:t>The decree’s provisions and the report’s local information</ns0:t>
        </ns0:is>
      </ns0:c>
      <ns0:c r="E217" s="12" t="inlineStr">
        <ns0:is>
          <ns0:t>Remove the dates and read them as one document</ns0:t>
        </ns0:is>
      </ns0:c>
      <ns0:c r="F217" s="12" t="inlineStr"/>
      <ns0:c r="G217" s="12" t="n">
        <ns0:v>2</ns0:v>
      </ns0:c>
      <ns0:c r="H217" s="12" t="inlineStr">
        <ns0:is>
          <ns0:t>This correctly combines the distinct functions of order and report.</ns0:t>
        </ns0:is>
      </ns0:c>
      <ns0:c r="I217" s="12" t="inlineStr">
        <ns0:is>
          <ns0:t>Geographical texts, maps, reports and orders provide different kinds of historical evidence concerning Dokdo.</ns0:t>
        </ns0:is>
      </ns0:c>
      <ns0:c r="J217" s="12" t="inlineStr">
        <ns0:is>
          <ns0:t>Sources: Decree No. 41 of 1900 sets Uldo’s administration; Shim’s 1906 report conveys local information concerning Dokdo.</ns0:t>
        </ns0:is>
      </ns0:c>
      <ns0:c r="K217" s="12" t="inlineStr">
        <ns0:is>
          <ns0:t>대한민국 외교부 자료실 · 세종실록 지리지(1454)
https://dokdo.mofa.go.kr/kor/pds/part06_view02.jsp
대한민국 외교부 자료실 · 대한제국 칙령 제41호
https://dokdo.mofa.go.kr/kor/pds/part02_view02.jsp
대한민국 외교부 자료실 · 심흥택 보고서(1906)
https://dokdo.mofa.go.kr/kor/pds/part02_view04.jsp
대한민국 외교부 자료실 · 지령 제3호(1906.5.10)
https://dokdo.mofa.go.kr/kor/pds/part02_view05.jsp
대한민국 외교부 · 태정관지령과 기죽도약도(1877)
https://dokdo.mofa.go.kr/kor/pds/part06_view09.jsp</ns0:t>
        </ns0:is>
      </ns0:c>
    </ns0:row>
    <ns0:row r="218" ht="143" customHeight="1">
      <ns0:c r="A218" s="10" t="n">
        <ns0:v>920217</ns0:v>
      </ns0:c>
      <ns0:c r="B218" s="10" t="inlineStr">
        <ns0:is>
          <ns0:t>Which Japanese institution issued the Dajokan directive in 1877?</ns0:t>
        </ns0:is>
      </ns0:c>
      <ns0:c r="C218" s="10" t="inlineStr">
        <ns0:is>
          <ns0:t>The Home Ministry</ns0:t>
        </ns0:is>
      </ns0:c>
      <ns0:c r="D218" s="10" t="inlineStr">
        <ns0:is>
          <ns0:t>Shimane Prefecture</ns0:t>
        </ns0:is>
      </ns0:c>
      <ns0:c r="E218" s="10" t="inlineStr">
        <ns0:is>
          <ns0:t>The Dajokan</ns0:t>
        </ns0:is>
      </ns0:c>
      <ns0:c r="F218" s="10" t="inlineStr"/>
      <ns0:c r="G218" s="10" t="n">
        <ns0:v>3</ns0:v>
      </ns0:c>
      <ns0:c r="H218" s="10" t="inlineStr">
        <ns0:is>
          <ns0:t>It was the highest Japanese administrative body issuing the instruction.</ns0:t>
        </ns0:is>
      </ns0:c>
      <ns0:c r="I218" s="10" t="inlineStr">
        <ns0:is>
          <ns0:t>A historical Japanese document and its modern ROK MOFA translation/commentary have different authors and roles.</ns0:t>
        </ns0:is>
      </ns0:c>
      <ns0:c r="J218" s="10" t="inlineStr"/>
      <ns0:c r="K218" s="10" t="inlineStr">
        <ns0:is>
          <ns0:t>대한민국 외교부 자료실 · 태정관지령(1877)
https://dokdo.mofa.go.kr/kor/pds/part05_view03.jsp
대한민국 외교부 · 태정관지령과 기죽도약도(1877)
https://dokdo.mofa.go.kr/kor/pds/part06_view09.jsp
대한민국 외교부 · 울릉도 도해금지령(1696)
https://dokdo.mofa.go.kr/kor/pds/part05_view06.jsp</ns0:t>
        </ns0:is>
      </ns0:c>
    </ns0:row>
    <ns0:row r="219" ht="143" customHeight="1">
      <ns0:c r="A219" s="12" t="n">
        <ns0:v>920218</ns0:v>
      </ns0:c>
      <ns0:c r="B219" s="12" t="inlineStr">
        <ns0:is>
          <ns0:t>Which Japanese institution asked the Dajokan how to handle the two islands in 1877?</ns0:t>
        </ns0:is>
      </ns0:c>
      <ns0:c r="C219" s="12" t="inlineStr">
        <ns0:is>
          <ns0:t>The Home Ministry</ns0:t>
        </ns0:is>
      </ns0:c>
      <ns0:c r="D219" s="12" t="inlineStr">
        <ns0:is>
          <ns0:t>The Dajokan</ns0:t>
        </ns0:is>
      </ns0:c>
      <ns0:c r="E219" s="12" t="inlineStr">
        <ns0:is>
          <ns0:t>The Foreign Ministry</ns0:t>
        </ns0:is>
      </ns0:c>
      <ns0:c r="F219" s="12" t="inlineStr"/>
      <ns0:c r="G219" s="12" t="n">
        <ns0:v>1</ns0:v>
      </ns0:c>
      <ns0:c r="H219" s="12" t="inlineStr">
        <ns0:is>
          <ns0:t>Japan’s Home Ministry submitted the land-record inquiry.</ns0:t>
        </ns0:is>
      </ns0:c>
      <ns0:c r="I219" s="12" t="inlineStr">
        <ns0:is>
          <ns0:t>A historical Japanese document and its modern ROK MOFA translation/commentary have different authors and roles.</ns0:t>
        </ns0:is>
      </ns0:c>
      <ns0:c r="J219" s="12" t="inlineStr"/>
      <ns0:c r="K219" s="12" t="inlineStr">
        <ns0:is>
          <ns0:t>대한민국 외교부 자료실 · 태정관지령(1877)
https://dokdo.mofa.go.kr/kor/pds/part05_view03.jsp
대한민국 외교부 · 태정관지령과 기죽도약도(1877)
https://dokdo.mofa.go.kr/kor/pds/part06_view09.jsp
대한민국 외교부 · 울릉도 도해금지령(1696)
https://dokdo.mofa.go.kr/kor/pds/part05_view06.jsp</ns0:t>
        </ns0:is>
      </ns0:c>
    </ns0:row>
    <ns0:row r="220" ht="143" customHeight="1">
      <ns0:c r="A220" s="10" t="n">
        <ns0:v>920219</ns0:v>
      </ns0:c>
      <ns0:c r="B220" s="10" t="inlineStr">
        <ns0:is>
          <ns0:t>Which institution published the modern translation and commentary in this source card?</ns0:t>
        </ns0:is>
      </ns0:c>
      <ns0:c r="C220" s="10" t="inlineStr">
        <ns0:is>
          <ns0:t>Japan’s Dajokan in 1877</ns0:t>
        </ns0:is>
      </ns0:c>
      <ns0:c r="D220" s="10" t="inlineStr">
        <ns0:is>
          <ns0:t>The ROK Ministry of Foreign Affairs</ns0:t>
        </ns0:is>
      </ns0:c>
      <ns0:c r="E220" s="10" t="inlineStr">
        <ns0:is>
          <ns0:t>Japan’s Home Ministry in 1877</ns0:t>
        </ns0:is>
      </ns0:c>
      <ns0:c r="F220" s="10" t="inlineStr"/>
      <ns0:c r="G220" s="10" t="n">
        <ns0:v>2</ns0:v>
      </ns0:c>
      <ns0:c r="H220" s="10" t="inlineStr">
        <ns0:is>
          <ns0:t>The modern publisher is ROK MOFA, distinct from the historical author.</ns0:t>
        </ns0:is>
      </ns0:c>
      <ns0:c r="I220" s="10" t="inlineStr">
        <ns0:is>
          <ns0:t>A historical Japanese document and its modern ROK MOFA translation/commentary have different authors and roles.</ns0:t>
        </ns0:is>
      </ns0:c>
      <ns0:c r="J220" s="10" t="inlineStr">
        <ns0:is>
          <ns0:t>Original instruction: Japan’s Dajokan, 1877.
Inquiring institution: Japan’s Home Ministry.
Modern Korean translation/commentary: ROK MOFA Dokdo website.</ns0:t>
        </ns0:is>
      </ns0:c>
      <ns0:c r="K220" s="10" t="inlineStr">
        <ns0:is>
          <ns0:t>대한민국 외교부 자료실 · 태정관지령(1877)
https://dokdo.mofa.go.kr/kor/pds/part05_view03.jsp
대한민국 외교부 · 태정관지령과 기죽도약도(1877)
https://dokdo.mofa.go.kr/kor/pds/part06_view09.jsp
대한민국 외교부 · 울릉도 도해금지령(1696)
https://dokdo.mofa.go.kr/kor/pds/part05_view06.jsp</ns0:t>
        </ns0:is>
      </ns0:c>
    </ns0:row>
    <ns0:row r="221" ht="143" customHeight="1">
      <ns0:c r="A221" s="12" t="n">
        <ns0:v>920220</ns0:v>
      </ns0:c>
      <ns0:c r="B221" s="12" t="inlineStr">
        <ns0:is>
          <ns0:t>Which attribution correctly separates the directive’s author from its modern commentator?</ns0:t>
        </ns0:is>
      </ns0:c>
      <ns0:c r="C221" s="12" t="inlineStr">
        <ns0:is>
          <ns0:t>Original: ROK MOFA / translation: Japan’s Dajokan</ns0:t>
        </ns0:is>
      </ns0:c>
      <ns0:c r="D221" s="12" t="inlineStr">
        <ns0:is>
          <ns0:t>Both the original and modern commentary: Japan’s Home Ministry</ns0:t>
        </ns0:is>
      </ns0:c>
      <ns0:c r="E221" s="12" t="inlineStr">
        <ns0:is>
          <ns0:t>Original: Japan’s Dajokan / translation and commentary: ROK MOFA</ns0:t>
        </ns0:is>
      </ns0:c>
      <ns0:c r="F221" s="12" t="inlineStr"/>
      <ns0:c r="G221" s="12" t="n">
        <ns0:v>3</ns0:v>
      </ns0:c>
      <ns0:c r="H221" s="12" t="inlineStr">
        <ns0:is>
          <ns0:t>Giving both country and role distinguishes the historical instruction from modern interpretation.</ns0:t>
        </ns0:is>
      </ns0:c>
      <ns0:c r="I221" s="12" t="inlineStr">
        <ns0:is>
          <ns0:t>A historical Japanese document and its modern ROK MOFA translation/commentary have different authors and roles.</ns0:t>
        </ns0:is>
      </ns0:c>
      <ns0:c r="J221" s="12" t="inlineStr">
        <ns0:is>
          <ns0:t>Japan’s Dajokan responded to the Home Ministry’s inquiry in 1877. Today ROK MOFA publishes the translation and commentary on the attached map.</ns0:t>
        </ns0:is>
      </ns0:c>
      <ns0:c r="K221" s="12" t="inlineStr">
        <ns0:is>
          <ns0:t>대한민국 외교부 자료실 · 태정관지령(1877)
https://dokdo.mofa.go.kr/kor/pds/part05_view03.jsp
대한민국 외교부 · 태정관지령과 기죽도약도(1877)
https://dokdo.mofa.go.kr/kor/pds/part06_view09.jsp
대한민국 외교부 · 울릉도 도해금지령(1696)
https://dokdo.mofa.go.kr/kor/pds/part05_view06.jsp</ns0:t>
        </ns0:is>
      </ns0:c>
    </ns0:row>
    <ns0:row r="222" ht="53" customHeight="1">
      <ns0:c r="A222" s="10" t="n">
        <ns0:v>920221</ns0:v>
      </ns0:c>
      <ns0:c r="B222" s="10" t="inlineStr">
        <ns0:is>
          <ns0:t>Which sea condition makes docking at Dokdo difficult?</ns0:t>
        </ns0:is>
      </ns0:c>
      <ns0:c r="C222" s="10" t="inlineStr">
        <ns0:is>
          <ns0:t>High waves</ns0:t>
        </ns0:is>
      </ns0:c>
      <ns0:c r="D222" s="10" t="inlineStr">
        <ns0:is>
          <ns0:t>Light wind and calm water</ns0:t>
        </ns0:is>
      </ns0:c>
      <ns0:c r="E222" s="10" t="inlineStr">
        <ns0:is>
          <ns0:t>Almost no waves</ns0:t>
        </ns0:is>
      </ns0:c>
      <ns0:c r="F222" s="10" t="inlineStr"/>
      <ns0:c r="G222" s="10" t="n">
        <ns0:v>1</ns0:v>
      </ns0:c>
      <ns0:c r="H222" s="10" t="inlineStr">
        <ns0:is>
          <ns0:t>High waves can interfere with safe docking and disembarkation.</ns0:t>
        </ns0:is>
      </ns0:c>
      <ns0:c r="I222" s="10" t="inlineStr">
        <ns0:is>
          <ns0:t>Landing on Dokdo depends on weather and sea conditions; a ferry ticket does not guarantee disembarkation.</ns0:t>
        </ns0:is>
      </ns0:c>
      <ns0:c r="J222" s="10" t="inlineStr">
        <ns0:is>
          <ns0:t>Actual visits require current operator and authority guidance. This lesson is not live service information.</ns0:t>
        </ns0:is>
      </ns0:c>
      <ns0:c r="K222" s="10" t="inlineStr">
        <ns0:is>
          <ns0:t>대한민국 외교부 · 주민 및 입도 안내
https://dokdo.mofa.go.kr/kor/introduce/residence.jsp</ns0:t>
        </ns0:is>
      </ns0:c>
    </ns0:row>
    <ns0:row r="223" ht="53" customHeight="1">
      <ns0:c r="A223" s="12" t="n">
        <ns0:v>920222</ns0:v>
      </ns0:c>
      <ns0:c r="B223" s="12" t="inlineStr">
        <ns0:is>
          <ns0:t>Why might someone with a Dokdo ferry ticket still be unable to land?</ns0:t>
        </ns0:is>
      </ns0:c>
      <ns0:c r="C223" s="12" t="inlineStr">
        <ns0:is>
          <ns0:t>Arrival always guarantees disembarkation.</ns0:t>
        </ns0:is>
      </ns0:c>
      <ns0:c r="D223" s="12" t="inlineStr">
        <ns0:is>
          <ns0:t>Weather and waves can prevent docking.</ns0:t>
        </ns0:is>
      </ns0:c>
      <ns0:c r="E223" s="12" t="inlineStr">
        <ns0:is>
          <ns0:t>Yesterday’s landing guarantees today’s.</ns0:t>
        </ns0:is>
      </ns0:c>
      <ns0:c r="F223" s="12" t="inlineStr"/>
      <ns0:c r="G223" s="12" t="n">
        <ns0:v>2</ns0:v>
      </ns0:c>
      <ns0:c r="H223" s="12" t="inlineStr">
        <ns0:is>
          <ns0:t>Having a ticket and having safe docking conditions are separate.</ns0:t>
        </ns0:is>
      </ns0:c>
      <ns0:c r="I223" s="12" t="inlineStr">
        <ns0:is>
          <ns0:t>Landing on Dokdo depends on weather and sea conditions; a ferry ticket does not guarantee disembarkation.</ns0:t>
        </ns0:is>
      </ns0:c>
      <ns0:c r="J223" s="12" t="inlineStr">
        <ns0:is>
          <ns0:t>Actual visits require current operator and authority guidance. This lesson is not live service information.</ns0:t>
        </ns0:is>
      </ns0:c>
      <ns0:c r="K223" s="12" t="inlineStr">
        <ns0:is>
          <ns0:t>대한민국 외교부 · 주민 및 입도 안내
https://dokdo.mofa.go.kr/kor/introduce/residence.jsp</ns0:t>
        </ns0:is>
      </ns0:c>
    </ns0:row>
    <ns0:row r="224" ht="68" customHeight="1">
      <ns0:c r="A224" s="10" t="n">
        <ns0:v>920223</ns0:v>
      </ns0:c>
      <ns0:c r="B224" s="10" t="inlineStr">
        <ns0:is>
          <ns0:t>Which condition should a visitor include in a Dokdo travel plan based on the notice?</ns0:t>
        </ns0:is>
      </ns0:c>
      <ns0:c r="C224" s="10" t="inlineStr">
        <ns0:is>
          <ns0:t>A ticket guarantees landing regardless of waves</ns0:t>
        </ns0:is>
      </ns0:c>
      <ns0:c r="D224" s="10" t="inlineStr">
        <ns0:is>
          <ns0:t>Yesterday’s photo determines today’s landing</ns0:t>
        </ns0:is>
      </ns0:c>
      <ns0:c r="E224" s="10" t="inlineStr">
        <ns0:is>
          <ns0:t>Landing may be cancelled due to that day’s conditions</ns0:t>
        </ns0:is>
      </ns0:c>
      <ns0:c r="F224" s="10" t="inlineStr"/>
      <ns0:c r="G224" s="10" t="n">
        <ns0:v>3</ns0:v>
      </ns0:c>
      <ns0:c r="H224" s="10" t="inlineStr">
        <ns0:is>
          <ns0:t>The plan should account for the stated possibility of restrictions.</ns0:t>
        </ns0:is>
      </ns0:c>
      <ns0:c r="I224" s="10" t="inlineStr">
        <ns0:is>
          <ns0:t>Landing on Dokdo depends on weather and sea conditions; a ferry ticket does not guarantee disembarkation.</ns0:t>
        </ns0:is>
      </ns0:c>
      <ns0:c r="J224" s="10" t="inlineStr">
        <ns0:is>
          <ns0:t>Visitor notice, summarised: weather or vessel circumstances may restrict landing. Check current operator information before departure.
Actual visits require current operator and authority guidance. This lesson is not live service information.</ns0:t>
        </ns0:is>
      </ns0:c>
      <ns0:c r="K224" s="10" t="inlineStr">
        <ns0:is>
          <ns0:t>대한민국 외교부 · 주민 및 입도 안내
https://dokdo.mofa.go.kr/kor/introduce/residence.jsp</ns0:t>
        </ns0:is>
      </ns0:c>
    </ns0:row>
    <ns0:row r="225" ht="68" customHeight="1">
      <ns0:c r="A225" s="12" t="n">
        <ns0:v>920224</ns0:v>
      </ns0:c>
      <ns0:c r="B225" s="12" t="inlineStr">
        <ns0:is>
          <ns0:t>What should be checked first to confirm possible landing on the travel day?</ns0:t>
        </ns0:is>
      </ns0:c>
      <ns0:c r="C225" s="12" t="inlineStr">
        <ns0:is>
          <ns0:t>Current operator and authority notices on sailing and landing</ns0:t>
        </ns0:is>
      </ns0:c>
      <ns0:c r="D225" s="12" t="inlineStr">
        <ns0:is>
          <ns0:t>Travel photos from a clear day years ago</ns0:t>
        </ns0:is>
      </ns0:c>
      <ns0:c r="E225" s="12" t="inlineStr">
        <ns0:is>
          <ns0:t>Only the annual mean temperature</ns0:t>
        </ns0:is>
      </ns0:c>
      <ns0:c r="F225" s="12" t="inlineStr"/>
      <ns0:c r="G225" s="12" t="n">
        <ns0:v>1</ns0:v>
      </ns0:c>
      <ns0:c r="H225" s="12" t="inlineStr">
        <ns0:is>
          <ns0:t>Current safety and service information is needed for an actual visit.</ns0:t>
        </ns0:is>
      </ns0:c>
      <ns0:c r="I225" s="12" t="inlineStr">
        <ns0:is>
          <ns0:t>Landing on Dokdo depends on weather and sea conditions; a ferry ticket does not guarantee disembarkation.</ns0:t>
        </ns0:is>
      </ns0:c>
      <ns0:c r="J225" s="12" t="inlineStr">
        <ns0:is>
          <ns0:t>Situation: a Dokdo ferry ticket is booked for departure today. The notice says landing may be restricted by weather or vessel circumstances.
Actual visits require current operator and authority guidance. This lesson is not live service information.</ns0:t>
        </ns0:is>
      </ns0:c>
      <ns0:c r="K225" s="12" t="inlineStr">
        <ns0:is>
          <ns0:t>대한민국 외교부 · 주민 및 입도 안내
https://dokdo.mofa.go.kr/kor/introduce/residence.jsp</ns0:t>
        </ns0:is>
      </ns0:c>
    </ns0:row>
    <ns0:row r="226" ht="53" customHeight="1">
      <ns0:c r="A226" s="10" t="n">
        <ns0:v>920225</ns0:v>
      </ns0:c>
      <ns0:c r="B226" s="10" t="inlineStr">
        <ns0:is>
          <ns0:t>What mainly falls in winter in the region around Dokdo?</ns0:t>
        </ns0:is>
      </ns0:c>
      <ns0:c r="C226" s="10" t="inlineStr">
        <ns0:is>
          <ns0:t>Rain</ns0:t>
        </ns0:is>
      </ns0:c>
      <ns0:c r="D226" s="10" t="inlineStr">
        <ns0:is>
          <ns0:t>Snow</ns0:t>
        </ns0:is>
      </ns0:c>
      <ns0:c r="E226" s="10" t="inlineStr">
        <ns0:is>
          <ns0:t>Hail</ns0:t>
        </ns0:is>
      </ns0:c>
      <ns0:c r="F226" s="10" t="inlineStr">
        <ns0:is>
          <ns0:t>Fog</ns0:t>
        </ns0:is>
      </ns0:c>
      <ns0:c r="G226" s="10" t="n">
        <ns0:v>2</ns0:v>
      </ns0:c>
      <ns0:c r="H226" s="10" t="inlineStr">
        <ns0:is>
          <ns0:t>The regional climate account describes winter precipitation as mainly snow.</ns0:t>
        </ns0:is>
      </ns0:c>
      <ns0:c r="I226" s="10" t="inlineStr">
        <ns0:is>
          <ns0:t>The region around Ulleungdo, including Dokdo, has a maritime climate with winter precipitation mainly as snow.</ns0:t>
        </ns0:is>
      </ns0:c>
      <ns0:c r="J226" s="10" t="inlineStr">
        <ns0:is>
          <ns0:t>The climate account covers the Ulleungdo region including Dokdo, not live observations from Dokdo alone.</ns0:t>
        </ns0:is>
      </ns0:c>
      <ns0:c r="K226" s="10" t="inlineStr">
        <ns0:is>
          <ns0:t>대한민국 외교부 · 독도의 자연환경
https://dokdo.mofa.go.kr/kor/introduce/nature.jsp</ns0:t>
        </ns0:is>
      </ns0:c>
    </ns0:row>
    <ns0:row r="227" ht="53" customHeight="1">
      <ns0:c r="A227" s="12" t="n">
        <ns0:v>920226</ns0:v>
      </ns0:c>
      <ns0:c r="B227" s="12" t="inlineStr">
        <ns0:is>
          <ns0:t>What is the sea-influenced climate around Dokdo called?</ns0:t>
        </ns0:is>
      </ns0:c>
      <ns0:c r="C227" s="12" t="inlineStr">
        <ns0:is>
          <ns0:t>Desert climate</ns0:t>
        </ns0:is>
      </ns0:c>
      <ns0:c r="D227" s="12" t="inlineStr">
        <ns0:is>
          <ns0:t>Maritime climate</ns0:t>
        </ns0:is>
      </ns0:c>
      <ns0:c r="E227" s="12" t="inlineStr">
        <ns0:is>
          <ns0:t>Continental climate</ns0:t>
        </ns0:is>
      </ns0:c>
      <ns0:c r="F227" s="12" t="inlineStr"/>
      <ns0:c r="G227" s="12" t="n">
        <ns0:v>2</ns0:v>
      </ns0:c>
      <ns0:c r="H227" s="12" t="inlineStr">
        <ns0:is>
          <ns0:t>The region is described as maritime, strongly influenced by the sea and warm currents.</ns0:t>
        </ns0:is>
      </ns0:c>
      <ns0:c r="I227" s="12" t="inlineStr">
        <ns0:is>
          <ns0:t>The region around Ulleungdo, including Dokdo, has a maritime climate with winter precipitation mainly as snow.</ns0:t>
        </ns0:is>
      </ns0:c>
      <ns0:c r="J227" s="12" t="inlineStr">
        <ns0:is>
          <ns0:t>The climate account covers the Ulleungdo region including Dokdo, not live observations from Dokdo alone.</ns0:t>
        </ns0:is>
      </ns0:c>
      <ns0:c r="K227" s="12" t="inlineStr">
        <ns0:is>
          <ns0:t>대한민국 외교부 · 독도의 자연환경
https://dokdo.mofa.go.kr/kor/introduce/nature.jsp</ns0:t>
        </ns0:is>
      </ns0:c>
    </ns0:row>
    <ns0:row r="228" ht="68" customHeight="1">
      <ns0:c r="A228" s="10" t="n">
        <ns0:v>920227</ns0:v>
      </ns0:c>
      <ns0:c r="B228" s="10" t="inlineStr">
        <ns0:is>
          <ns0:t>Which option matches the supplied climate description for the region around Dokdo?</ns0:t>
        </ns0:is>
      </ns0:c>
      <ns0:c r="C228" s="10" t="inlineStr">
        <ns0:is>
          <ns0:t>Winter precipitation mainly hail and no fog</ns0:t>
        </ns0:is>
      </ns0:c>
      <ns0:c r="D228" s="10" t="inlineStr">
        <ns0:is>
          <ns0:t>Dry throughout the year with no snow</ns0:t>
        </ns0:is>
      </ns0:c>
      <ns0:c r="E228" s="10" t="inlineStr">
        <ns0:is>
          <ns0:t>Frequent fog and winter precipitation mainly as snow</ns0:t>
        </ns0:is>
      </ns0:c>
      <ns0:c r="F228" s="10" t="inlineStr"/>
      <ns0:c r="G228" s="10" t="n">
        <ns0:v>3</ns0:v>
      </ns0:c>
      <ns0:c r="H228" s="10" t="inlineStr">
        <ns0:is>
          <ns0:t>Both features are included in the regional climate description.</ns0:t>
        </ns0:is>
      </ns0:c>
      <ns0:c r="I228" s="10" t="inlineStr">
        <ns0:is>
          <ns0:t>The region around Ulleungdo, including Dokdo, has a maritime climate with winter precipitation mainly as snow.</ns0:t>
        </ns0:is>
      </ns0:c>
      <ns0:c r="J228" s="10" t="inlineStr">
        <ns0:is>
          <ns0:t>Regional climate summary: strong maritime influence; frequent fog and cloudy days; winter precipitation mainly in the form of snow.
The climate account covers the Ulleungdo region including Dokdo, not live observations from Dokdo alone.</ns0:t>
        </ns0:is>
      </ns0:c>
      <ns0:c r="K228" s="10" t="inlineStr">
        <ns0:is>
          <ns0:t>대한민국 외교부 · 독도의 자연환경
https://dokdo.mofa.go.kr/kor/introduce/nature.jsp</ns0:t>
        </ns0:is>
      </ns0:c>
    </ns0:row>
    <ns0:row r="229" ht="68" customHeight="1">
      <ns0:c r="A229" s="12" t="n">
        <ns0:v>920228</ns0:v>
      </ns0:c>
      <ns0:c r="B229" s="12" t="inlineStr">
        <ns0:is>
          <ns0:t>What must be corrected in “snow predominates in winter, so it must snow on Dokdo today”?</ns0:t>
        </ns0:is>
      </ns0:c>
      <ns0:c r="C229" s="12" t="inlineStr">
        <ns0:is>
          <ns0:t>Turning a typical climate feature into a definite forecast for today</ns0:t>
        </ns0:is>
      </ns0:c>
      <ns0:c r="D229" s="12" t="inlineStr">
        <ns0:is>
          <ns0:t>The possibility of winter snow itself</ns0:t>
        </ns0:is>
      </ns0:c>
      <ns0:c r="E229" s="12" t="inlineStr">
        <ns0:is>
          <ns0:t>The statement that the sea influences Dokdo</ns0:t>
        </ns0:is>
      </ns0:c>
      <ns0:c r="F229" s="12" t="inlineStr"/>
      <ns0:c r="G229" s="12" t="n">
        <ns0:v>1</ns0:v>
      </ns0:c>
      <ns0:c r="H229" s="12" t="inlineStr">
        <ns0:is>
          <ns0:t>A seasonal tendency does not determine one day’s weather; current data are needed.</ns0:t>
        </ns0:is>
      </ns0:c>
      <ns0:c r="I229" s="12" t="inlineStr">
        <ns0:is>
          <ns0:t>The region around Ulleungdo, including Dokdo, has a maritime climate with winter precipitation mainly as snow.</ns0:t>
        </ns0:is>
      </ns0:c>
      <ns0:c r="J229" s="12" t="inlineStr">
        <ns0:is>
          <ns0:t>Climate describes long-term patterns; weather concerns a particular time. Winter precipitation in this region is mainly snow, not a guarantee of snow every day.
The climate account covers the Ulleungdo region including Dokdo, not live observations from Dokdo alone.</ns0:t>
        </ns0:is>
      </ns0:c>
      <ns0:c r="K229" s="12" t="inlineStr">
        <ns0:is>
          <ns0:t>대한민국 외교부 · 독도의 자연환경
https://dokdo.mofa.go.kr/kor/introduce/nature.jsp</ns0:t>
        </ns0:is>
      </ns0:c>
    </ns0:row>
    <ns0:row r="230" ht="53" customHeight="1">
      <ns0:c r="A230" s="10" t="n">
        <ns0:v>920229</ns0:v>
      </ns0:c>
      <ns0:c r="B230" s="10" t="inlineStr">
        <ns0:is>
          <ns0:t>Which facility is at Dokdo An Yong-bok-gil 3?</ns0:t>
        </ns0:is>
      </ns0:c>
      <ns0:c r="C230" s="10" t="inlineStr">
        <ns0:is>
          <ns0:t>Dongdo guard facility</ns0:t>
        </ns0:is>
      </ns0:c>
      <ns0:c r="D230" s="10" t="inlineStr">
        <ns0:is>
          <ns0:t>Seodo residents’ accommodation</ns0:t>
        </ns0:is>
      </ns0:c>
      <ns0:c r="E230" s="10" t="inlineStr">
        <ns0:is>
          <ns0:t>Dongdo lighthouse</ns0:t>
        </ns0:is>
      </ns0:c>
      <ns0:c r="F230" s="10" t="inlineStr"/>
      <ns0:c r="G230" s="10" t="n">
        <ns0:v>2</ns0:v>
      </ns0:c>
      <ns0:c r="H230" s="10" t="inlineStr">
        <ns0:is>
          <ns0:t>The address guide associates An Yong-bok-gil 3 with Seodo’s accommodation.</ns0:t>
        </ns0:is>
      </ns0:c>
      <ns0:c r="I230" s="10" t="inlineStr">
        <ns0:is>
          <ns0:t>Dokdo An Yong-bok-gil 3 is Seodo’s accommodation; Dongdo’s guard facility and lighthouse use Dokdo Isabu-gil.</ns0:t>
        </ns0:is>
      </ns0:c>
      <ns0:c r="J230" s="10" t="inlineStr"/>
      <ns0:c r="K230" s="10" t="inlineStr">
        <ns0:is>
          <ns0:t>대한민국 해양수산부 · 독도의 주소와 위치
https://www.mof.go.kr/doc/ko/selectDoc.do?bbsSeq=27&amp;docSeq=20937&amp;menuSeq=929</ns0:t>
        </ns0:is>
      </ns0:c>
    </ns0:row>
    <ns0:row r="231" ht="53" customHeight="1">
      <ns0:c r="A231" s="12" t="n">
        <ns0:v>920230</ns0:v>
      </ns0:c>
      <ns0:c r="B231" s="12" t="inlineStr">
        <ns0:is>
          <ns0:t>Which street name is shared by Dongdo’s guard facility and lighthouse?</ns0:t>
        </ns0:is>
      </ns0:c>
      <ns0:c r="C231" s="12" t="inlineStr">
        <ns0:is>
          <ns0:t>Dokdo An Yong-bok-gil</ns0:t>
        </ns0:is>
      </ns0:c>
      <ns0:c r="D231" s="12" t="inlineStr">
        <ns0:is>
          <ns0:t>Dokdo Usanbong-gil</ns0:t>
        </ns0:is>
      </ns0:c>
      <ns0:c r="E231" s="12" t="inlineStr">
        <ns0:is>
          <ns0:t>Dokdo Isabu-gil</ns0:t>
        </ns0:is>
      </ns0:c>
      <ns0:c r="F231" s="12" t="inlineStr"/>
      <ns0:c r="G231" s="12" t="n">
        <ns0:v>3</ns0:v>
      </ns0:c>
      <ns0:c r="H231" s="12" t="inlineStr">
        <ns0:is>
          <ns0:t>Both addresses use Isabu-gil: 55 for the guard facility and 63 for the lighthouse.</ns0:t>
        </ns0:is>
      </ns0:c>
      <ns0:c r="I231" s="12" t="inlineStr">
        <ns0:is>
          <ns0:t>Dokdo An Yong-bok-gil 3 is Seodo’s accommodation; Dongdo’s guard facility and lighthouse use Dokdo Isabu-gil.</ns0:t>
        </ns0:is>
      </ns0:c>
      <ns0:c r="J231" s="12" t="inlineStr"/>
      <ns0:c r="K231" s="12" t="inlineStr">
        <ns0:is>
          <ns0:t>대한민국 해양수산부 · 독도의 주소와 위치
https://www.mof.go.kr/doc/ko/selectDoc.do?bbsSeq=27&amp;docSeq=20937&amp;menuSeq=929</ns0:t>
        </ns0:is>
      </ns0:c>
    </ns0:row>
    <ns0:row r="232" ht="83" customHeight="1">
      <ns0:c r="A232" s="10" t="n">
        <ns0:v>920231</ns0:v>
      </ns0:c>
      <ns0:c r="B232" s="10" t="inlineStr">
        <ns0:is>
          <ns0:t>Which facility corresponds to Dokdo Isabu-gil 63 in the address table?</ns0:t>
        </ns0:is>
      </ns0:c>
      <ns0:c r="C232" s="10" t="inlineStr">
        <ns0:is>
          <ns0:t>Dokdo Lighthouse on Dongdo</ns0:t>
        </ns0:is>
      </ns0:c>
      <ns0:c r="D232" s="10" t="inlineStr">
        <ns0:is>
          <ns0:t>Dokdo guard facility on Dongdo</ns0:t>
        </ns0:is>
      </ns0:c>
      <ns0:c r="E232" s="10" t="inlineStr">
        <ns0:is>
          <ns0:t>Seodo residents’ accommodation</ns0:t>
        </ns0:is>
      </ns0:c>
      <ns0:c r="F232" s="10" t="inlineStr"/>
      <ns0:c r="G232" s="10" t="n">
        <ns0:v>1</ns0:v>
      </ns0:c>
      <ns0:c r="H232" s="10" t="inlineStr">
        <ns0:is>
          <ns0:t>The table pairs Isabu-gil 63 with the lighthouse.</ns0:t>
        </ns0:is>
      </ns0:c>
      <ns0:c r="I232" s="10" t="inlineStr">
        <ns0:is>
          <ns0:t>Dokdo An Yong-bok-gil 3 is Seodo’s accommodation; Dongdo’s guard facility and lighthouse use Dokdo Isabu-gil.</ns0:t>
        </ns0:is>
      </ns0:c>
      <ns0:c r="J232" s="10" t="inlineStr">
        <ns0:is>
          <ns0:t>Address table:
Isabu-gil 55 — Dongdo guard facility
Isabu-gil 63 — Dongdo lighthouse
An Yong-bok-gil 3 — Seodo accommodation</ns0:t>
        </ns0:is>
      </ns0:c>
      <ns0:c r="K232" s="10" t="inlineStr">
        <ns0:is>
          <ns0:t>대한민국 해양수산부 · 독도의 주소와 위치
https://www.mof.go.kr/doc/ko/selectDoc.do?bbsSeq=27&amp;docSeq=20937&amp;menuSeq=929</ns0:t>
        </ns0:is>
      </ns0:c>
    </ns0:row>
    <ns0:row r="233" ht="83" customHeight="1">
      <ns0:c r="A233" s="12" t="n">
        <ns0:v>920232</ns0:v>
      </ns0:c>
      <ns0:c r="B233" s="12" t="inlineStr">
        <ns0:is>
          <ns0:t>Which addresses would be used for Seodo’s accommodation and then Dongdo’s lighthouse?</ns0:t>
        </ns0:is>
      </ns0:c>
      <ns0:c r="C233" s="12" t="inlineStr">
        <ns0:is>
          <ns0:t>Isabu-gil 55 → An Yong-bok-gil 3</ns0:t>
        </ns0:is>
      </ns0:c>
      <ns0:c r="D233" s="12" t="inlineStr">
        <ns0:is>
          <ns0:t>An Yong-bok-gil 3 → Isabu-gil 63</ns0:t>
        </ns0:is>
      </ns0:c>
      <ns0:c r="E233" s="12" t="inlineStr">
        <ns0:is>
          <ns0:t>Isabu-gil 63 → Isabu-gil 55</ns0:t>
        </ns0:is>
      </ns0:c>
      <ns0:c r="F233" s="12" t="inlineStr"/>
      <ns0:c r="G233" s="12" t="n">
        <ns0:v>2</ns0:v>
      </ns0:c>
      <ns0:c r="H233" s="12" t="inlineStr">
        <ns0:is>
          <ns0:t>This matches each destination’s island, street and number.</ns0:t>
        </ns0:is>
      </ns0:c>
      <ns0:c r="I233" s="12" t="inlineStr">
        <ns0:is>
          <ns0:t>Dokdo An Yong-bok-gil 3 is Seodo’s accommodation; Dongdo’s guard facility and lighthouse use Dokdo Isabu-gil.</ns0:t>
        </ns0:is>
      </ns0:c>
      <ns0:c r="J233" s="12" t="inlineStr">
        <ns0:is>
          <ns0:t>Seodo accommodation — An Yong-bok-gil 3.
Dongdo guard facility — Isabu-gil 55.
Dongdo lighthouse — Isabu-gil 63.
Street numbers are not geographic coordinates or directions.</ns0:t>
        </ns0:is>
      </ns0:c>
      <ns0:c r="K233" s="12" t="inlineStr">
        <ns0:is>
          <ns0:t>대한민국 해양수산부 · 독도의 주소와 위치
https://www.mof.go.kr/doc/ko/selectDoc.do?bbsSeq=27&amp;docSeq=20937&amp;menuSeq=929</ns0:t>
        </ns0:is>
      </ns0:c>
    </ns0:row>
    <ns0:row r="234" ht="53" customHeight="1">
      <ns0:c r="A234" s="10" t="n">
        <ns0:v>920233</ns0:v>
      </ns0:c>
      <ns0:c r="B234" s="10" t="inlineStr">
        <ns0:is>
          <ns0:t>Which area is identified as the ordinary Dokdo visitor viewing area?</ns0:t>
        </ns0:is>
      </ns0:c>
      <ns0:c r="C234" s="10" t="inlineStr">
        <ns0:is>
          <ns0:t>The whole summit of Seodo</ns0:t>
        </ns0:is>
      </ns0:c>
      <ns0:c r="D234" s="10" t="inlineStr">
        <ns0:is>
          <ns0:t>Inside the Dongdo guard facility</ns0:t>
        </ns0:is>
      </ns0:c>
      <ns0:c r="E234" s="10" t="inlineStr">
        <ns0:is>
          <ns0:t>Dongdo’s dock</ns0:t>
        </ns0:is>
      </ns0:c>
      <ns0:c r="F234" s="10" t="inlineStr"/>
      <ns0:c r="G234" s="10" t="n">
        <ns0:v>3</ns0:v>
      </ns0:c>
      <ns0:c r="H234" s="10" t="inlineStr">
        <ns0:is>
          <ns0:t>The guidance describes ordinary visits to the Dongdo dock area.</ns0:t>
        </ns0:is>
      </ns0:c>
      <ns0:c r="I234" s="10" t="inlineStr">
        <ns0:is>
          <ns0:t>Ordinary visits focus on Dongdo’s dock; access to other areas requires checking separate guidance and permissions.</ns0:t>
        </ns0:is>
      </ns0:c>
      <ns0:c r="J234" s="10" t="inlineStr">
        <ns0:is>
          <ns0:t>Access conditions can change; consult current guidance before an actual visit.</ns0:t>
        </ns0:is>
      </ns0:c>
      <ns0:c r="K234" s="10" t="inlineStr">
        <ns0:is>
          <ns0:t>대한민국 외교부 · 주민 및 입도 안내
https://dokdo.mofa.go.kr/kor/introduce/residence.jsp</ns0:t>
        </ns0:is>
      </ns0:c>
    </ns0:row>
    <ns0:row r="235" ht="53" customHeight="1">
      <ns0:c r="A235" s="12" t="n">
        <ns0:v>920234</ns0:v>
      </ns0:c>
      <ns0:c r="B235" s="12" t="inlineStr">
        <ns0:is>
          <ns0:t>Does a ferry ticket allow entry everywhere on Dokdo?</ns0:t>
        </ns0:is>
      </ns0:c>
      <ns0:c r="C235" s="12" t="inlineStr">
        <ns0:is>
          <ns0:t>No. Check the permitted areas.</ns0:t>
        </ns0:is>
      </ns0:c>
      <ns0:c r="D235" s="12" t="inlineStr">
        <ns0:is>
          <ns0:t>Yes. It allows entry to every area.</ns0:t>
        </ns0:is>
      </ns0:c>
      <ns0:c r="E235" s="12" t="inlineStr"/>
      <ns0:c r="F235" s="12" t="inlineStr"/>
      <ns0:c r="G235" s="12" t="n">
        <ns0:v>1</ns0:v>
      </ns0:c>
      <ns0:c r="H235" s="12" t="inlineStr">
        <ns0:is>
          <ns0:t>Boarding and area access are distinct; visitors must follow permitted limits.</ns0:t>
        </ns0:is>
      </ns0:c>
      <ns0:c r="I235" s="12" t="inlineStr">
        <ns0:is>
          <ns0:t>Ordinary visits focus on Dongdo’s dock; access to other areas requires checking separate guidance and permissions.</ns0:t>
        </ns0:is>
      </ns0:c>
      <ns0:c r="J235" s="12" t="inlineStr">
        <ns0:is>
          <ns0:t>Access conditions can change; consult current guidance before an actual visit.</ns0:t>
        </ns0:is>
      </ns0:c>
      <ns0:c r="K235" s="12" t="inlineStr">
        <ns0:is>
          <ns0:t>대한민국 외교부 · 주민 및 입도 안내
https://dokdo.mofa.go.kr/kor/introduce/residence.jsp</ns0:t>
        </ns0:is>
      </ns0:c>
    </ns0:row>
    <ns0:row r="236" ht="68" customHeight="1">
      <ns0:c r="A236" s="10" t="n">
        <ns0:v>920235</ns0:v>
      </ns0:c>
      <ns0:c r="B236" s="10" t="inlineStr">
        <ns0:is>
          <ns0:t>What should someone wishing to visit Seodo check first?</ns0:t>
        </ns0:is>
      </ns0:c>
      <ns0:c r="C236" s="10" t="inlineStr">
        <ns0:is>
          <ns0:t>Separate permission and conditions from the responsible authority</ns0:t>
        </ns0:is>
      </ns0:c>
      <ns0:c r="D236" s="10" t="inlineStr">
        <ns0:is>
          <ns0:t>Assume an ordinary Dongdo visit also authorises Seodo</ns0:t>
        </ns0:is>
      </ns0:c>
      <ns0:c r="E236" s="10" t="inlineStr">
        <ns0:is>
          <ns0:t>Assume another visitor’s old permission applies to you</ns0:t>
        </ns0:is>
      </ns0:c>
      <ns0:c r="F236" s="10" t="inlineStr"/>
      <ns0:c r="G236" s="10" t="n">
        <ns0:v>1</ns0:v>
      </ns0:c>
      <ns0:c r="H236" s="10" t="inlineStr">
        <ns0:is>
          <ns0:t>Seodo access is distinguished from ordinary viewing at Dongdo’s dock.</ns0:t>
        </ns0:is>
      </ns0:c>
      <ns0:c r="I236" s="10" t="inlineStr">
        <ns0:is>
          <ns0:t>Ordinary visits focus on Dongdo’s dock; access to other areas requires checking separate guidance and permissions.</ns0:t>
        </ns0:is>
      </ns0:c>
      <ns0:c r="J236" s="10" t="inlineStr">
        <ns0:is>
          <ns0:t>Access distinction: ordinary visits concern Dongdo’s dock area. Seodo visits require checking separate permission from the responsible authority.
Access conditions can change; consult current guidance before an actual visit.</ns0:t>
        </ns0:is>
      </ns0:c>
      <ns0:c r="K236" s="10" t="inlineStr">
        <ns0:is>
          <ns0:t>대한민국 외교부 · 주민 및 입도 안내
https://dokdo.mofa.go.kr/kor/introduce/residence.jsp</ns0:t>
        </ns0:is>
      </ns0:c>
    </ns0:row>
    <ns0:row r="237" ht="68" customHeight="1">
      <ns0:c r="A237" s="12" t="n">
        <ns0:v>920236</ns0:v>
      </ns0:c>
      <ns0:c r="B237" s="12" t="inlineStr">
        <ns0:is>
          <ns0:t>Which promise in a Dokdo visitor notice must be corrected?</ns0:t>
        </ns0:is>
      </ns0:c>
      <ns0:c r="C237" s="12" t="inlineStr">
        <ns0:is>
          <ns0:t>Check the ordinary viewing area and landing conditions</ns0:t>
        </ns0:is>
      </ns0:c>
      <ns0:c r="D237" s="12" t="inlineStr">
        <ns0:is>
          <ns0:t>A ticket provides unrestricted entry to all facilities on both islands</ns0:t>
        </ns0:is>
      </ns0:c>
      <ns0:c r="E237" s="12" t="inlineStr">
        <ns0:is>
          <ns0:t>Warn that weather can restrict landing</ns0:t>
        </ns0:is>
      </ns0:c>
      <ns0:c r="F237" s="12" t="inlineStr"/>
      <ns0:c r="G237" s="12" t="n">
        <ns0:v>2</ns0:v>
      </ns0:c>
      <ns0:c r="H237" s="12" t="inlineStr">
        <ns0:is>
          <ns0:t>A ticket does not remove access restrictions; permissions still apply.</ns0:t>
        </ns0:is>
      </ns0:c>
      <ns0:c r="I237" s="12" t="inlineStr">
        <ns0:is>
          <ns0:t>Ordinary visits focus on Dongdo’s dock; access to other areas requires checking separate guidance and permissions.</ns0:t>
        </ns0:is>
      </ns0:c>
      <ns0:c r="J237" s="12" t="inlineStr">
        <ns0:is>
          <ns0:t>Review criteria: ordinary visits focus on Dongdo’s dock; weather or vessel conditions can restrict landing; other areas may require separate permissions.
Access conditions can change; consult current guidance before an actual visit.</ns0:t>
        </ns0:is>
      </ns0:c>
      <ns0:c r="K237" s="12" t="inlineStr">
        <ns0:is>
          <ns0:t>대한민국 외교부 · 주민 및 입도 안내
https://dokdo.mofa.go.kr/kor/introduce/residence.jsp</ns0:t>
        </ns0:is>
      </ns0:c>
    </ns0:row>
    <ns0:row r="238" ht="160" customHeight="1">
      <ns0:c r="A238" s="10" t="n">
        <ns0:v>920237</ns0:v>
      </ns0:c>
      <ns0:c r="B238" s="10" t="inlineStr">
        <ns0:is>
          <ns0:t>Which pair names both main islands of Dokdo?</ns0:t>
        </ns0:is>
      </ns0:c>
      <ns0:c r="C238" s="10" t="inlineStr">
        <ns0:is>
          <ns0:t>Ulleungdo and Jukdo</ns0:t>
        </ns0:is>
      </ns0:c>
      <ns0:c r="D238" s="10" t="inlineStr">
        <ns0:is>
          <ns0:t>Dongdo and Oki</ns0:t>
        </ns0:is>
      </ns0:c>
      <ns0:c r="E238" s="10" t="inlineStr">
        <ns0:is>
          <ns0:t>Dongdo and Seodo</ns0:t>
        </ns0:is>
      </ns0:c>
      <ns0:c r="F238" s="10" t="inlineStr"/>
      <ns0:c r="G238" s="10" t="n">
        <ns0:v>3</ns0:v>
      </ns0:c>
      <ns0:c r="H238" s="10" t="inlineStr">
        <ns0:is>
          <ns0:t>The two main islands and associated islets form Dokdo.</ns0:t>
        </ns0:is>
      </ns0:c>
      <ns0:c r="I238" s="10" t="inlineStr">
        <ns0:is>
          <ns0:t>Dokdo is a volcanic island group of Dongdo, Seodo and associated islets, with both natural and historical significance.</ns0:t>
        </ns0:is>
      </ns0:c>
      <ns0:c r="J238" s="10" t="inlineStr"/>
      <ns0:c r="K238" s="10" t="inlineStr">
        <ns0:is>
          <ns0:t>대한민국 외교부 · 독도의 구성 및 위치
https://dokdo.mofa.go.kr/kor/introduce/location.jsp
대한민국 한국해양과학기술원 · 독도 지형 및 지질
https://www.dokdo.re.kr/home/cms/cmsCont.do?cntnts_sn=66
대한민국 외교부 · 독도 주요시설물
https://dokdo.mofa.go.kr/kor/introduce/facility.jsp
대한민국 외교부 자료실 · 대한제국 칙령 제41호
https://dokdo.mofa.go.kr/kor/pds/part02_view02.jsp</ns0:t>
        </ns0:is>
      </ns0:c>
    </ns0:row>
    <ns0:row r="239" ht="160" customHeight="1">
      <ns0:c r="A239" s="12" t="n">
        <ns0:v>920238</ns0:v>
      </ns0:c>
      <ns0:c r="B239" s="12" t="inlineStr">
        <ns0:is>
          <ns0:t>Which pair gives the higher main island and then the island with the lighthouse?</ns0:t>
        </ns0:is>
      </ns0:c>
      <ns0:c r="C239" s="12" t="inlineStr">
        <ns0:is>
          <ns0:t>Seodo → Dongdo</ns0:t>
        </ns0:is>
      </ns0:c>
      <ns0:c r="D239" s="12" t="inlineStr">
        <ns0:is>
          <ns0:t>Dongdo → Seodo</ns0:t>
        </ns0:is>
      </ns0:c>
      <ns0:c r="E239" s="12" t="inlineStr">
        <ns0:is>
          <ns0:t>Seodo → Seodo</ns0:t>
        </ns0:is>
      </ns0:c>
      <ns0:c r="F239" s="12" t="inlineStr"/>
      <ns0:c r="G239" s="12" t="n">
        <ns0:v>1</ns0:v>
      </ns0:c>
      <ns0:c r="H239" s="12" t="inlineStr">
        <ns0:is>
          <ns0:t>Seodo is higher; the lighthouse is on Dongdo.</ns0:t>
        </ns0:is>
      </ns0:c>
      <ns0:c r="I239" s="12" t="inlineStr">
        <ns0:is>
          <ns0:t>Dokdo is a volcanic island group of Dongdo, Seodo and associated islets, with both natural and historical significance.</ns0:t>
        </ns0:is>
      </ns0:c>
      <ns0:c r="J239" s="12" t="inlineStr"/>
      <ns0:c r="K239" s="12" t="inlineStr">
        <ns0:is>
          <ns0:t>대한민국 외교부 · 독도의 구성 및 위치
https://dokdo.mofa.go.kr/kor/introduce/location.jsp
대한민국 한국해양과학기술원 · 독도 지형 및 지질
https://www.dokdo.re.kr/home/cms/cmsCont.do?cntnts_sn=66
대한민국 외교부 · 독도 주요시설물
https://dokdo.mofa.go.kr/kor/introduce/facility.jsp
대한민국 외교부 자료실 · 대한제국 칙령 제41호
https://dokdo.mofa.go.kr/kor/pds/part02_view02.jsp</ns0:t>
        </ns0:is>
      </ns0:c>
    </ns0:row>
    <ns0:row r="240" ht="160" customHeight="1">
      <ns0:c r="A240" s="10" t="n">
        <ns0:v>920239</ns0:v>
      </ns0:c>
      <ns0:c r="B240" s="10" t="inlineStr">
        <ns0:is>
          <ns0:t>Which pairing correctly combines the supplied Dokdo measurements and facilities?</ns0:t>
        </ns0:is>
      </ns0:c>
      <ns0:c r="C240" s="10" t="inlineStr">
        <ns0:is>
          <ns0:t>Seodo 98.6 m and lighthouse / Dongdo 168.5 m and accommodation</ns0:t>
        </ns0:is>
      </ns0:c>
      <ns0:c r="D240" s="10" t="inlineStr">
        <ns0:is>
          <ns0:t>Seodo 168.5 m and accommodation / Dongdo 98.6 m and lighthouse</ns0:t>
        </ns0:is>
      </ns0:c>
      <ns0:c r="E240" s="10" t="inlineStr">
        <ns0:is>
          <ns0:t>Seodo 168.5 m and lighthouse / Dongdo 98.6 m and accommodation</ns0:t>
        </ns0:is>
      </ns0:c>
      <ns0:c r="F240" s="10" t="inlineStr"/>
      <ns0:c r="G240" s="10" t="n">
        <ns0:v>2</ns0:v>
      </ns0:c>
      <ns0:c r="H240" s="10" t="inlineStr">
        <ns0:is>
          <ns0:t>Both elevation and facility match each island’s card.</ns0:t>
        </ns0:is>
      </ns0:c>
      <ns0:c r="I240" s="10" t="inlineStr">
        <ns0:is>
          <ns0:t>Dokdo is a volcanic island group of Dongdo, Seodo and associated islets, with both natural and historical significance.</ns0:t>
        </ns0:is>
      </ns0:c>
      <ns0:c r="J240" s="10" t="inlineStr">
        <ns0:is>
          <ns0:t>Information cards:
Seodo — maximum elevation 168.5 m, residents’ accommodation.
Dongdo — maximum elevation 98.6 m, lighthouse and main dock.</ns0:t>
        </ns0:is>
      </ns0:c>
      <ns0:c r="K240" s="10" t="inlineStr">
        <ns0:is>
          <ns0:t>대한민국 외교부 · 독도의 구성 및 위치
https://dokdo.mofa.go.kr/kor/introduce/location.jsp
대한민국 한국해양과학기술원 · 독도 지형 및 지질
https://www.dokdo.re.kr/home/cms/cmsCont.do?cntnts_sn=66
대한민국 외교부 · 독도 주요시설물
https://dokdo.mofa.go.kr/kor/introduce/facility.jsp
대한민국 외교부 자료실 · 대한제국 칙령 제41호
https://dokdo.mofa.go.kr/kor/pds/part02_view02.jsp</ns0:t>
        </ns0:is>
      </ns0:c>
    </ns0:row>
    <ns0:row r="241" ht="160" customHeight="1">
      <ns0:c r="A241" s="12" t="n">
        <ns0:v>920240</ns0:v>
      </ns0:c>
      <ns0:c r="B241" s="12" t="inlineStr">
        <ns0:is>
          <ns0:t>Which statement is factually suitable for an introduction to Dokdo?</ns0:t>
        </ns0:is>
      </ns0:c>
      <ns0:c r="C241" s="12" t="inlineStr">
        <ns0:is>
          <ns0:t>It is only Dongdo and formed from river-mouth sand</ns0:t>
        </ns0:is>
      </ns0:c>
      <ns0:c r="D241" s="12" t="inlineStr">
        <ns0:is>
          <ns0:t>It has two main islands, both formed entirely by coral growth</ns0:t>
        </ns0:is>
      </ns0:c>
      <ns0:c r="E241" s="12" t="inlineStr">
        <ns0:is>
          <ns0:t>It has two main islands and associated islets and formed through submarine volcanism</ns0:t>
        </ns0:is>
      </ns0:c>
      <ns0:c r="F241" s="12" t="inlineStr"/>
      <ns0:c r="G241" s="12" t="n">
        <ns0:v>3</ns0:v>
      </ns0:c>
      <ns0:c r="H241" s="12" t="inlineStr">
        <ns0:is>
          <ns0:t>Both the composition and origin match the sources.</ns0:t>
        </ns0:is>
      </ns0:c>
      <ns0:c r="I241" s="12" t="inlineStr">
        <ns0:is>
          <ns0:t>Dokdo is a volcanic island group of Dongdo, Seodo and associated islets, with both natural and historical significance.</ns0:t>
        </ns0:is>
      </ns0:c>
      <ns0:c r="J241" s="12" t="inlineStr">
        <ns0:is>
          <ns0:t>Basic information: Dokdo consists of Dongdo, Seodo and small surrounding rocky islets. Submarine volcanism built a structure partly exposed above the sea.</ns0:t>
        </ns0:is>
      </ns0:c>
      <ns0:c r="K241" s="12" t="inlineStr">
        <ns0:is>
          <ns0:t>대한민국 외교부 · 독도의 구성 및 위치
https://dokdo.mofa.go.kr/kor/introduce/location.jsp
대한민국 한국해양과학기술원 · 독도 지형 및 지질
https://www.dokdo.re.kr/home/cms/cmsCont.do?cntnts_sn=66
대한민국 외교부 · 독도 주요시설물
https://dokdo.mofa.go.kr/kor/introduce/facility.jsp
대한민국 외교부 자료실 · 대한제국 칙령 제41호
https://dokdo.mofa.go.kr/kor/pds/part02_view02.jsp</ns0:t>
        </ns0:is>
      </ns0:c>
    </ns0:row>
  </ns0:sheetData>
  <ns0:autoFilter ref="A1:K241"/>
  <ns0:pageMargins left="0.75" right="0.75" top="1" bottom="1" header="0.5" footer="0.5"/>
  <ns0:pageSetup orientation="landscape" paperSize="8" fitToHeight="0" fitToWidth="1"/>
</ns0:worksheet>
</file>

<file path=xl/worksheets/sheet6.xml><?xml version="1.0" encoding="utf-8"?>
<ns0:worksheet xmlns:ns0="http://schemas.openxmlformats.org/spreadsheetml/2006/main">
  <ns0:sheetPr>
    <ns0:outlinePr summaryBelow="1" summaryRight="1"/>
    <ns0:pageSetUpPr fitToPage="1"/>
  </ns0:sheetPr>
  <ns0:dimension ref="A1:E241"/>
  <ns0:sheetViews>
    <ns0:sheetView showGridLines="0" workbookViewId="0">
      <ns0:pane xSplit="2" ySplit="1" topLeftCell="C2" activePane="bottomRight" state="frozen"/>
      <ns0:selection pane="topRight"/>
      <ns0:selection pane="bottomLeft"/>
      <ns0:selection pane="bottomRight" activeCell="A1" sqref="A1"/>
    </ns0:sheetView>
  </ns0:sheetViews>
  <ns0:sheetFormatPr baseColWidth="8" defaultRowHeight="15"/>
  <ns0:cols>
    <ns0:col width="12" customWidth="1" min="1" max="1"/>
    <ns0:col width="12" customWidth="1" min="2" max="2"/>
    <ns0:col width="70" customWidth="1" min="3" max="3"/>
    <ns0:col width="70" customWidth="1" min="4" max="4"/>
    <ns0:col width="76" customWidth="1" min="5" max="5"/>
  </ns0:cols>
  <ns0:sheetData>
    <ns0:row r="1" ht="34" customHeight="1">
      <ns0:c r="A1" s="9" t="inlineStr">
        <ns0:is>
          <ns0:t>old ID</ns0:t>
        </ns0:is>
      </ns0:c>
      <ns0:c r="B1" s="9" t="inlineStr">
        <ns0:is>
          <ns0:t>new ID</ns0:t>
        </ns0:is>
      </ns0:c>
      <ns0:c r="C1" s="9" t="inlineStr">
        <ns0:is>
          <ns0:t>이전 질문</ns0:t>
        </ns0:is>
      </ns0:c>
      <ns0:c r="D1" s="9" t="inlineStr">
        <ns0:is>
          <ns0:t>수정 질문</ns0:t>
        </ns0:is>
      </ns0:c>
      <ns0:c r="E1" s="9" t="inlineStr">
        <ns0:is>
          <ns0:t>기록 정책</ns0:t>
        </ns0:is>
      </ns0:c>
    </ns0:row>
    <ns0:row r="2" ht="38" customHeight="1">
      <ns0:c r="A2" s="10" t="n">
        <ns0:v>910001</ns0:v>
      </ns0:c>
      <ns0:c r="B2" s="10" t="n">
        <ns0:v>920001</ns0:v>
      </ns0:c>
      <ns0:c r="C2" s="10" t="inlineStr">
        <ns0:is>
          <ns0:t>독도의 두 큰 섬은?</ns0:t>
        </ns0:is>
      </ns0:c>
      <ns0:c r="D2" s="10" t="inlineStr">
        <ns0:is>
          <ns0:t>독도를 이루는 두 큰 섬의 이름은 무엇인가요?</ns0:t>
        </ns0:is>
      </ns0:c>
      <ns0:c r="E2" s="10" t="inlineStr">
        <ns0:is>
          <ns0:t>이전 ID는 회수하고 학습 기록·불빛은 보존. 새 문제의 정답·숙달로 자동 치환하지 않음.</ns0:t>
        </ns0:is>
      </ns0:c>
    </ns0:row>
    <ns0:row r="3" ht="38" customHeight="1">
      <ns0:c r="A3" s="12" t="n">
        <ns0:v>910002</ns0:v>
      </ns0:c>
      <ns0:c r="B3" s="12" t="n">
        <ns0:v>920002</ns0:v>
      </ns0:c>
      <ns0:c r="C3" s="12" t="inlineStr">
        <ns0:is>
          <ns0:t>동도·서도만 그리면 빠지는 것은?</ns0:t>
        </ns0:is>
      </ns0:c>
      <ns0:c r="D3" s="12" t="inlineStr">
        <ns0:is>
          <ns0:t>독도의 두 큰 섬 주위에는 어떤 땅이 더 있나요?</ns0:t>
        </ns0:is>
      </ns0:c>
      <ns0:c r="E3" s="12" t="inlineStr">
        <ns0:is>
          <ns0:t>이전 ID는 회수하고 학습 기록·불빛은 보존. 새 문제의 정답·숙달로 자동 치환하지 않음.</ns0:t>
        </ns0:is>
      </ns0:c>
    </ns0:row>
    <ns0:row r="4" ht="38" customHeight="1">
      <ns0:c r="A4" s="10" t="n">
        <ns0:v>910003</ns0:v>
      </ns0:c>
      <ns0:c r="B4" s="10" t="n">
        <ns0:v>920003</ns0:v>
      </ns0:c>
      <ns0:c r="C4" s="10" t="inlineStr">
        <ns0:is>
          <ns0:t>자료의 89개는 무엇을 센 수일까요?</ns0:t>
        </ns0:is>
      </ns0:c>
      <ns0:c r="D4" s="10" t="inlineStr">
        <ns0:is>
          <ns0:t>독도 안내판에 두 큰 섬만 그렸다면 어떤 땅을 추가해야 하나요?</ns0:t>
        </ns0:is>
      </ns0:c>
      <ns0:c r="E4" s="10" t="inlineStr">
        <ns0:is>
          <ns0:t>이전 ID는 회수하고 학습 기록·불빛은 보존. 새 문제의 정답·숙달로 자동 치환하지 않음.</ns0:t>
        </ns0:is>
      </ns0:c>
    </ns0:row>
    <ns0:row r="5" ht="38" customHeight="1">
      <ns0:c r="A5" s="12" t="n">
        <ns0:v>910004</ns0:v>
      </ns0:c>
      <ns0:c r="B5" s="12" t="n">
        <ns0:v>920004</ns0:v>
      </ns0:c>
      <ns0:c r="C5" s="12" t="inlineStr">
        <ns0:is>
          <ns0:t>독도를 ‘섬 두 개뿐’이라 소개한 글의 수정은?</ns0:t>
        </ns0:is>
      </ns0:c>
      <ns0:c r="D5" s="12" t="inlineStr">
        <ns0:is>
          <ns0:t>독도를 ‘동도 한 섬의 이름’이라고 쓴 문장을 어떻게 고쳐야 하나요?</ns0:t>
        </ns0:is>
      </ns0:c>
      <ns0:c r="E5" s="12" t="inlineStr">
        <ns0:is>
          <ns0:t>이전 ID는 회수하고 학습 기록·불빛은 보존. 새 문제의 정답·숙달로 자동 치환하지 않음.</ns0:t>
        </ns0:is>
      </ns0:c>
    </ns0:row>
    <ns0:row r="6" ht="38" customHeight="1">
      <ns0:c r="A6" s="10" t="n">
        <ns0:v>910005</ns0:v>
      </ns0:c>
      <ns0:c r="B6" s="10" t="n">
        <ns0:v>920005</ns0:v>
      </ns0:c>
      <ns0:c r="C6" s="10" t="inlineStr">
        <ns0:is>
          <ns0:t>울릉도에서 독도는 어느 방향일까요?</ns0:t>
        </ns0:is>
      </ns0:c>
      <ns0:c r="D6" s="10" t="inlineStr">
        <ns0:is>
          <ns0:t>독도는 울릉도에서 어느 방향에 있나요?</ns0:t>
        </ns0:is>
      </ns0:c>
      <ns0:c r="E6" s="10" t="inlineStr">
        <ns0:is>
          <ns0:t>이전 ID는 회수하고 학습 기록·불빛은 보존. 새 문제의 정답·숙달로 자동 치환하지 않음.</ns0:t>
        </ns0:is>
      </ns0:c>
    </ns0:row>
    <ns0:row r="7" ht="38" customHeight="1">
      <ns0:c r="A7" s="12" t="n">
        <ns0:v>910006</ns0:v>
      </ns0:c>
      <ns0:c r="B7" s="12" t="n">
        <ns0:v>920006</ns0:v>
      </ns0:c>
      <ns0:c r="C7" s="12" t="inlineStr">
        <ns0:is>
          <ns0:t>울릉도와 독도의 관계는?</ns0:t>
        </ns0:is>
      </ns0:c>
      <ns0:c r="D7" s="12" t="inlineStr">
        <ns0:is>
          <ns0:t>울릉도와 독도 사이의 거리는 약 얼마인가요?</ns0:t>
        </ns0:is>
      </ns0:c>
      <ns0:c r="E7" s="12" t="inlineStr">
        <ns0:is>
          <ns0:t>이전 ID는 회수하고 학습 기록·불빛은 보존. 새 문제의 정답·숙달로 자동 치환하지 않음.</ns0:t>
        </ns0:is>
      </ns0:c>
    </ns0:row>
    <ns0:row r="8" ht="38" customHeight="1">
      <ns0:c r="A8" s="10" t="n">
        <ns0:v>910007</ns0:v>
      </ns0:c>
      <ns0:c r="B8" s="10" t="n">
        <ns0:v>920007</ns0:v>
      </ns0:c>
      <ns0:c r="C8" s="10" t="inlineStr">
        <ns0:is>
          <ns0:t>주어진 거리에서 독도에 더 가까운 곳은?</ns0:t>
        </ns0:is>
      </ns0:c>
      <ns0:c r="D8" s="10" t="inlineStr">
        <ns0:is>
          <ns0:t>거리표에서 독도에 더 가까운 곳은 어디인가요?</ns0:t>
        </ns0:is>
      </ns0:c>
      <ns0:c r="E8" s="10" t="inlineStr">
        <ns0:is>
          <ns0:t>이전 ID는 회수하고 학습 기록·불빛은 보존. 새 문제의 정답·숙달로 자동 치환하지 않음.</ns0:t>
        </ns0:is>
      </ns0:c>
    </ns0:row>
    <ns0:row r="9" ht="38" customHeight="1">
      <ns0:c r="A9" s="12" t="n">
        <ns0:v>910008</ns0:v>
      </ns0:c>
      <ns0:c r="B9" s="12" t="n">
        <ns0:v>920008</ns0:v>
      </ns0:c>
      <ns0:c r="C9" s="12" t="inlineStr">
        <ns0:is>
          <ns0:t>이 거리 표만으로 뒷받침되는 말은?</ns0:t>
        </ns0:is>
      </ns0:c>
      <ns0:c r="D9" s="12" t="inlineStr">
        <ns0:is>
          <ns0:t>독도에서 울릉도까지는 오키섬까지보다 몇 km 더 가까운가요?</ns0:t>
        </ns0:is>
      </ns0:c>
      <ns0:c r="E9" s="12" t="inlineStr">
        <ns0:is>
          <ns0:t>이전 ID는 회수하고 학습 기록·불빛은 보존. 새 문제의 정답·숙달로 자동 치환하지 않음.</ns0:t>
        </ns0:is>
      </ns0:c>
    </ns0:row>
    <ns0:row r="10" ht="38" customHeight="1">
      <ns0:c r="A10" s="10" t="n">
        <ns0:v>910009</ns0:v>
      </ns0:c>
      <ns0:c r="B10" s="10" t="n">
        <ns0:v>920009</ns0:v>
      </ns0:c>
      <ns0:c r="C10" s="10" t="inlineStr">
        <ns0:is>
          <ns0:t>독도의 동쪽 큰 섬 이름은?</ns0:t>
        </ns0:is>
      </ns0:c>
      <ns0:c r="D10" s="10" t="inlineStr">
        <ns0:is>
          <ns0:t>독도의 동쪽에 있는 큰 섬은 무엇인가요?</ns0:t>
        </ns0:is>
      </ns0:c>
      <ns0:c r="E10" s="10" t="inlineStr">
        <ns0:is>
          <ns0:t>이전 ID는 회수하고 학습 기록·불빛은 보존. 새 문제의 정답·숙달로 자동 치환하지 않음.</ns0:t>
        </ns0:is>
      </ns0:c>
    </ns0:row>
    <ns0:row r="11" ht="38" customHeight="1">
      <ns0:c r="A11" s="12" t="n">
        <ns0:v>910010</ns0:v>
      </ns0:c>
      <ns0:c r="B11" s="12" t="n">
        <ns0:v>920010</ns0:v>
      </ns0:c>
      <ns0:c r="C11" s="12" t="inlineStr">
        <ns0:is>
          <ns0:t>서도 이름의 ‘서’와 연결되는 방향은?</ns0:t>
        </ns0:is>
      </ns0:c>
      <ns0:c r="D11" s="12" t="inlineStr">
        <ns0:is>
          <ns0:t>독도의 서쪽 큰 섬을 지도에 표시하려면 어떤 이름을 쓰나요?</ns0:t>
        </ns0:is>
      </ns0:c>
      <ns0:c r="E11" s="12" t="inlineStr">
        <ns0:is>
          <ns0:t>이전 ID는 회수하고 학습 기록·불빛은 보존. 새 문제의 정답·숙달로 자동 치환하지 않음.</ns0:t>
        </ns0:is>
      </ns0:c>
    </ns0:row>
    <ns0:row r="12" ht="38" customHeight="1">
      <ns0:c r="A12" s="10" t="n">
        <ns0:v>910011</ns0:v>
      </ns0:c>
      <ns0:c r="B12" s="10" t="n">
        <ns0:v>920011</ns0:v>
      </ns0:c>
      <ns0:c r="C12" s="10" t="inlineStr">
        <ns0:is>
          <ns0:t>주어진 방향도에서 동도는 서도의 어느 쪽인가요?</ns0:t>
        </ns0:is>
      </ns0:c>
      <ns0:c r="D12" s="10" t="inlineStr">
        <ns0:is>
          <ns0:t>위치표에서 A에 넣을 섬 이름은 무엇인가요?</ns0:t>
        </ns0:is>
      </ns0:c>
      <ns0:c r="E12" s="10" t="inlineStr">
        <ns0:is>
          <ns0:t>이전 ID는 회수하고 학습 기록·불빛은 보존. 새 문제의 정답·숙달로 자동 치환하지 않음.</ns0:t>
        </ns0:is>
      </ns0:c>
    </ns0:row>
    <ns0:row r="13" ht="38" customHeight="1">
      <ns0:c r="A13" s="12" t="n">
        <ns0:v>910012</ns0:v>
      </ns0:c>
      <ns0:c r="B13" s="12" t="n">
        <ns0:v>920012</ns0:v>
      </ns0:c>
      <ns0:c r="C13" s="12" t="inlineStr">
        <ns0:is>
          <ns0:t>지도를 돌려 동도가 왼쪽에 보이면?</ns0:t>
        </ns0:is>
      </ns0:c>
      <ns0:c r="D13" s="12" t="inlineStr">
        <ns0:is>
          <ns0:t>동쪽 화살표가 왼쪽을 가리키는 위치표에서 동도는 어느 쪽에 놓이나요?</ns0:t>
        </ns0:is>
      </ns0:c>
      <ns0:c r="E13" s="12" t="inlineStr">
        <ns0:is>
          <ns0:t>이전 ID는 회수하고 학습 기록·불빛은 보존. 새 문제의 정답·숙달로 자동 치환하지 않음.</ns0:t>
        </ns0:is>
      </ns0:c>
    </ns0:row>
    <ns0:row r="14" ht="38" customHeight="1">
      <ns0:c r="A14" s="10" t="n">
        <ns0:v>910013</ns0:v>
      </ns0:c>
      <ns0:c r="B14" s="10" t="n">
        <ns0:v>920013</ns0:v>
      </ns0:c>
      <ns0:c r="C14" s="10" t="inlineStr">
        <ns0:is>
          <ns0:t>울릉도에서 독도를 보기 좋은 날씨는?</ns0:t>
        </ns0:is>
      </ns0:c>
      <ns0:c r="D14" s="10" t="inlineStr">
        <ns0:is>
          <ns0:t>울릉도에서 독도를 보기 좋은 날씨는 무엇인가요?</ns0:t>
        </ns0:is>
      </ns0:c>
      <ns0:c r="E14" s="10" t="inlineStr">
        <ns0:is>
          <ns0:t>이전 ID는 회수하고 학습 기록·불빛은 보존. 새 문제의 정답·숙달로 자동 치환하지 않음.</ns0:t>
        </ns0:is>
      </ns0:c>
    </ns0:row>
    <ns0:row r="15" ht="38" customHeight="1">
      <ns0:c r="A15" s="12" t="n">
        <ns0:v>910014</ns0:v>
      </ns0:c>
      <ns0:c r="B15" s="12" t="n">
        <ns0:v>920014</ns0:v>
      </ns0:c>
      <ns0:c r="C15" s="12" t="inlineStr">
        <ns0:is>
          <ns0:t>오늘 독도가 안 보이면 먼저 살필 것은?</ns0:t>
        </ns0:is>
      </ns0:c>
      <ns0:c r="D15" s="12" t="inlineStr">
        <ns0:is>
          <ns0:t>울릉도에서 먼 독도를 보려면 어떤 대기 조건이 필요한가요?</ns0:t>
        </ns0:is>
      </ns0:c>
      <ns0:c r="E15" s="12" t="inlineStr">
        <ns0:is>
          <ns0:t>이전 ID는 회수하고 학습 기록·불빛은 보존. 새 문제의 정답·숙달로 자동 치환하지 않음.</ns0:t>
        </ns0:is>
      </ns0:c>
    </ns0:row>
    <ns0:row r="16" ht="38" customHeight="1">
      <ns0:c r="A16" s="10" t="n">
        <ns0:v>910015</ns0:v>
      </ns0:c>
      <ns0:c r="B16" s="10" t="n">
        <ns0:v>920015</ns0:v>
      </ns0:c>
      <ns0:c r="C16" s="10" t="inlineStr">
        <ns0:is>
          <ns0:t>옛 기록이 가시성에 붙인 조건은?</ns0:t>
        </ns0:is>
      </ns0:c>
      <ns0:c r="D16" s="10" t="inlineStr">
        <ns0:is>
          <ns0:t>세종실록 지리지는 두 섬이 보이는 날씨를 어떻게 설명하나요?</ns0:t>
        </ns0:is>
      </ns0:c>
      <ns0:c r="E16" s="10" t="inlineStr">
        <ns0:is>
          <ns0:t>이전 ID는 회수하고 학습 기록·불빛은 보존. 새 문제의 정답·숙달로 자동 치환하지 않음.</ns0:t>
        </ns0:is>
      </ns0:c>
    </ns0:row>
    <ns0:row r="17" ht="38" customHeight="1">
      <ns0:c r="A17" s="12" t="n">
        <ns0:v>910016</ns0:v>
      </ns0:c>
      <ns0:c r="B17" s="12" t="n">
        <ns0:v>920016</ns0:v>
      </ns0:c>
      <ns0:c r="C17" s="12" t="inlineStr">
        <ns0:is>
          <ns0:t>‘울릉도에서 독도는 항상 보인다’는 요약은?</ns0:t>
        </ns0:is>
      </ns0:c>
      <ns0:c r="D17" s="12" t="inlineStr">
        <ns0:is>
          <ns0:t>두 관찰일 중 울릉도에서 독도를 보기 더 좋은 날은 언제인가요?</ns0:t>
        </ns0:is>
      </ns0:c>
      <ns0:c r="E17" s="12" t="inlineStr">
        <ns0:is>
          <ns0:t>이전 ID는 회수하고 학습 기록·불빛은 보존. 새 문제의 정답·숙달로 자동 치환하지 않음.</ns0:t>
        </ns0:is>
      </ns0:c>
    </ns0:row>
    <ns0:row r="18" ht="38" customHeight="1">
      <ns0:c r="A18" s="10" t="n">
        <ns0:v>910017</ns0:v>
      </ns0:c>
      <ns0:c r="B18" s="10" t="n">
        <ns0:v>920017</ns0:v>
      </ns0:c>
      <ns0:c r="C18" s="10" t="inlineStr">
        <ns0:is>
          <ns0:t>작은 바위섬도 독도의 일부일까요?</ns0:t>
        </ns0:is>
      </ns0:c>
      <ns0:c r="D18" s="10" t="inlineStr">
        <ns0:is>
          <ns0:t>독도의 부속 도서 89개를 셀 때 따로 구분하는 두 큰 섬은 무엇인가요?</ns0:t>
        </ns0:is>
      </ns0:c>
      <ns0:c r="E18" s="10" t="inlineStr">
        <ns0:is>
          <ns0:t>이전 ID는 회수하고 학습 기록·불빛은 보존. 새 문제의 정답·숙달로 자동 치환하지 않음.</ns0:t>
        </ns0:is>
      </ns0:c>
    </ns0:row>
    <ns0:row r="19" ht="38" customHeight="1">
      <ns0:c r="A19" s="12" t="n">
        <ns0:v>910018</ns0:v>
      </ns0:c>
      <ns0:c r="B19" s="12" t="n">
        <ns0:v>920018</ns0:v>
      </ns0:c>
      <ns0:c r="C19" s="12" t="inlineStr">
        <ns0:is>
          <ns0:t>독도 전체 넓이를 구할 때 더할 것은?</ns0:t>
        </ns0:is>
      </ns0:c>
      <ns0:c r="D19" s="12" t="inlineStr">
        <ns0:is>
          <ns0:t>동도·서도와 부속 도서 89개를 합하면 몇 개인가요?</ns0:t>
        </ns0:is>
      </ns0:c>
      <ns0:c r="E19" s="12" t="inlineStr">
        <ns0:is>
          <ns0:t>이전 ID는 회수하고 학습 기록·불빛은 보존. 새 문제의 정답·숙달로 자동 치환하지 않음.</ns0:t>
        </ns0:is>
      </ns0:c>
    </ns0:row>
    <ns0:row r="20" ht="38" customHeight="1">
      <ns0:c r="A20" s="10" t="n">
        <ns0:v>910019</ns0:v>
      </ns0:c>
      <ns0:c r="B20" s="10" t="n">
        <ns0:v>920019</ns0:v>
      </ns0:c>
      <ns0:c r="C20" s="10" t="inlineStr">
        <ns0:is>
          <ns0:t>두 큰 섬의 면적 합이 전체보다 작은 까닭은?</ns0:t>
        </ns0:is>
      </ns0:c>
      <ns0:c r="D20" s="10" t="inlineStr">
        <ns0:is>
          <ns0:t>면적표에서 부속 도서 전체의 넓이는 얼마인가요?</ns0:t>
        </ns0:is>
      </ns0:c>
      <ns0:c r="E20" s="10" t="inlineStr">
        <ns0:is>
          <ns0:t>이전 ID는 회수하고 학습 기록·불빛은 보존. 새 문제의 정답·숙달로 자동 치환하지 않음.</ns0:t>
        </ns0:is>
      </ns0:c>
    </ns0:row>
    <ns0:row r="21" ht="38" customHeight="1">
      <ns0:c r="A21" s="12" t="n">
        <ns0:v>910020</ns0:v>
      </ns0:c>
      <ns0:c r="B21" s="12" t="n">
        <ns0:v>920020</ns0:v>
      </ns0:c>
      <ns0:c r="C21" s="12" t="inlineStr">
        <ns0:is>
          <ns0:t>사진 한 장에 보이는 바위 수를 전체 수라 한다면?</ns0:t>
        </ns0:is>
      </ns0:c>
      <ns0:c r="D21" s="12" t="inlineStr">
        <ns0:is>
          <ns0:t>독도 전체 면적을 동도와 서도 면적만 더해 계산하면 무엇이 빠지나요?</ns0:t>
        </ns0:is>
      </ns0:c>
      <ns0:c r="E21" s="12" t="inlineStr">
        <ns0:is>
          <ns0:t>이전 ID는 회수하고 학습 기록·불빛은 보존. 새 문제의 정답·숙달로 자동 치환하지 않음.</ns0:t>
        </ns0:is>
      </ns0:c>
    </ns0:row>
    <ns0:row r="22" ht="38" customHeight="1">
      <ns0:c r="A22" s="10" t="n">
        <ns0:v>910021</ns0:v>
      </ns0:c>
      <ns0:c r="B22" s="10" t="n">
        <ns0:v>920021</ns0:v>
      </ns0:c>
      <ns0:c r="C22" s="10" t="inlineStr">
        <ns0:is>
          <ns0:t>두 큰 섬 중 더 높은 섬은?</ns0:t>
        </ns0:is>
      </ns0:c>
      <ns0:c r="D22" s="10" t="inlineStr">
        <ns0:is>
          <ns0:t>독도의 두 큰 섬 중 더 높은 섬은 무엇인가요?</ns0:t>
        </ns0:is>
      </ns0:c>
      <ns0:c r="E22" s="10" t="inlineStr">
        <ns0:is>
          <ns0:t>이전 ID는 회수하고 학습 기록·불빛은 보존. 새 문제의 정답·숙달로 자동 치환하지 않음.</ns0:t>
        </ns0:is>
      </ns0:c>
    </ns0:row>
    <ns0:row r="23" ht="38" customHeight="1">
      <ns0:c r="A23" s="12" t="n">
        <ns0:v>910022</ns0:v>
      </ns0:c>
      <ns0:c r="B23" s="12" t="n">
        <ns0:v>920022</ns0:v>
      </ns0:c>
      <ns0:c r="C23" s="12" t="inlineStr">
        <ns0:is>
          <ns0:t>높이를 바르게 연결한 것은?</ns0:t>
        </ns0:is>
      </ns0:c>
      <ns0:c r="D23" s="12" t="inlineStr">
        <ns0:is>
          <ns0:t>독도에서 최고 높이가 98.6m인 큰 섬은 무엇인가요?</ns0:t>
        </ns0:is>
      </ns0:c>
      <ns0:c r="E23" s="12" t="inlineStr">
        <ns0:is>
          <ns0:t>이전 ID는 회수하고 학습 기록·불빛은 보존. 새 문제의 정답·숙달로 자동 치환하지 않음.</ns0:t>
        </ns0:is>
      </ns0:c>
    </ns0:row>
    <ns0:row r="24" ht="38" customHeight="1">
      <ns0:c r="A24" s="10" t="n">
        <ns0:v>910023</ns0:v>
      </ns0:c>
      <ns0:c r="B24" s="10" t="n">
        <ns0:v>920023</ns0:v>
      </ns0:c>
      <ns0:c r="C24" s="10" t="inlineStr">
        <ns0:is>
          <ns0:t>자료에서 최고 높이의 차이는?</ns0:t>
        </ns0:is>
      </ns0:c>
      <ns0:c r="D24" s="10" t="inlineStr">
        <ns0:is>
          <ns0:t>높이표에 따르면 서도는 동도보다 몇 m 더 높은가요?</ns0:t>
        </ns0:is>
      </ns0:c>
      <ns0:c r="E24" s="10" t="inlineStr">
        <ns0:is>
          <ns0:t>이전 ID는 회수하고 학습 기록·불빛은 보존. 새 문제의 정답·숙달로 자동 치환하지 않음.</ns0:t>
        </ns0:is>
      </ns0:c>
    </ns0:row>
    <ns0:row r="25" ht="38" customHeight="1">
      <ns0:c r="A25" s="12" t="n">
        <ns0:v>910024</ns0:v>
      </ns0:c>
      <ns0:c r="B25" s="12" t="n">
        <ns0:v>920024</ns0:v>
      </ns0:c>
      <ns0:c r="C25" s="12" t="inlineStr">
        <ns0:is>
          <ns0:t>사진 속 동도가 더 커 보일 때 옳은 판단은?</ns0:t>
        </ns0:is>
      </ns0:c>
      <ns0:c r="D25" s="12" t="inlineStr">
        <ns0:is>
          <ns0:t>표의 높이를 기준으로 100m보다 높은 곳이 있는 섬은 어디인가요?</ns0:t>
        </ns0:is>
      </ns0:c>
      <ns0:c r="E25" s="12" t="inlineStr">
        <ns0:is>
          <ns0:t>이전 ID는 회수하고 학습 기록·불빛은 보존. 새 문제의 정답·숙달로 자동 치환하지 않음.</ns0:t>
        </ns0:is>
      </ns0:c>
    </ns0:row>
    <ns0:row r="26" ht="38" customHeight="1">
      <ns0:c r="A26" s="10" t="n">
        <ns0:v>910025</ns0:v>
      </ns0:c>
      <ns0:c r="B26" s="10" t="n">
        <ns0:v>920025</ns0:v>
      </ns0:c>
      <ns0:c r="C26" s="10" t="inlineStr">
        <ns0:is>
          <ns0:t>땅의 넓이가 더 넓은 큰 섬은?</ns0:t>
        </ns0:is>
      </ns0:c>
      <ns0:c r="D26" s="10" t="inlineStr">
        <ns0:is>
          <ns0:t>독도의 두 큰 섬 중 땅의 넓이가 더 넓은 섬은 무엇인가요?</ns0:t>
        </ns0:is>
      </ns0:c>
      <ns0:c r="E26" s="10" t="inlineStr">
        <ns0:is>
          <ns0:t>이전 ID는 회수하고 학습 기록·불빛은 보존. 새 문제의 정답·숙달로 자동 치환하지 않음.</ns0:t>
        </ns0:is>
      </ns0:c>
    </ns0:row>
    <ns0:row r="27" ht="38" customHeight="1">
      <ns0:c r="A27" s="12" t="n">
        <ns0:v>910026</ns0:v>
      </ns0:c>
      <ns0:c r="B27" s="12" t="n">
        <ns0:v>920026</ns0:v>
      </ns0:c>
      <ns0:c r="C27" s="12" t="inlineStr">
        <ns0:is>
          <ns0:t>‘서도가 더 넓다’는 무엇을 비교한 말인가요?</ns0:t>
        </ns0:is>
      </ns0:c>
      <ns0:c r="D27" s="12" t="inlineStr">
        <ns0:is>
          <ns0:t>독도 면적표의 ㎡는 무엇을 나타내는 단위인가요?</ns0:t>
        </ns0:is>
      </ns0:c>
      <ns0:c r="E27" s="12" t="inlineStr">
        <ns0:is>
          <ns0:t>이전 ID는 회수하고 학습 기록·불빛은 보존. 새 문제의 정답·숙달로 자동 치환하지 않음.</ns0:t>
        </ns0:is>
      </ns0:c>
    </ns0:row>
    <ns0:row r="28" ht="38" customHeight="1">
      <ns0:c r="A28" s="10" t="n">
        <ns0:v>910027</ns0:v>
      </ns0:c>
      <ns0:c r="B28" s="10" t="n">
        <ns0:v>920027</ns0:v>
      </ns0:c>
      <ns0:c r="C28" s="10" t="inlineStr">
        <ns0:is>
          <ns0:t>두 섬의 면적을 비교할 때 사용할 값은?</ns0:t>
        </ns0:is>
      </ns0:c>
      <ns0:c r="D28" s="10" t="inlineStr">
        <ns0:is>
          <ns0:t>표에서 해안선의 둘레가 더 긴 큰 섬은 어디인가요?</ns0:t>
        </ns0:is>
      </ns0:c>
      <ns0:c r="E28" s="10" t="inlineStr">
        <ns0:is>
          <ns0:t>이전 ID는 회수하고 학습 기록·불빛은 보존. 새 문제의 정답·숙달로 자동 치환하지 않음.</ns0:t>
        </ns0:is>
      </ns0:c>
    </ns0:row>
    <ns0:row r="29" ht="38" customHeight="1">
      <ns0:c r="A29" s="12" t="n">
        <ns0:v>910028</ns0:v>
      </ns0:c>
      <ns0:c r="B29" s="12" t="n">
        <ns0:v>920028</ns0:v>
      </ns0:c>
      <ns0:c r="C29" s="12" t="inlineStr">
        <ns0:is>
          <ns0:t>‘서도는 높으니 반드시 넓다’라는 설명은?</ns0:t>
        </ns0:is>
      </ns0:c>
      <ns0:c r="D29" s="12" t="inlineStr">
        <ns0:is>
          <ns0:t>표에 맞게 서도와 동도의 면적·둘레를 함께 비교한 것은 무엇인가요?</ns0:t>
        </ns0:is>
      </ns0:c>
      <ns0:c r="E29" s="12" t="inlineStr">
        <ns0:is>
          <ns0:t>이전 ID는 회수하고 학습 기록·불빛은 보존. 새 문제의 정답·숙달로 자동 치환하지 않음.</ns0:t>
        </ns0:is>
      </ns0:c>
    </ns0:row>
    <ns0:row r="30" ht="38" customHeight="1">
      <ns0:c r="A30" s="10" t="n">
        <ns0:v>910029</ns0:v>
      </ns0:c>
      <ns0:c r="B30" s="10" t="n">
        <ns0:v>920029</ns0:v>
      </ns0:c>
      <ns0:c r="C30" s="10" t="inlineStr">
        <ns0:is>
          <ns0:t>동도와 서도 사이를 채우는 것은?</ns0:t>
        </ns0:is>
      </ns0:c>
      <ns0:c r="D30" s="10" t="inlineStr">
        <ns0:is>
          <ns0:t>동도와 서도는 무엇을 사이에 두고 떨어져 있나요?</ns0:t>
        </ns0:is>
      </ns0:c>
      <ns0:c r="E30" s="10" t="inlineStr">
        <ns0:is>
          <ns0:t>이전 ID는 회수하고 학습 기록·불빛은 보존. 새 문제의 정답·숙달로 자동 치환하지 않음.</ns0:t>
        </ns0:is>
      </ns0:c>
    </ns0:row>
    <ns0:row r="31" ht="38" customHeight="1">
      <ns0:c r="A31" s="12" t="n">
        <ns0:v>910030</ns0:v>
      </ns0:c>
      <ns0:c r="B31" s="12" t="n">
        <ns0:v>920030</ns0:v>
      </ns0:c>
      <ns0:c r="C31" s="12" t="inlineStr">
        <ns0:is>
          <ns0:t>151m와 바르게 연결되는 것은?</ns0:t>
        </ns0:is>
      </ns0:c>
      <ns0:c r="D31" s="12" t="inlineStr">
        <ns0:is>
          <ns0:t>동도와 서도의 가장 가까운 해안 사이 거리는 약 얼마인가요?</ns0:t>
        </ns0:is>
      </ns0:c>
      <ns0:c r="E31" s="12" t="inlineStr">
        <ns0:is>
          <ns0:t>이전 ID는 회수하고 학습 기록·불빛은 보존. 새 문제의 정답·숙달로 자동 치환하지 않음.</ns0:t>
        </ns0:is>
      </ns0:c>
    </ns0:row>
    <ns0:row r="32" ht="38" customHeight="1">
      <ns0:c r="A32" s="10" t="n">
        <ns0:v>910031</ns0:v>
      </ns0:c>
      <ns0:c r="B32" s="10" t="n">
        <ns0:v>920031</ns0:v>
      </ns0:c>
      <ns0:c r="C32" s="10" t="inlineStr">
        <ns0:is>
          <ns0:t>151m 선을 그릴 때 맞는 두 끝점은?</ns0:t>
        </ns0:is>
      </ns0:c>
      <ns0:c r="D32" s="10" t="inlineStr">
        <ns0:is>
          <ns0:t>151m라는 간격을 지도에 표시할 때 양 끝은 어디에 두어야 하나요?</ns0:t>
        </ns0:is>
      </ns0:c>
      <ns0:c r="E32" s="10" t="inlineStr">
        <ns0:is>
          <ns0:t>이전 ID는 회수하고 학습 기록·불빛은 보존. 새 문제의 정답·숙달로 자동 치환하지 않음.</ns0:t>
        </ns0:is>
      </ns0:c>
    </ns0:row>
    <ns0:row r="33" ht="38" customHeight="1">
      <ns0:c r="A33" s="12" t="n">
        <ns0:v>910032</ns0:v>
      </ns0:c>
      <ns0:c r="B33" s="12" t="n">
        <ns0:v>920032</ns0:v>
      </ns0:c>
      <ns0:c r="C33" s="12" t="inlineStr">
        <ns0:is>
          <ns0:t>정상끼리 잇는 선에 151m를 썼다면?</ns0:t>
        </ns0:is>
      </ns0:c>
      <ns0:c r="D33" s="12" t="inlineStr">
        <ns0:is>
          <ns0:t>축척이 1cm당 50m인 지도에서 151m 간격은 약 몇 cm인가요?</ns0:t>
        </ns0:is>
      </ns0:c>
      <ns0:c r="E33" s="12" t="inlineStr">
        <ns0:is>
          <ns0:t>이전 ID는 회수하고 학습 기록·불빛은 보존. 새 문제의 정답·숙달로 자동 치환하지 않음.</ns0:t>
        </ns0:is>
      </ns0:c>
    </ns0:row>
    <ns0:row r="34" ht="38" customHeight="1">
      <ns0:c r="A34" s="10" t="n">
        <ns0:v>910033</ns0:v>
      </ns0:c>
      <ns0:c r="B34" s="10" t="n">
        <ns0:v>920033</ns0:v>
      </ns0:c>
      <ns0:c r="C34" s="10" t="inlineStr">
        <ns0:is>
          <ns0:t>가파르게 솟은 모습이 두드러지는 섬은?</ns0:t>
        </ns0:is>
      </ns0:c>
      <ns0:c r="D34" s="10" t="inlineStr">
        <ns0:is>
          <ns0:t>독도에서 가파른 봉우리가 두드러지는 큰 섬은 무엇인가요?</ns0:t>
        </ns0:is>
      </ns0:c>
      <ns0:c r="E34" s="10" t="inlineStr">
        <ns0:is>
          <ns0:t>이전 ID는 회수하고 학습 기록·불빛은 보존. 새 문제의 정답·숙달로 자동 치환하지 않음.</ns0:t>
        </ns0:is>
      </ns0:c>
    </ns0:row>
    <ns0:row r="35" ht="38" customHeight="1">
      <ns0:c r="A35" s="12" t="n">
        <ns0:v>910034</ns0:v>
      </ns0:c>
      <ns0:c r="B35" s="12" t="n">
        <ns0:v>920034</ns0:v>
      </ns0:c>
      <ns0:c r="C35" s="12" t="inlineStr">
        <ns0:is>
          <ns0:t>동도 정상 부근과 연결되는 모습은?</ns0:t>
        </ns0:is>
      </ns0:c>
      <ns0:c r="D35" s="12" t="inlineStr">
        <ns0:is>
          <ns0:t>독도의 헬기장 등 시설이 자리한 비교적 평탄한 상부는 어느 섬에 있나요?</ns0:t>
        </ns0:is>
      </ns0:c>
      <ns0:c r="E35" s="12" t="inlineStr">
        <ns0:is>
          <ns0:t>이전 ID는 회수하고 학습 기록·불빛은 보존. 새 문제의 정답·숙달로 자동 치환하지 않음.</ns0:t>
        </ns0:is>
      </ns0:c>
    </ns0:row>
    <ns0:row r="36" ht="38" customHeight="1">
      <ns0:c r="A36" s="10" t="n">
        <ns0:v>910035</ns0:v>
      </ns0:c>
      <ns0:c r="B36" s="10" t="n">
        <ns0:v>920035</ns0:v>
      </ns0:c>
      <ns0:c r="C36" s="10" t="inlineStr">
        <ns0:is>
          <ns0:t>자료에 맞는 두 섬의 비교는?</ns0:t>
        </ns0:is>
      </ns0:c>
      <ns0:c r="D36" s="10" t="inlineStr">
        <ns0:is>
          <ns0:t>지형 설명 A는 동도와 서도 중 어느 섬인가요?</ns0:t>
        </ns0:is>
      </ns0:c>
      <ns0:c r="E36" s="10" t="inlineStr">
        <ns0:is>
          <ns0:t>이전 ID는 회수하고 학습 기록·불빛은 보존. 새 문제의 정답·숙달로 자동 치환하지 않음.</ns0:t>
        </ns0:is>
      </ns0:c>
    </ns0:row>
    <ns0:row r="37" ht="38" customHeight="1">
      <ns0:c r="A37" s="12" t="n">
        <ns0:v>910036</ns0:v>
      </ns0:c>
      <ns0:c r="B37" s="12" t="n">
        <ns0:v>920036</ns0:v>
      </ns0:c>
      <ns0:c r="C37" s="12" t="inlineStr">
        <ns0:is>
          <ns0:t>동도를 완전히 평평한 판으로 그리면?</ns0:t>
        </ns0:is>
      </ns0:c>
      <ns0:c r="D37" s="12" t="inlineStr">
        <ns0:is>
          <ns0:t>독도 모형에서 동도를 서도와 똑같은 뾰족한 산으로 만들었다면 무엇을 고쳐야 하나요?</ns0:t>
        </ns0:is>
      </ns0:c>
      <ns0:c r="E37" s="12" t="inlineStr">
        <ns0:is>
          <ns0:t>이전 ID는 회수하고 학습 기록·불빛은 보존. 새 문제의 정답·숙달로 자동 치환하지 않음.</ns0:t>
        </ns0:is>
      </ns0:c>
    </ns0:row>
    <ns0:row r="38" ht="38" customHeight="1">
      <ns0:c r="A38" s="10" t="n">
        <ns0:v>910037</ns0:v>
      </ns0:c>
      <ns0:c r="B38" s="10" t="n">
        <ns0:v>920037</ns0:v>
      </ns0:c>
      <ns0:c r="C38" s="10" t="inlineStr">
        <ns0:is>
          <ns0:t>독도의 지형은 바닷속에도 이어질까요?</ns0:t>
        </ns0:is>
      </ns0:c>
      <ns0:c r="D38" s="10" t="inlineStr">
        <ns0:is>
          <ns0:t>동도와 서도 아래 바닷속에도 독도의 지형이 이어지나요?</ns0:t>
        </ns0:is>
      </ns0:c>
      <ns0:c r="E38" s="10" t="inlineStr">
        <ns0:is>
          <ns0:t>이전 ID는 회수하고 학습 기록·불빛은 보존. 새 문제의 정답·숙달로 자동 치환하지 않음.</ns0:t>
        </ns0:is>
      </ns0:c>
    </ns0:row>
    <ns0:row r="39" ht="38" customHeight="1">
      <ns0:c r="A39" s="12" t="n">
        <ns0:v>910038</ns0:v>
      </ns0:c>
      <ns0:c r="B39" s="12" t="n">
        <ns0:v>920038</ns0:v>
      </ns0:c>
      <ns0:c r="C39" s="12" t="inlineStr">
        <ns0:is>
          <ns0:t>독도 화산체 전체를 보려면 어디도 살필까요?</ns0:t>
        </ns0:is>
      </ns0:c>
      <ns0:c r="D39" s="12" t="inlineStr">
        <ns0:is>
          <ns0:t>독도의 두 큰 섬은 무엇의 일부가 바다 위로 드러난 것인가요?</ns0:t>
        </ns0:is>
      </ns0:c>
      <ns0:c r="E39" s="12" t="inlineStr">
        <ns0:is>
          <ns0:t>이전 ID는 회수하고 학습 기록·불빛은 보존. 새 문제의 정답·숙달로 자동 치환하지 않음.</ns0:t>
        </ns0:is>
      </ns0:c>
    </ns0:row>
    <ns0:row r="40" ht="38" customHeight="1">
      <ns0:c r="A40" s="10" t="n">
        <ns0:v>910039</ns0:v>
      </ns0:c>
      <ns0:c r="B40" s="10" t="n">
        <ns0:v>920039</ns0:v>
      </ns0:c>
      <ns0:c r="C40" s="10" t="inlineStr">
        <ns0:is>
          <ns0:t>168.5m와 약 2,300m가 함께 쓰이는 이유는?</ns0:t>
        </ns0:is>
      </ns0:c>
      <ns0:c r="D40" s="10" t="inlineStr">
        <ns0:is>
          <ns0:t>독도 설명의 약 2,300m는 어디서부터 잰 규모인가요?</ns0:t>
        </ns0:is>
      </ns0:c>
      <ns0:c r="E40" s="10" t="inlineStr">
        <ns0:is>
          <ns0:t>이전 ID는 회수하고 학습 기록·불빛은 보존. 새 문제의 정답·숙달로 자동 치환하지 않음.</ns0:t>
        </ns0:is>
      </ns0:c>
    </ns0:row>
    <ns0:row r="41" ht="38" customHeight="1">
      <ns0:c r="A41" s="12" t="n">
        <ns0:v>910040</ns0:v>
      </ns0:c>
      <ns0:c r="B41" s="12" t="n">
        <ns0:v>920040</ns0:v>
      </ns0:c>
      <ns0:c r="C41" s="12" t="inlineStr">
        <ns0:is>
          <ns0:t>‘독도가 수면 위로 2,300m 솟았다’의 수정은?</ns0:t>
        </ns0:is>
      </ns0:c>
      <ns0:c r="D41" s="12" t="inlineStr">
        <ns0:is>
          <ns0:t>168.5m와 약 2,300m를 함께 독도의 높이라고 쓰는 까닭은 무엇인가요?</ns0:t>
        </ns0:is>
      </ns0:c>
      <ns0:c r="E41" s="12" t="inlineStr">
        <ns0:is>
          <ns0:t>이전 ID는 회수하고 학습 기록·불빛은 보존. 새 문제의 정답·숙달로 자동 치환하지 않음.</ns0:t>
        </ns0:is>
      </ns0:c>
    </ns0:row>
    <ns0:row r="42" ht="38" customHeight="1">
      <ns0:c r="A42" s="10" t="n">
        <ns0:v>910041</ns0:v>
      </ns0:c>
      <ns0:c r="B42" s="10" t="n">
        <ns0:v>920041</ns0:v>
      </ns0:c>
      <ns0:c r="C42" s="10" t="inlineStr">
        <ns0:is>
          <ns0:t>독도 형성과 관련된 활동은?</ns0:t>
        </ns0:is>
      </ns0:c>
      <ns0:c r="D42" s="10" t="inlineStr">
        <ns0:is>
          <ns0:t>독도를 처음 만든 자연 현상은 무엇인가요?</ns0:t>
        </ns0:is>
      </ns0:c>
      <ns0:c r="E42" s="10" t="inlineStr">
        <ns0:is>
          <ns0:t>이전 ID는 회수하고 학습 기록·불빛은 보존. 새 문제의 정답·숙달로 자동 치환하지 않음.</ns0:t>
        </ns0:is>
      </ns0:c>
    </ns0:row>
    <ns0:row r="43" ht="38" customHeight="1">
      <ns0:c r="A43" s="12" t="n">
        <ns0:v>910042</ns0:v>
      </ns0:c>
      <ns0:c r="B43" s="12" t="n">
        <ns0:v>920042</ns0:v>
      </ns0:c>
      <ns0:c r="C43" s="12" t="inlineStr">
        <ns0:is>
          <ns0:t>화산에서 나온 물질과 독도 바위의 관계는?</ns0:t>
        </ns0:is>
      </ns0:c>
      <ns0:c r="D43" s="12" t="inlineStr">
        <ns0:is>
          <ns0:t>독도의 화산활동이 시작된 곳은 어디인가요?</ns0:t>
        </ns0:is>
      </ns0:c>
      <ns0:c r="E43" s="12" t="inlineStr">
        <ns0:is>
          <ns0:t>이전 ID는 회수하고 학습 기록·불빛은 보존. 새 문제의 정답·숙달로 자동 치환하지 않음.</ns0:t>
        </ns0:is>
      </ns0:c>
    </ns0:row>
    <ns0:row r="44" ht="38" customHeight="1">
      <ns0:c r="A44" s="10" t="n">
        <ns0:v>910043</ns0:v>
      </ns0:c>
      <ns0:c r="B44" s="10" t="n">
        <ns0:v>920043</ns0:v>
      </ns0:c>
      <ns0:c r="C44" s="10" t="inlineStr">
        <ns0:is>
          <ns0:t>자료가 독도를 화산섬이라 설명하는 근거는?</ns0:t>
        </ns0:is>
      </ns0:c>
      <ns0:c r="D44" s="10" t="inlineStr">
        <ns0:is>
          <ns0:t>독도의 형성 과정을 순서대로 놓으면 무엇인가요?</ns0:t>
        </ns0:is>
      </ns0:c>
      <ns0:c r="E44" s="10" t="inlineStr">
        <ns0:is>
          <ns0:t>이전 ID는 회수하고 학습 기록·불빛은 보존. 새 문제의 정답·숙달로 자동 치환하지 않음.</ns0:t>
        </ns0:is>
      </ns0:c>
    </ns0:row>
    <ns0:row r="45" ht="38" customHeight="1">
      <ns0:c r="A45" s="12" t="n">
        <ns0:v>910044</ns0:v>
      </ns0:c>
      <ns0:c r="B45" s="12" t="n">
        <ns0:v>920044</ns0:v>
      </ns0:c>
      <ns0:c r="C45" s="12" t="inlineStr">
        <ns0:is>
          <ns0:t>독도의 화산암 이름만 외우면 형성을 설명했을까요?</ns0:t>
        </ns0:is>
      </ns0:c>
      <ns0:c r="D45" s="12" t="inlineStr">
        <ns0:is>
          <ns0:t>독도 해안이 파도에 깎인다는 사실과 화산 기원을 함께 설명한 것은 무엇인가요?</ns0:t>
        </ns0:is>
      </ns0:c>
      <ns0:c r="E45" s="12" t="inlineStr">
        <ns0:is>
          <ns0:t>이전 ID는 회수하고 학습 기록·불빛은 보존. 새 문제의 정답·숙달로 자동 치환하지 않음.</ns0:t>
        </ns0:is>
      </ns0:c>
    </ns0:row>
    <ns0:row r="46" ht="38" customHeight="1">
      <ns0:c r="A46" s="10" t="n">
        <ns0:v>910045</ns0:v>
      </ns0:c>
      <ns0:c r="B46" s="10" t="n">
        <ns0:v>920045</ns0:v>
      </ns0:c>
      <ns0:c r="C46" s="10" t="inlineStr">
        <ns0:is>
          <ns0:t>독도는 어떻게 만들어졌을까요?</ns0:t>
        </ns0:is>
      </ns0:c>
      <ns0:c r="D46" s="10" t="inlineStr">
        <ns0:is>
          <ns0:t>독도는 먼저 어디에서 자란 뒤 물 위로 드러났나요?</ns0:t>
        </ns0:is>
      </ns0:c>
      <ns0:c r="E46" s="10" t="inlineStr">
        <ns0:is>
          <ns0:t>이전 ID는 회수하고 학습 기록·불빛은 보존. 새 문제의 정답·숙달로 자동 치환하지 않음.</ns0:t>
        </ns0:is>
      </ns0:c>
    </ns0:row>
    <ns0:row r="47" ht="38" customHeight="1">
      <ns0:c r="A47" s="12" t="n">
        <ns0:v>910046</ns0:v>
      </ns0:c>
      <ns0:c r="B47" s="12" t="n">
        <ns0:v>920046</ns0:v>
      </ns0:c>
      <ns0:c r="C47" s="12" t="inlineStr">
        <ns0:is>
          <ns0:t>독도 형성 순서로 알맞은 것은?</ns0:t>
        </ns0:is>
      </ns0:c>
      <ns0:c r="D47" s="12" t="inlineStr">
        <ns0:is>
          <ns0:t>독도가 생긴 뒤 해안을 깎아 온 작용은 무엇인가요?</ns0:t>
        </ns0:is>
      </ns0:c>
      <ns0:c r="E47" s="12" t="inlineStr">
        <ns0:is>
          <ns0:t>이전 ID는 회수하고 학습 기록·불빛은 보존. 새 문제의 정답·숙달로 자동 치환하지 않음.</ns0:t>
        </ns0:is>
      </ns0:c>
    </ns0:row>
    <ns0:row r="48" ht="38" customHeight="1">
      <ns0:c r="A48" s="10" t="n">
        <ns0:v>910047</ns0:v>
      </ns0:c>
      <ns0:c r="B48" s="10" t="n">
        <ns0:v>920047</ns0:v>
      </ns0:c>
      <ns0:c r="C48" s="10" t="inlineStr">
        <ns0:is>
          <ns0:t>자료에서 더 먼저 일어난 것은?</ns0:t>
        </ns0:is>
      </ns0:c>
      <ns0:c r="D48" s="10" t="inlineStr">
        <ns0:is>
          <ns0:t>제시된 독도 형성 연표에서 먼저 일어난 일은 무엇인가요?</ns0:t>
        </ns0:is>
      </ns0:c>
      <ns0:c r="E48" s="10" t="inlineStr">
        <ns0:is>
          <ns0:t>이전 ID는 회수하고 학습 기록·불빛은 보존. 새 문제의 정답·숙달로 자동 치환하지 않음.</ns0:t>
        </ns0:is>
      </ns0:c>
    </ns0:row>
    <ns0:row r="49" ht="38" customHeight="1">
      <ns0:c r="A49" s="12" t="n">
        <ns0:v>910048</ns0:v>
      </ns0:c>
      <ns0:c r="B49" s="12" t="n">
        <ns0:v>920048</ns0:v>
      </ns0:c>
      <ns0:c r="C49" s="12" t="inlineStr">
        <ns0:is>
          <ns0:t>‘460만 년 전 지금 모양으로 완성’이라는 설명은?</ns0:t>
        </ns0:is>
      </ns0:c>
      <ns0:c r="D49" s="12" t="inlineStr">
        <ns0:is>
          <ns0:t>형성 연표에서 460만 년 전과 250만 년 전의 차이는 약 몇 년인가요?</ns0:t>
        </ns0:is>
      </ns0:c>
      <ns0:c r="E49" s="12" t="inlineStr">
        <ns0:is>
          <ns0:t>이전 ID는 회수하고 학습 기록·불빛은 보존. 새 문제의 정답·숙달로 자동 치환하지 않음.</ns0:t>
        </ns0:is>
      </ns0:c>
    </ns0:row>
    <ns0:row r="50" ht="38" customHeight="1">
      <ns0:c r="A50" s="10" t="n">
        <ns0:v>910049</ns0:v>
      </ns0:c>
      <ns0:c r="B50" s="10" t="n">
        <ns0:v>920049</ns0:v>
      </ns0:c>
      <ns0:c r="C50" s="10" t="inlineStr">
        <ns0:is>
          <ns0:t>독도 해안의 바위를 깎는 힘은?</ns0:t>
        </ns0:is>
      </ns0:c>
      <ns0:c r="D50" s="10" t="inlineStr">
        <ns0:is>
          <ns0:t>독도 해안의 바위를 깎는 바닷물의 움직임은 무엇인가요?</ns0:t>
        </ns0:is>
      </ns0:c>
      <ns0:c r="E50" s="10" t="inlineStr">
        <ns0:is>
          <ns0:t>이전 ID는 회수하고 학습 기록·불빛은 보존. 새 문제의 정답·숙달로 자동 치환하지 않음.</ns0:t>
        </ns0:is>
      </ns0:c>
    </ns0:row>
    <ns0:row r="51" ht="38" customHeight="1">
      <ns0:c r="A51" s="12" t="n">
        <ns0:v>910050</ns0:v>
      </ns0:c>
      <ns0:c r="B51" s="12" t="n">
        <ns0:v>920050</ns0:v>
      </ns0:c>
      <ns0:c r="C51" s="12" t="inlineStr">
        <ns0:is>
          <ns0:t>해안 동굴과 연결되는 과정은?</ns0:t>
        </ns0:is>
      </ns0:c>
      <ns0:c r="D51" s="12" t="inlineStr">
        <ns0:is>
          <ns0:t>독도 해안의 바위가 파도에 깎이는 작용을 무엇이라고 하나요?</ns0:t>
        </ns0:is>
      </ns0:c>
      <ns0:c r="E51" s="12" t="inlineStr">
        <ns0:is>
          <ns0:t>이전 ID는 회수하고 학습 기록·불빛은 보존. 새 문제의 정답·숙달로 자동 치환하지 않음.</ns0:t>
        </ns0:is>
      </ns0:c>
    </ns0:row>
    <ns0:row r="52" ht="38" customHeight="1">
      <ns0:c r="A52" s="10" t="n">
        <ns0:v>910051</ns0:v>
      </ns0:c>
      <ns0:c r="B52" s="10" t="n">
        <ns0:v>920051</ns0:v>
      </ns0:c>
      <ns0:c r="C52" s="10" t="inlineStr">
        <ns0:is>
          <ns0:t>파도에 깎인 절벽을 가리키는 말은?</ns0:t>
        </ns0:is>
      </ns0:c>
      <ns0:c r="D52" s="10" t="inlineStr">
        <ns0:is>
          <ns0:t>설명된 독립문바위의 아치 구멍을 만드는 데 영향을 준 작용은 무엇인가요?</ns0:t>
        </ns0:is>
      </ns0:c>
      <ns0:c r="E52" s="10" t="inlineStr">
        <ns0:is>
          <ns0:t>이전 ID는 회수하고 학습 기록·불빛은 보존. 새 문제의 정답·숙달로 자동 치환하지 않음.</ns0:t>
        </ns0:is>
      </ns0:c>
    </ns0:row>
    <ns0:row r="53" ht="38" customHeight="1">
      <ns0:c r="A53" s="12" t="n">
        <ns0:v>910052</ns0:v>
      </ns0:c>
      <ns0:c r="B53" s="12" t="n">
        <ns0:v>920052</ns0:v>
      </ns0:c>
      <ns0:c r="C53" s="12" t="inlineStr">
        <ns0:is>
          <ns0:t>바위 아치를 사람이 만든 문이라 해석하면?</ns0:t>
        </ns0:is>
      </ns0:c>
      <ns0:c r="D53" s="12" t="inlineStr">
        <ns0:is>
          <ns0:t>독도 바위를 관찰해 해식 지형으로 분류할 수 있는 설명은 무엇인가요?</ns0:t>
        </ns0:is>
      </ns0:c>
      <ns0:c r="E53" s="12" t="inlineStr">
        <ns0:is>
          <ns0:t>이전 ID는 회수하고 학습 기록·불빛은 보존. 새 문제의 정답·숙달로 자동 치환하지 않음.</ns0:t>
        </ns0:is>
      </ns0:c>
    </ns0:row>
    <ns0:row r="54" ht="38" customHeight="1">
      <ns0:c r="A54" s="10" t="n">
        <ns0:v>910053</ns0:v>
      </ns0:c>
      <ns0:c r="B54" s="10" t="n">
        <ns0:v>920053</ns0:v>
      </ns0:c>
      <ns0:c r="C54" s="10" t="inlineStr">
        <ns0:is>
          <ns0:t>독도 바위의 모습은 시간이 지나면?</ns0:t>
        </ns0:is>
      </ns0:c>
      <ns0:c r="D54" s="10" t="inlineStr">
        <ns0:is>
          <ns0:t>독도의 바위가 바람과 추위 등에 오래 노출되어 약해지는 과정을 무엇이라고 하나요?</ns0:t>
        </ns0:is>
      </ns0:c>
      <ns0:c r="E54" s="10" t="inlineStr">
        <ns0:is>
          <ns0:t>이전 ID는 회수하고 학습 기록·불빛은 보존. 새 문제의 정답·숙달로 자동 치환하지 않음.</ns0:t>
        </ns0:is>
      </ns0:c>
    </ns0:row>
    <ns0:row r="55" ht="38" customHeight="1">
      <ns0:c r="A55" s="12" t="n">
        <ns0:v>910054</ns0:v>
      </ns0:c>
      <ns0:c r="B55" s="12" t="n">
        <ns0:v>920054</ns0:v>
      </ns0:c>
      <ns0:c r="C55" s="12" t="inlineStr">
        <ns0:is>
          <ns0:t>독도를 여러 해에 걸쳐 재는 까닭은?</ns0:t>
        </ns0:is>
      </ns0:c>
      <ns0:c r="D55" s="12" t="inlineStr">
        <ns0:is>
          <ns0:t>독도 해안에서 깎인 바위 조각이 다른 곳에 쌓이는 과정은 무엇인가요?</ns0:t>
        </ns0:is>
      </ns0:c>
      <ns0:c r="E55" s="12" t="inlineStr">
        <ns0:is>
          <ns0:t>이전 ID는 회수하고 학습 기록·불빛은 보존. 새 문제의 정답·숙달로 자동 치환하지 않음.</ns0:t>
        </ns0:is>
      </ns0:c>
    </ns0:row>
    <ns0:row r="56" ht="38" customHeight="1">
      <ns0:c r="A56" s="10" t="n">
        <ns0:v>910055</ns0:v>
      </ns0:c>
      <ns0:c r="B56" s="10" t="n">
        <ns0:v>920055</ns0:v>
      </ns0:c>
      <ns0:c r="C56" s="10" t="inlineStr">
        <ns0:is>
          <ns0:t>독도의 지형 변화를 비교하기 좋은 자료는?</ns0:t>
        </ns0:is>
      </ns0:c>
      <ns0:c r="D56" s="10" t="inlineStr">
        <ns0:is>
          <ns0:t>독도 바위가 약해진 뒤 파도에 깎였다는 설명의 과정 순서는 무엇인가요?</ns0:t>
        </ns0:is>
      </ns0:c>
      <ns0:c r="E56" s="10" t="inlineStr">
        <ns0:is>
          <ns0:t>이전 ID는 회수하고 학습 기록·불빛은 보존. 새 문제의 정답·숙달로 자동 치환하지 않음.</ns0:t>
        </ns0:is>
      </ns0:c>
    </ns0:row>
    <ns0:row r="57" ht="38" customHeight="1">
      <ns0:c r="A57" s="12" t="n">
        <ns0:v>910056</ns0:v>
      </ns0:c>
      <ns0:c r="B57" s="12" t="n">
        <ns0:v>920056</ns0:v>
      </ns0:c>
      <ns0:c r="C57" s="12" t="inlineStr">
        <ns0:is>
          <ns0:t>사진 두 장의 차이를 모두 낙석이라 해도 될까요?</ns0:t>
        </ns0:is>
      </ns0:c>
      <ns0:c r="D57" s="12" t="inlineStr">
        <ns0:is>
          <ns0:t>독도 해안선의 변화를 비교하려면 어느 자료 묶음이 적합한가요?</ns0:t>
        </ns0:is>
      </ns0:c>
      <ns0:c r="E57" s="12" t="inlineStr">
        <ns0:is>
          <ns0:t>이전 ID는 회수하고 학습 기록·불빛은 보존. 새 문제의 정답·숙달로 자동 치환하지 않음.</ns0:t>
        </ns0:is>
      </ns0:c>
    </ns0:row>
    <ns0:row r="58" ht="38" customHeight="1">
      <ns0:c r="A58" s="10" t="n">
        <ns0:v>910057</ns0:v>
      </ns0:c>
      <ns0:c r="B58" s="10" t="n">
        <ns0:v>920057</ns0:v>
      </ns0:c>
      <ns0:c r="C58" s="10" t="inlineStr">
        <ns0:is>
          <ns0:t>물골이 있는 큰 섬은?</ns0:t>
        </ns0:is>
      </ns0:c>
      <ns0:c r="D58" s="10" t="inlineStr">
        <ns0:is>
          <ns0:t>독도의 물골은 어느 큰 섬에 있나요?</ns0:t>
        </ns0:is>
      </ns0:c>
      <ns0:c r="E58" s="10" t="inlineStr">
        <ns0:is>
          <ns0:t>이전 ID는 회수하고 학습 기록·불빛은 보존. 새 문제의 정답·숙달로 자동 치환하지 않음.</ns0:t>
        </ns0:is>
      </ns0:c>
    </ns0:row>
    <ns0:row r="59" ht="38" customHeight="1">
      <ns0:c r="A59" s="12" t="n">
        <ns0:v>910058</ns0:v>
      </ns0:c>
      <ns0:c r="B59" s="12" t="n">
        <ns0:v>920058</ns0:v>
      </ns0:c>
      <ns0:c r="C59" s="12" t="inlineStr">
        <ns0:is>
          <ns0:t>물골과 예전 독도 생활의 연결은?</ns0:t>
        </ns0:is>
      </ns0:c>
      <ns0:c r="D59" s="12" t="inlineStr">
        <ns0:is>
          <ns0:t>담수화 시설이 생기기 전, 독도의 물골은 주로 무엇에 쓰였나요?</ns0:t>
        </ns0:is>
      </ns0:c>
      <ns0:c r="E59" s="12" t="inlineStr">
        <ns0:is>
          <ns0:t>이전 ID는 회수하고 학습 기록·불빛은 보존. 새 문제의 정답·숙달로 자동 치환하지 않음.</ns0:t>
        </ns0:is>
      </ns0:c>
    </ns0:row>
    <ns0:row r="60" ht="38" customHeight="1">
      <ns0:c r="A60" s="10" t="n">
        <ns0:v>910059</ns0:v>
      </ns0:c>
      <ns0:c r="B60" s="10" t="n">
        <ns0:v>920059</ns0:v>
      </ns0:c>
      <ns0:c r="C60" s="10" t="inlineStr">
        <ns0:is>
          <ns0:t>자료에서 확인할 수 있는 물골의 역할은?</ns0:t>
        </ns0:is>
      </ns0:c>
      <ns0:c r="D60" s="10" t="inlineStr">
        <ns0:is>
          <ns0:t>설명의 빈칸에 들어갈 지명은 무엇인가요?</ns0:t>
        </ns0:is>
      </ns0:c>
      <ns0:c r="E60" s="10" t="inlineStr">
        <ns0:is>
          <ns0:t>이전 ID는 회수하고 학습 기록·불빛은 보존. 새 문제의 정답·숙달로 자동 치환하지 않음.</ns0:t>
        </ns0:is>
      </ns0:c>
    </ns0:row>
    <ns0:row r="61" ht="38" customHeight="1">
      <ns0:c r="A61" s="12" t="n">
        <ns0:v>910060</ns0:v>
      </ns0:c>
      <ns0:c r="B61" s="12" t="n">
        <ns0:v>920060</ns0:v>
      </ns0:c>
      <ns0:c r="C61" s="12" t="inlineStr">
        <ns0:is>
          <ns0:t>물골이 지금도 유일한 식수원이라는 주장은?</ns0:t>
        </ns0:is>
      </ns0:c>
      <ns0:c r="D61" s="12" t="inlineStr">
        <ns0:is>
          <ns0:t>물골과 담수화 시설의 물 공급 방식을 바르게 짝지은 것은 무엇인가요?</ns0:t>
        </ns0:is>
      </ns0:c>
      <ns0:c r="E61" s="12" t="inlineStr">
        <ns0:is>
          <ns0:t>이전 ID는 회수하고 학습 기록·불빛은 보존. 새 문제의 정답·숙달로 자동 치환하지 않음.</ns0:t>
        </ns0:is>
      </ns0:c>
    </ns0:row>
    <ns0:row r="62" ht="38" customHeight="1">
      <ns0:c r="A62" s="10" t="n">
        <ns0:v>910061</ns0:v>
      </ns0:c>
      <ns0:c r="B62" s="10" t="n">
        <ns0:v>920061</ns0:v>
      </ns0:c>
      <ns0:c r="C62" s="10" t="inlineStr">
        <ns0:is>
          <ns0:t>이동하는 새에게 독도의 역할은?</ns0:t>
        </ns0:is>
      </ns0:c>
      <ns0:c r="D62" s="10" t="inlineStr">
        <ns0:is>
          <ns0:t>먼 거리를 이동하는 철새에게 독도는 어떤 곳인가요?</ns0:t>
        </ns0:is>
      </ns0:c>
      <ns0:c r="E62" s="10" t="inlineStr">
        <ns0:is>
          <ns0:t>이전 ID는 회수하고 학습 기록·불빛은 보존. 새 문제의 정답·숙달로 자동 치환하지 않음.</ns0:t>
        </ns0:is>
      </ns0:c>
    </ns0:row>
    <ns0:row r="63" ht="38" customHeight="1">
      <ns0:c r="A63" s="12" t="n">
        <ns0:v>910062</ns0:v>
      </ns0:c>
      <ns0:c r="B63" s="12" t="n">
        <ns0:v>920062</ns0:v>
      </ns0:c>
      <ns0:c r="C63" s="12" t="inlineStr">
        <ns0:is>
          <ns0:t>‘중간기착지’와 연결되는 독도의 모습은?</ns0:t>
        </ns0:is>
      </ns0:c>
      <ns0:c r="D63" s="12" t="inlineStr">
        <ns0:is>
          <ns0:t>철새가 이동하다 독도처럼 잠시 들러 쉬는 곳을 무엇이라고 하나요?</ns0:t>
        </ns0:is>
      </ns0:c>
      <ns0:c r="E63" s="12" t="inlineStr">
        <ns0:is>
          <ns0:t>이전 ID는 회수하고 학습 기록·불빛은 보존. 새 문제의 정답·숙달로 자동 치환하지 않음.</ns0:t>
        </ns0:is>
      </ns0:c>
    </ns0:row>
    <ns0:row r="64" ht="38" customHeight="1">
      <ns0:c r="A64" s="10" t="n">
        <ns0:v>910063</ns0:v>
      </ns0:c>
      <ns0:c r="B64" s="10" t="n">
        <ns0:v>920063</ns0:v>
      </ns0:c>
      <ns0:c r="C64" s="10" t="inlineStr">
        <ns0:is>
          <ns0:t>자료가 설명하는 독도의 생태적 가치는?</ns0:t>
        </ns0:is>
      </ns0:c>
      <ns0:c r="D64" s="10" t="inlineStr">
        <ns0:is>
          <ns0:t>이동 경로가 ‘출발지 → 독도에서 휴식 → 목적지’라면 독도의 역할은 무엇인가요?</ns0:t>
        </ns0:is>
      </ns0:c>
      <ns0:c r="E64" s="10" t="inlineStr">
        <ns0:is>
          <ns0:t>이전 ID는 회수하고 학습 기록·불빛은 보존. 새 문제의 정답·숙달로 자동 치환하지 않음.</ns0:t>
        </ns0:is>
      </ns0:c>
    </ns0:row>
    <ns0:row r="65" ht="38" customHeight="1">
      <ns0:c r="A65" s="12" t="n">
        <ns0:v>910064</ns0:v>
      </ns0:c>
      <ns0:c r="B65" s="12" t="n">
        <ns0:v>920064</ns0:v>
      </ns0:c>
      <ns0:c r="C65" s="12" t="inlineStr">
        <ns0:is>
          <ns0:t>‘독도에 온 새는 모두 그곳에서 번식한다’는 말은?</ns0:t>
        </ns0:is>
      </ns0:c>
      <ns0:c r="D65" s="12" t="inlineStr">
        <ns0:is>
          <ns0:t>독도의 두 새 관찰에서 ‘중간 기착’에 해당하는 것은 무엇인가요?</ns0:t>
        </ns0:is>
      </ns0:c>
      <ns0:c r="E65" s="12" t="inlineStr">
        <ns0:is>
          <ns0:t>이전 ID는 회수하고 학습 기록·불빛은 보존. 새 문제의 정답·숙달로 자동 치환하지 않음.</ns0:t>
        </ns0:is>
      </ns0:c>
    </ns0:row>
    <ns0:row r="66" ht="38" customHeight="1">
      <ns0:c r="A66" s="10" t="n">
        <ns0:v>910065</ns0:v>
      </ns0:c>
      <ns0:c r="B66" s="10" t="n">
        <ns0:v>920065</ns0:v>
      </ns0:c>
      <ns0:c r="C66" s="10" t="inlineStr">
        <ns0:is>
          <ns0:t>독도에서 번식하는 바닷새의 예는?</ns0:t>
        </ns0:is>
      </ns0:c>
      <ns0:c r="D66" s="10" t="inlineStr">
        <ns0:is>
          <ns0:t>독도에서 번식하는 바닷새는 어느 것인가요?</ns0:t>
        </ns0:is>
      </ns0:c>
      <ns0:c r="E66" s="10" t="inlineStr">
        <ns0:is>
          <ns0:t>이전 ID는 회수하고 학습 기록·불빛은 보존. 새 문제의 정답·숙달로 자동 치환하지 않음.</ns0:t>
        </ns0:is>
      </ns0:c>
    </ns0:row>
    <ns0:row r="67" ht="38" customHeight="1">
      <ns0:c r="A67" s="12" t="n">
        <ns0:v>910066</ns0:v>
      </ns0:c>
      <ns0:c r="B67" s="12" t="n">
        <ns0:v>920066</ns0:v>
      </ns0:c>
      <ns0:c r="C67" s="12" t="inlineStr">
        <ns0:is>
          <ns0:t>독도가 새의 번식지라는 뜻은?</ns0:t>
        </ns0:is>
      </ns0:c>
      <ns0:c r="D67" s="12" t="inlineStr">
        <ns0:is>
          <ns0:t>괭이갈매기가 독도에서 번식한다는 뜻은 무엇인가요?</ns0:t>
        </ns0:is>
      </ns0:c>
      <ns0:c r="E67" s="12" t="inlineStr">
        <ns0:is>
          <ns0:t>이전 ID는 회수하고 학습 기록·불빛은 보존. 새 문제의 정답·숙달로 자동 치환하지 않음.</ns0:t>
        </ns0:is>
      </ns0:c>
    </ns0:row>
    <ns0:row r="68" ht="38" customHeight="1">
      <ns0:c r="A68" s="10" t="n">
        <ns0:v>910067</ns0:v>
      </ns0:c>
      <ns0:c r="B68" s="10" t="n">
        <ns0:v>920067</ns0:v>
      </ns0:c>
      <ns0:c r="C68" s="10" t="inlineStr">
        <ns0:is>
          <ns0:t>번식지를 판단하는 데 더 직접적인 관찰은?</ns0:t>
        </ns0:is>
      </ns0:c>
      <ns0:c r="D68" s="10" t="inlineStr">
        <ns0:is>
          <ns0:t>독도에서 번식한다고 소개된 새만 모은 것은 무엇인가요?</ns0:t>
        </ns0:is>
      </ns0:c>
      <ns0:c r="E68" s="10" t="inlineStr">
        <ns0:is>
          <ns0:t>이전 ID는 회수하고 학습 기록·불빛은 보존. 새 문제의 정답·숙달로 자동 치환하지 않음.</ns0:t>
        </ns0:is>
      </ns0:c>
    </ns0:row>
    <ns0:row r="69" ht="38" customHeight="1">
      <ns0:c r="A69" s="12" t="n">
        <ns0:v>910068</ns0:v>
      </ns0:c>
      <ns0:c r="B69" s="12" t="n">
        <ns0:v>920068</ns0:v>
      </ns0:c>
      <ns0:c r="C69" s="12" t="inlineStr">
        <ns0:is>
          <ns0:t>새 한 마리의 통과 사진만으로 번식지라 한다면?</ns0:t>
        </ns0:is>
      </ns0:c>
      <ns0:c r="D69" s="12" t="inlineStr">
        <ns0:is>
          <ns0:t>독도의 ‘번식지’ 기능을 보여 주는 관찰은 무엇인가요?</ns0:t>
        </ns0:is>
      </ns0:c>
      <ns0:c r="E69" s="12" t="inlineStr">
        <ns0:is>
          <ns0:t>이전 ID는 회수하고 학습 기록·불빛은 보존. 새 문제의 정답·숙달로 자동 치환하지 않음.</ns0:t>
        </ns0:is>
      </ns0:c>
    </ns0:row>
    <ns0:row r="70" ht="38" customHeight="1">
      <ns0:c r="A70" s="10" t="n">
        <ns0:v>910069</ns0:v>
      </ns0:c>
      <ns0:c r="B70" s="10" t="n">
        <ns0:v>920069</ns0:v>
      </ns0:c>
      <ns0:c r="C70" s="10" t="inlineStr">
        <ns0:is>
          <ns0:t>미역과 달리 독도의 바닷새인 것은?</ns0:t>
        </ns0:is>
      </ns0:c>
      <ns0:c r="D70" s="10" t="inlineStr">
        <ns0:is>
          <ns0:t>독도 바닷속에서 자라는 바닷말은 어느 것인가요?</ns0:t>
        </ns0:is>
      </ns0:c>
      <ns0:c r="E70" s="10" t="inlineStr">
        <ns0:is>
          <ns0:t>이전 ID는 회수하고 학습 기록·불빛은 보존. 새 문제의 정답·숙달로 자동 치환하지 않음.</ns0:t>
        </ns0:is>
      </ns0:c>
    </ns0:row>
    <ns0:row r="71" ht="38" customHeight="1">
      <ns0:c r="A71" s="12" t="n">
        <ns0:v>910070</ns0:v>
      </ns0:c>
      <ns0:c r="B71" s="12" t="n">
        <ns0:v>920070</ns0:v>
      </ns0:c>
      <ns0:c r="C71" s="12" t="inlineStr">
        <ns0:is>
          <ns0:t>괭이갈매기와 미역을 바르게 나누면?</ns0:t>
        </ns0:is>
      </ns0:c>
      <ns0:c r="D71" s="12" t="inlineStr">
        <ns0:is>
          <ns0:t>독도의 괭이갈매기와 미역을 종류별로 짝지으면 무엇인가요?</ns0:t>
        </ns0:is>
      </ns0:c>
      <ns0:c r="E71" s="12" t="inlineStr">
        <ns0:is>
          <ns0:t>이전 ID는 회수하고 학습 기록·불빛은 보존. 새 문제의 정답·숙달로 자동 치환하지 않음.</ns0:t>
        </ns0:is>
      </ns0:c>
    </ns0:row>
    <ns0:row r="72" ht="38" customHeight="1">
      <ns0:c r="A72" s="10" t="n">
        <ns0:v>910071</ns0:v>
      </ns0:c>
      <ns0:c r="B72" s="10" t="n">
        <ns0:v>920071</ns0:v>
      </ns0:c>
      <ns0:c r="C72" s="10" t="inlineStr">
        <ns0:is>
          <ns0:t>자료의 海鳥類가 가리키는 것은?</ns0:t>
        </ns0:is>
      </ns0:c>
      <ns0:c r="D72" s="10" t="inlineStr">
        <ns0:is>
          <ns0:t>‘독도는 해조류(海鳥類)의 번식지’에서 해조류는 무엇을 뜻하나요?</ns0:t>
        </ns0:is>
      </ns0:c>
      <ns0:c r="E72" s="10" t="inlineStr">
        <ns0:is>
          <ns0:t>이전 ID는 회수하고 학습 기록·불빛은 보존. 새 문제의 정답·숙달로 자동 치환하지 않음.</ns0:t>
        </ns0:is>
      </ns0:c>
    </ns0:row>
    <ns0:row r="73" ht="38" customHeight="1">
      <ns0:c r="A73" s="12" t="n">
        <ns0:v>910072</ns0:v>
      </ns0:c>
      <ns0:c r="B73" s="12" t="n">
        <ns0:v>920072</ns0:v>
      </ns0:c>
      <ns0:c r="C73" s="12" t="inlineStr">
        <ns0:is>
          <ns0:t>‘해조류 번식지’를 미역 번식지로만 읽으면?</ns0:t>
        </ns0:is>
      </ns0:c>
      <ns0:c r="D73" s="12" t="inlineStr">
        <ns0:is>
          <ns0:t>독도 생물 목록을 ‘바닷말’로만 묶으면 어느 조합인가요?</ns0:t>
        </ns0:is>
      </ns0:c>
      <ns0:c r="E73" s="12" t="inlineStr">
        <ns0:is>
          <ns0:t>이전 ID는 회수하고 학습 기록·불빛은 보존. 새 문제의 정답·숙달로 자동 치환하지 않음.</ns0:t>
        </ns0:is>
      </ns0:c>
    </ns0:row>
    <ns0:row r="74" ht="38" customHeight="1">
      <ns0:c r="A74" s="10" t="n">
        <ns0:v>910073</ns0:v>
      </ns0:c>
      <ns0:c r="B74" s="10" t="n">
        <ns0:v>920073</ns0:v>
      </ns0:c>
      <ns0:c r="C74" s="10" t="inlineStr">
        <ns0:is>
          <ns0:t>독도 땅에서 자라는 식물의 예는?</ns0:t>
        </ns0:is>
      </ns0:c>
      <ns0:c r="D74" s="10" t="inlineStr">
        <ns0:is>
          <ns0:t>독도 땅에 자라는 꽃식물은 어느 것인가요?</ns0:t>
        </ns0:is>
      </ns0:c>
      <ns0:c r="E74" s="10" t="inlineStr">
        <ns0:is>
          <ns0:t>이전 ID는 회수하고 학습 기록·불빛은 보존. 새 문제의 정답·숙달로 자동 치환하지 않음.</ns0:t>
        </ns0:is>
      </ns0:c>
    </ns0:row>
    <ns0:row r="75" ht="38" customHeight="1">
      <ns0:c r="A75" s="12" t="n">
        <ns0:v>910074</ns0:v>
      </ns0:c>
      <ns0:c r="B75" s="12" t="n">
        <ns0:v>920074</ns0:v>
      </ns0:c>
      <ns0:c r="C75" s="12" t="inlineStr">
        <ns0:is>
          <ns0:t>해국과 미역을 서식 공간에 맞추면?</ns0:t>
        </ns0:is>
      </ns0:c>
      <ns0:c r="D75" s="12" t="inlineStr">
        <ns0:is>
          <ns0:t>독도에서 해국과 섬기린초를 함께 조사한다면 무엇을 조사하는 것인가요?</ns0:t>
        </ns0:is>
      </ns0:c>
      <ns0:c r="E75" s="12" t="inlineStr">
        <ns0:is>
          <ns0:t>이전 ID는 회수하고 학습 기록·불빛은 보존. 새 문제의 정답·숙달로 자동 치환하지 않음.</ns0:t>
        </ns0:is>
      </ns0:c>
    </ns0:row>
    <ns0:row r="76" ht="38" customHeight="1">
      <ns0:c r="A76" s="10" t="n">
        <ns0:v>910075</ns0:v>
      </ns0:c>
      <ns0:c r="B76" s="10" t="n">
        <ns0:v>920075</ns0:v>
      </ns0:c>
      <ns0:c r="C76" s="10" t="inlineStr">
        <ns0:is>
          <ns0:t>자료의 두 목록을 연결한 바른 설명은?</ns0:t>
        </ns0:is>
      </ns0:c>
      <ns0:c r="D76" s="10" t="inlineStr">
        <ns0:is>
          <ns0:t>제시된 독도 목록에서 육상 식물끼리 묶인 것은 무엇인가요?</ns0:t>
        </ns0:is>
      </ns0:c>
      <ns0:c r="E76" s="10" t="inlineStr">
        <ns0:is>
          <ns0:t>이전 ID는 회수하고 학습 기록·불빛은 보존. 새 문제의 정답·숙달로 자동 치환하지 않음.</ns0:t>
        </ns0:is>
      </ns0:c>
    </ns0:row>
    <ns0:row r="77" ht="38" customHeight="1">
      <ns0:c r="A77" s="12" t="n">
        <ns0:v>910076</ns0:v>
      </ns0:c>
      <ns0:c r="B77" s="12" t="n">
        <ns0:v>920076</ns0:v>
      </ns0:c>
      <ns0:c r="C77" s="12" t="inlineStr">
        <ns0:is>
          <ns0:t>짧은 목록에 없는 식물은 독도에 없다고 해도 될까요?</ns0:t>
        </ns0:is>
      </ns0:c>
      <ns0:c r="D77" s="12" t="inlineStr">
        <ns0:is>
          <ns0:t>독도 식물 조사에서 미역만 기록했다면 추가해야 할 조사 대상은 무엇인가요?</ns0:t>
        </ns0:is>
      </ns0:c>
      <ns0:c r="E77" s="12" t="inlineStr">
        <ns0:is>
          <ns0:t>이전 ID는 회수하고 학습 기록·불빛은 보존. 새 문제의 정답·숙달로 자동 치환하지 않음.</ns0:t>
        </ns0:is>
      </ns0:c>
    </ns0:row>
    <ns0:row r="78" ht="38" customHeight="1">
      <ns0:c r="A78" s="10" t="n">
        <ns0:v>910077</ns0:v>
      </ns0:c>
      <ns0:c r="B78" s="10" t="n">
        <ns0:v>920077</ns0:v>
      </ns0:c>
      <ns0:c r="C78" s="10" t="inlineStr">
        <ns0:is>
          <ns0:t>독도에서 보호할 대상으로 알맞은 것은?</ns0:t>
        </ns0:is>
      </ns0:c>
      <ns0:c r="D78" s="10" t="inlineStr">
        <ns0:is>
          <ns0:t>독도에서 자연유산으로 함께 보호하는 대상은 무엇인가요?</ns0:t>
        </ns0:is>
      </ns0:c>
      <ns0:c r="E78" s="10" t="inlineStr">
        <ns0:is>
          <ns0:t>이전 ID는 회수하고 학습 기록·불빛은 보존. 새 문제의 정답·숙달로 자동 치환하지 않음.</ns0:t>
        </ns0:is>
      </ns0:c>
    </ns0:row>
    <ns0:row r="79" ht="38" customHeight="1">
      <ns0:c r="A79" s="12" t="n">
        <ns0:v>910078</ns0:v>
      </ns0:c>
      <ns0:c r="B79" s="12" t="n">
        <ns0:v>920078</ns0:v>
      </ns0:c>
      <ns0:c r="C79" s="12" t="inlineStr">
        <ns0:is>
          <ns0:t>독도 보호를 바닷새만으로 설명하면?</ns0:t>
        </ns0:is>
      </ns0:c>
      <ns0:c r="D79" s="12" t="inlineStr">
        <ns0:is>
          <ns0:t>독도 해안 절벽에 남아 있는 자연의 흔적은 무엇인가요?</ns0:t>
        </ns0:is>
      </ns0:c>
      <ns0:c r="E79" s="12" t="inlineStr">
        <ns0:is>
          <ns0:t>이전 ID는 회수하고 학습 기록·불빛은 보존. 새 문제의 정답·숙달로 자동 치환하지 않음.</ns0:t>
        </ns0:is>
      </ns0:c>
    </ns0:row>
    <ns0:row r="80" ht="38" customHeight="1">
      <ns0:c r="A80" s="10" t="n">
        <ns0:v>910079</ns0:v>
      </ns0:c>
      <ns0:c r="B80" s="10" t="n">
        <ns0:v>920079</ns0:v>
      </ns0:c>
      <ns0:c r="C80" s="10" t="inlineStr">
        <ns0:is>
          <ns0:t>천연보호구역의 설명을 가장 잘 묶은 것은?</ns0:t>
        </ns0:is>
      </ns0:c>
      <ns0:c r="D80" s="10" t="inlineStr">
        <ns0:is>
          <ns0:t>독도 보호 계획에 ‘바닷새만 보호’라고 적으면 빠지는 대상은 무엇인가요?</ns0:t>
        </ns0:is>
      </ns0:c>
      <ns0:c r="E80" s="10" t="inlineStr">
        <ns0:is>
          <ns0:t>이전 ID는 회수하고 학습 기록·불빛은 보존. 새 문제의 정답·숙달로 자동 치환하지 않음.</ns0:t>
        </ns0:is>
      </ns0:c>
    </ns0:row>
    <ns0:row r="81" ht="38" customHeight="1">
      <ns0:c r="A81" s="12" t="n">
        <ns0:v>910080</ns0:v>
      </ns0:c>
      <ns0:c r="B81" s="12" t="n">
        <ns0:v>920080</ns0:v>
      </ns0:c>
      <ns0:c r="C81" s="12" t="inlineStr">
        <ns0:is>
          <ns0:t>독도의 보호 가치를 방문객 수만으로 평가한다면?</ns0:t>
        </ns0:is>
      </ns0:c>
      <ns0:c r="D81" s="12" t="inlineStr">
        <ns0:is>
          <ns0:t>독도 탐방 해설판에 보호 가치를 균형 있게 담은 구성은 무엇인가요?</ns0:t>
        </ns0:is>
      </ns0:c>
      <ns0:c r="E81" s="12" t="inlineStr">
        <ns0:is>
          <ns0:t>이전 ID는 회수하고 학습 기록·불빛은 보존. 새 문제의 정답·숙달로 자동 치환하지 않음.</ns0:t>
        </ns0:is>
      </ns0:c>
    </ns0:row>
    <ns0:row r="82" ht="38" customHeight="1">
      <ns0:c r="A82" s="10" t="n">
        <ns0:v>910081</ns0:v>
      </ns0:c>
      <ns0:c r="B82" s="10" t="n">
        <ns0:v>920081</ns0:v>
      </ns0:c>
      <ns0:c r="C82" s="10" t="inlineStr">
        <ns0:is>
          <ns0:t>독도 바다숲을 이루는 생물의 예는?</ns0:t>
        </ns0:is>
      </ns0:c>
      <ns0:c r="D82" s="10" t="inlineStr">
        <ns0:is>
          <ns0:t>독도 바다숲을 이루는 큰 바닷말은 어느 것인가요?</ns0:t>
        </ns0:is>
      </ns0:c>
      <ns0:c r="E82" s="10" t="inlineStr">
        <ns0:is>
          <ns0:t>이전 ID는 회수하고 학습 기록·불빛은 보존. 새 문제의 정답·숙달로 자동 치환하지 않음.</ns0:t>
        </ns0:is>
      </ns0:c>
    </ns0:row>
    <ns0:row r="83" ht="38" customHeight="1">
      <ns0:c r="A83" s="12" t="n">
        <ns0:v>910082</ns0:v>
      </ns0:c>
      <ns0:c r="B83" s="12" t="n">
        <ns0:v>920082</ns0:v>
      </ns0:c>
      <ns0:c r="C83" s="12" t="inlineStr">
        <ns0:is>
          <ns0:t>독도 바위틈과 연결되는 생물은?</ns0:t>
        </ns0:is>
      </ns0:c>
      <ns0:c r="D83" s="12" t="inlineStr">
        <ns0:is>
          <ns0:t>감태와 대황이 많이 자라는 독도 바닷속 공간을 무엇이라고 부르나요?</ns0:t>
        </ns0:is>
      </ns0:c>
      <ns0:c r="E83" s="12" t="inlineStr">
        <ns0:is>
          <ns0:t>이전 ID는 회수하고 학습 기록·불빛은 보존. 새 문제의 정답·숙달로 자동 치환하지 않음.</ns0:t>
        </ns0:is>
      </ns0:c>
    </ns0:row>
    <ns0:row r="84" ht="38" customHeight="1">
      <ns0:c r="A84" s="10" t="n">
        <ns0:v>910083</ns0:v>
      </ns0:c>
      <ns0:c r="B84" s="10" t="n">
        <ns0:v>920083</ns0:v>
      </ns0:c>
      <ns0:c r="C84" s="10" t="inlineStr">
        <ns0:is>
          <ns0:t>자료가 독도의 바다숲과 함께 소개한 공간은?</ns0:t>
        </ns0:is>
      </ns0:c>
      <ns0:c r="D84" s="10" t="inlineStr">
        <ns0:is>
          <ns0:t>자료에서 독도 바다숲을 만드는 생물끼리 짝지은 것은 무엇인가요?</ns0:t>
        </ns0:is>
      </ns0:c>
      <ns0:c r="E84" s="10" t="inlineStr">
        <ns0:is>
          <ns0:t>이전 ID는 회수하고 학습 기록·불빛은 보존. 새 문제의 정답·숙달로 자동 치환하지 않음.</ns0:t>
        </ns0:is>
      </ns0:c>
    </ns0:row>
    <ns0:row r="85" ht="38" customHeight="1">
      <ns0:c r="A85" s="12" t="n">
        <ns0:v>910084</ns0:v>
      </ns0:c>
      <ns0:c r="B85" s="12" t="n">
        <ns0:v>920084</ns0:v>
      </ns0:c>
      <ns0:c r="C85" s="12" t="inlineStr">
        <ns0:is>
          <ns0:t>독도 바다숲을 미역 한 종류로만 설명하면?</ns0:t>
        </ns0:is>
      </ns0:c>
      <ns0:c r="D85" s="12" t="inlineStr">
        <ns0:is>
          <ns0:t>독도 바다숲의 변화를 조사할 때 직접 비교해야 할 것은 무엇인가요?</ns0:t>
        </ns0:is>
      </ns0:c>
      <ns0:c r="E85" s="12" t="inlineStr">
        <ns0:is>
          <ns0:t>이전 ID는 회수하고 학습 기록·불빛은 보존. 새 문제의 정답·숙달로 자동 치환하지 않음.</ns0:t>
        </ns0:is>
      </ns0:c>
    </ns0:row>
    <ns0:row r="86" ht="38" customHeight="1">
      <ns0:c r="A86" s="10" t="n">
        <ns0:v>910085</ns0:v>
      </ns0:c>
      <ns0:c r="B86" s="10" t="n">
        <ns0:v>920085</ns0:v>
      </ns0:c>
      <ns0:c r="C86" s="10" t="inlineStr">
        <ns0:is>
          <ns0:t>독도 주변에서 함께 만나는 흐름은?</ns0:t>
        </ns0:is>
      </ns0:c>
      <ns0:c r="D86" s="10" t="inlineStr">
        <ns0:is>
          <ns0:t>독도 주변에서 함께 만나는 바닷물의 흐름은 무엇인가요?</ns0:t>
        </ns0:is>
      </ns0:c>
      <ns0:c r="E86" s="10" t="inlineStr">
        <ns0:is>
          <ns0:t>이전 ID는 회수하고 학습 기록·불빛은 보존. 새 문제의 정답·숙달로 자동 치환하지 않음.</ns0:t>
        </ns0:is>
      </ns0:c>
    </ns0:row>
    <ns0:row r="87" ht="38" customHeight="1">
      <ns0:c r="A87" s="12" t="n">
        <ns0:v>910086</ns0:v>
      </ns0:c>
      <ns0:c r="B87" s="12" t="n">
        <ns0:v>920086</ns0:v>
      </ns0:c>
      <ns0:c r="C87" s="12" t="inlineStr">
        <ns0:is>
          <ns0:t>바닷물이 위아래로 섞이면 옮겨질 수 있는 것은?</ns0:t>
        </ns0:is>
      </ns0:c>
      <ns0:c r="D87" s="12" t="inlineStr">
        <ns0:is>
          <ns0:t>독도 주변의 깊은 물이 위로 섞이면 식물플랑크톤에 무엇을 공급할 수 있나요?</ns0:t>
        </ns0:is>
      </ns0:c>
      <ns0:c r="E87" s="12" t="inlineStr">
        <ns0:is>
          <ns0:t>이전 ID는 회수하고 학습 기록·불빛은 보존. 새 문제의 정답·숙달로 자동 치환하지 않음.</ns0:t>
        </ns0:is>
      </ns0:c>
    </ns0:row>
    <ns0:row r="88" ht="38" customHeight="1">
      <ns0:c r="A88" s="10" t="n">
        <ns0:v>910087</ns0:v>
      </ns0:c>
      <ns0:c r="B88" s="10" t="n">
        <ns0:v>920087</ns0:v>
      </ns0:c>
      <ns0:c r="C88" s="10" t="inlineStr">
        <ns0:is>
          <ns0:t>자료의 섬효과 과정과 맞는 연결은?</ns0:t>
        </ns0:is>
      </ns0:c>
      <ns0:c r="D88" s="10" t="inlineStr">
        <ns0:is>
          <ns0:t>독도 주변 바닷물 혼합과 영양분 공급의 순서는 무엇인가요?</ns0:t>
        </ns0:is>
      </ns0:c>
      <ns0:c r="E88" s="10" t="inlineStr">
        <ns0:is>
          <ns0:t>이전 ID는 회수하고 학습 기록·불빛은 보존. 새 문제의 정답·숙달로 자동 치환하지 않음.</ns0:t>
        </ns0:is>
      </ns0:c>
    </ns0:row>
    <ns0:row r="89" ht="38" customHeight="1">
      <ns0:c r="A89" s="12" t="n">
        <ns0:v>910088</ns0:v>
      </ns0:c>
      <ns0:c r="B89" s="12" t="n">
        <ns0:v>920088</ns0:v>
      </ns0:c>
      <ns0:c r="C89" s="12" t="inlineStr">
        <ns0:is>
          <ns0:t>섬효과가 있으니 독도 바다는 항상 같다고 하면?</ns0:t>
        </ns0:is>
      </ns0:c>
      <ns0:c r="D89" s="12" t="inlineStr">
        <ns0:is>
          <ns0:t>독도 주변에서 물의 혼합이 줄면 가장 먼저 확인할 변화는 무엇인가요?</ns0:t>
        </ns0:is>
      </ns0:c>
      <ns0:c r="E89" s="12" t="inlineStr">
        <ns0:is>
          <ns0:t>이전 ID는 회수하고 학습 기록·불빛은 보존. 새 문제의 정답·숙달로 자동 치환하지 않음.</ns0:t>
        </ns0:is>
      </ns0:c>
    </ns0:row>
    <ns0:row r="90" ht="38" customHeight="1">
      <ns0:c r="A90" s="10" t="n">
        <ns0:v>910089</ns0:v>
      </ns0:c>
      <ns0:c r="B90" s="10" t="n">
        <ns0:v>920089</ns0:v>
      </ns0:c>
      <ns0:c r="C90" s="10" t="inlineStr">
        <ns0:is>
          <ns0:t>독도 바다 먹이 관계의 작은 바탕 생물은?</ns0:t>
        </ns0:is>
      </ns0:c>
      <ns0:c r="D90" s="10" t="inlineStr">
        <ns0:is>
          <ns0:t>독도 바다 먹이 관계의 바탕이 되는 작은 광합성 생물은 무엇인가요?</ns0:t>
        </ns0:is>
      </ns0:c>
      <ns0:c r="E90" s="10" t="inlineStr">
        <ns0:is>
          <ns0:t>이전 ID는 회수하고 학습 기록·불빛은 보존. 새 문제의 정답·숙달로 자동 치환하지 않음.</ns0:t>
        </ns0:is>
      </ns0:c>
    </ns0:row>
    <ns0:row r="91" ht="38" customHeight="1">
      <ns0:c r="A91" s="12" t="n">
        <ns0:v>910090</ns0:v>
      </ns0:c>
      <ns0:c r="B91" s="12" t="n">
        <ns0:v>920090</ns0:v>
      </ns0:c>
      <ns0:c r="C91" s="12" t="inlineStr">
        <ns0:is>
          <ns0:t>식물플랑크톤 증가와 연결될 수 있는 것은?</ns0:t>
        </ns0:is>
      </ns0:c>
      <ns0:c r="D91" s="12" t="inlineStr">
        <ns0:is>
          <ns0:t>독도 바다의 먹이 연결에서 식물플랑크톤을 먹는 것은 무엇인가요?</ns0:t>
        </ns0:is>
      </ns0:c>
      <ns0:c r="E91" s="12" t="inlineStr">
        <ns0:is>
          <ns0:t>이전 ID는 회수하고 학습 기록·불빛은 보존. 새 문제의 정답·숙달로 자동 치환하지 않음.</ns0:t>
        </ns0:is>
      </ns0:c>
    </ns0:row>
    <ns0:row r="92" ht="38" customHeight="1">
      <ns0:c r="A92" s="10" t="n">
        <ns0:v>910091</ns0:v>
      </ns0:c>
      <ns0:c r="B92" s="10" t="n">
        <ns0:v>920091</ns0:v>
      </ns0:c>
      <ns0:c r="C92" s="10" t="inlineStr">
        <ns0:is>
          <ns0:t>자료의 순서에서 식물플랑크톤 다음 연결은?</ns0:t>
        </ns0:is>
      </ns0:c>
      <ns0:c r="D92" s="10" t="inlineStr">
        <ns0:is>
          <ns0:t>제시된 먹이 관계에서 동물플랑크톤을 먹는 생물은 무엇인가요?</ns0:t>
        </ns0:is>
      </ns0:c>
      <ns0:c r="E92" s="10" t="inlineStr">
        <ns0:is>
          <ns0:t>이전 ID는 회수하고 학습 기록·불빛은 보존. 새 문제의 정답·숙달로 자동 치환하지 않음.</ns0:t>
        </ns0:is>
      </ns0:c>
    </ns0:row>
    <ns0:row r="93" ht="38" customHeight="1">
      <ns0:c r="A93" s="12" t="n">
        <ns0:v>910092</ns0:v>
      </ns0:c>
      <ns0:c r="B93" s="12" t="n">
        <ns0:v>920092</ns0:v>
      </ns0:c>
      <ns0:c r="C93" s="12" t="inlineStr">
        <ns0:is>
          <ns0:t>‘성육장에 기여할 것으로 기대’의 바른 요약은?</ns0:t>
        </ns0:is>
      </ns0:c>
      <ns0:c r="D93" s="12" t="inlineStr">
        <ns0:is>
          <ns0:t>독도 바다에서 어린 물고기의 먹이 공급을 살피려면 함께 조사할 생물은 무엇인가요?</ns0:t>
        </ns0:is>
      </ns0:c>
      <ns0:c r="E93" s="12" t="inlineStr">
        <ns0:is>
          <ns0:t>이전 ID는 회수하고 학습 기록·불빛은 보존. 새 문제의 정답·숙달로 자동 치환하지 않음.</ns0:t>
        </ns0:is>
      </ns0:c>
    </ns0:row>
    <ns0:row r="94" ht="38" customHeight="1">
      <ns0:c r="A94" s="10" t="n">
        <ns0:v>910093</ns0:v>
      </ns0:c>
      <ns0:c r="B94" s="10" t="n">
        <ns0:v>920093</ns0:v>
      </ns0:c>
      <ns0:c r="C94" s="10" t="inlineStr">
        <ns0:is>
          <ns0:t>옛 독도 바다에 살았던 동물은?</ns0:t>
        </ns0:is>
      </ns0:c>
      <ns0:c r="D94" s="10" t="inlineStr">
        <ns0:is>
          <ns0:t>과거 독도에 무리 지어 살았지만 사라진 바다 포유류는 무엇인가요?</ns0:t>
        </ns0:is>
      </ns0:c>
      <ns0:c r="E94" s="10" t="inlineStr">
        <ns0:is>
          <ns0:t>이전 ID는 회수하고 학습 기록·불빛은 보존. 새 문제의 정답·숙달로 자동 치환하지 않음.</ns0:t>
        </ns0:is>
      </ns0:c>
    </ns0:row>
    <ns0:row r="95" ht="38" customHeight="1">
      <ns0:c r="A95" s="12" t="n">
        <ns0:v>910094</ns0:v>
      </ns0:c>
      <ns0:c r="B95" s="12" t="n">
        <ns0:v>920094</ns0:v>
      </ns0:c>
      <ns0:c r="C95" s="12" t="inlineStr">
        <ns0:is>
          <ns0:t>연구가 강치 감소와 연결한 사람의 행동은?</ns0:t>
        </ns0:is>
      </ns0:c>
      <ns0:c r="D95" s="12" t="inlineStr">
        <ns0:is>
          <ns0:t>독도 강치를 크게 줄어들게 한 인간 활동은 무엇인가요?</ns0:t>
        </ns0:is>
      </ns0:c>
      <ns0:c r="E95" s="12" t="inlineStr">
        <ns0:is>
          <ns0:t>이전 ID는 회수하고 학습 기록·불빛은 보존. 새 문제의 정답·숙달로 자동 치환하지 않음.</ns0:t>
        </ns0:is>
      </ns0:c>
    </ns0:row>
    <ns0:row r="96" ht="38" customHeight="1">
      <ns0:c r="A96" s="10" t="n">
        <ns0:v>910095</ns0:v>
      </ns0:c>
      <ns0:c r="B96" s="10" t="n">
        <ns0:v>920095</ns0:v>
      </ns0:c>
      <ns0:c r="C96" s="10" t="inlineStr">
        <ns0:is>
          <ns0:t>자료가 강치의 과거 개체 수를 살핀 방법은?</ns0:t>
        </ns0:is>
      </ns0:c>
      <ns0:c r="D96" s="10" t="inlineStr">
        <ns0:is>
          <ns0:t>독도 강치 연구가 이용한 과거 인간 활동 기록은 무엇인가요?</ns0:t>
        </ns0:is>
      </ns0:c>
      <ns0:c r="E96" s="10" t="inlineStr">
        <ns0:is>
          <ns0:t>이전 ID는 회수하고 학습 기록·불빛은 보존. 새 문제의 정답·숙달로 자동 치환하지 않음.</ns0:t>
        </ns0:is>
      </ns0:c>
    </ns0:row>
    <ns0:row r="97" ht="38" customHeight="1">
      <ns0:c r="A97" s="12" t="n">
        <ns0:v>910096</ns0:v>
      </ns0:c>
      <ns0:c r="B97" s="12" t="n">
        <ns0:v>920096</ns0:v>
      </ns0:c>
      <ns0:c r="C97" s="12" t="inlineStr">
        <ns0:is>
          <ns0:t>연구를 ‘남획 외 요인은 전부 불가능’이라 요약하면?</ns0:t>
        </ns0:is>
      </ns0:c>
      <ns0:c r="D97" s="12" t="inlineStr">
        <ns0:is>
          <ns0:t>강치 모형에서 포획 압력이 커질 때 직접 늘어나는 항목은 무엇인가요?</ns0:t>
        </ns0:is>
      </ns0:c>
      <ns0:c r="E97" s="12" t="inlineStr">
        <ns0:is>
          <ns0:t>이전 ID는 회수하고 학습 기록·불빛은 보존. 새 문제의 정답·숙달로 자동 치환하지 않음.</ns0:t>
        </ns0:is>
      </ns0:c>
    </ns0:row>
    <ns0:row r="98" ht="38" customHeight="1">
      <ns0:c r="A98" s="10" t="n">
        <ns0:v>910097</ns0:v>
      </ns0:c>
      <ns0:c r="B98" s="10" t="n">
        <ns0:v>920097</ns0:v>
      </ns0:c>
      <ns0:c r="C98" s="10" t="inlineStr">
        <ns0:is>
          <ns0:t>옛 강치 수를 알아볼 때 쓸 자료는?</ns0:t>
        </ns0:is>
      </ns0:c>
      <ns0:c r="D98" s="10" t="inlineStr">
        <ns0:is>
          <ns0:t>옛 강치 기록으로 당시 개체 수를 계산한 값은 무엇이라고 하나요?</ns0:t>
        </ns0:is>
      </ns0:c>
      <ns0:c r="E98" s="10" t="inlineStr">
        <ns0:is>
          <ns0:t>이전 ID는 회수하고 학습 기록·불빛은 보존. 새 문제의 정답·숙달로 자동 치환하지 않음.</ns0:t>
        </ns0:is>
      </ns0:c>
    </ns0:row>
    <ns0:row r="99" ht="38" customHeight="1">
      <ns0:c r="A99" s="12" t="n">
        <ns0:v>910098</ns0:v>
      </ns0:c>
      <ns0:c r="B99" s="12" t="n">
        <ns0:v>920098</ns0:v>
      </ns0:c>
      <ns0:c r="C99" s="12" t="inlineStr">
        <ns0:is>
          <ns0:t>연구 모델로 구한 강치 수는 무엇일까요?</ns0:t>
        </ns0:is>
      </ns0:c>
      <ns0:c r="D99" s="12" t="inlineStr">
        <ns0:is>
          <ns0:t>독도 강치의 ‘포획 수’는 무엇을 센 값인가요?</ns0:t>
        </ns0:is>
      </ns0:c>
      <ns0:c r="E99" s="12" t="inlineStr">
        <ns0:is>
          <ns0:t>이전 ID는 회수하고 학습 기록·불빛은 보존. 새 문제의 정답·숙달로 자동 치환하지 않음.</ns0:t>
        </ns0:is>
      </ns0:c>
    </ns0:row>
    <ns0:row r="100" ht="38" customHeight="1">
      <ns0:c r="A100" s="10" t="n">
        <ns0:v>910099</ns0:v>
      </ns0:c>
      <ns0:c r="B100" s="10" t="n">
        <ns0:v>920099</ns0:v>
      </ns0:c>
      <ns0:c r="C100" s="10" t="inlineStr">
        <ns0:is>
          <ns0:t>자료가 밝히는 연구의 한계는?</ns0:t>
        </ns0:is>
      </ns0:c>
      <ns0:c r="D100" s="10" t="inlineStr">
        <ns0:is>
          <ns0:t>‘모형으로 계산한 강치 수’에 붙일 올바른 자료 표시는 무엇인가요?</ns0:t>
        </ns0:is>
      </ns0:c>
      <ns0:c r="E100" s="10" t="inlineStr">
        <ns0:is>
          <ns0:t>이전 ID는 회수하고 학습 기록·불빛은 보존. 새 문제의 정답·숙달로 자동 치환하지 않음.</ns0:t>
        </ns0:is>
      </ns0:c>
    </ns0:row>
    <ns0:row r="101" ht="38" customHeight="1">
      <ns0:c r="A101" s="12" t="n">
        <ns0:v>910100</ns0:v>
      </ns0:c>
      <ns0:c r="B101" s="12" t="n">
        <ns0:v>920100</ns0:v>
      </ns0:c>
      <ns0:c r="C101" s="12" t="inlineStr">
        <ns0:is>
          <ns0:t>추정치를 당시 직접 센 확정값처럼 쓰면?</ns0:t>
        </ns0:is>
      </ns0:c>
      <ns0:c r="D101" s="12" t="inlineStr">
        <ns0:is>
          <ns0:t>강치 연구의 번식 가정이 달라졌을 때 다시 해야 할 일은 무엇인가요?</ns0:t>
        </ns0:is>
      </ns0:c>
      <ns0:c r="E101" s="12" t="inlineStr">
        <ns0:is>
          <ns0:t>이전 ID는 회수하고 학습 기록·불빛은 보존. 새 문제의 정답·숙달로 자동 치환하지 않음.</ns0:t>
        </ns0:is>
      </ns0:c>
    </ns0:row>
    <ns0:row r="102" ht="38" customHeight="1">
      <ns0:c r="A102" s="10" t="n">
        <ns0:v>910101</ns0:v>
      </ns0:c>
      <ns0:c r="B102" s="10" t="n">
        <ns0:v>920101</ns0:v>
      </ns0:c>
      <ns0:c r="C102" s="10" t="inlineStr">
        <ns0:is>
          <ns0:t>독도등대가 있는 섬은?</ns0:t>
        </ns0:is>
      </ns0:c>
      <ns0:c r="D102" s="10" t="inlineStr">
        <ns0:is>
          <ns0:t>독도등대는 어느 큰 섬에 있나요?</ns0:t>
        </ns0:is>
      </ns0:c>
      <ns0:c r="E102" s="10" t="inlineStr">
        <ns0:is>
          <ns0:t>이전 ID는 회수하고 학습 기록·불빛은 보존. 새 문제의 정답·숙달로 자동 치환하지 않음.</ns0:t>
        </ns0:is>
      </ns0:c>
    </ns0:row>
    <ns0:row r="103" ht="38" customHeight="1">
      <ns0:c r="A103" s="12" t="n">
        <ns0:v>910102</ns0:v>
      </ns0:c>
      <ns0:c r="B103" s="12" t="n">
        <ns0:v>920102</ns0:v>
      </ns0:c>
      <ns0:c r="C103" s="12" t="inlineStr">
        <ns0:is>
          <ns0:t>독도등대와 연결되는 역할은?</ns0:t>
        </ns0:is>
      </ns0:c>
      <ns0:c r="D103" s="12" t="inlineStr">
        <ns0:is>
          <ns0:t>독도등대가 바다를 지나는 배에 주는 도움은 무엇인가요?</ns0:t>
        </ns0:is>
      </ns0:c>
      <ns0:c r="E103" s="12" t="inlineStr">
        <ns0:is>
          <ns0:t>이전 ID는 회수하고 학습 기록·불빛은 보존. 새 문제의 정답·숙달로 자동 치환하지 않음.</ns0:t>
        </ns0:is>
      </ns0:c>
    </ns0:row>
    <ns0:row r="104" ht="38" customHeight="1">
      <ns0:c r="A104" s="10" t="n">
        <ns0:v>910103</ns0:v>
      </ns0:c>
      <ns0:c r="B104" s="10" t="n">
        <ns0:v>920103</ns0:v>
      </ns0:c>
      <ns0:c r="C104" s="10" t="inlineStr">
        <ns0:is>
          <ns0:t>시설 자료의 두 날짜를 바르게 읽으면?</ns0:t>
        </ns0:is>
      </ns0:c>
      <ns0:c r="D104" s="10" t="inlineStr">
        <ns0:is>
          <ns0:t>동도에서 빛을 이용해 항해를 돕는 시설의 이름은 무엇인가요?</ns0:t>
        </ns0:is>
      </ns0:c>
      <ns0:c r="E104" s="10" t="inlineStr">
        <ns0:is>
          <ns0:t>이전 ID는 회수하고 학습 기록·불빛은 보존. 새 문제의 정답·숙달로 자동 치환하지 않음.</ns0:t>
        </ns0:is>
      </ns0:c>
    </ns0:row>
    <ns0:row r="105" ht="38" customHeight="1">
      <ns0:c r="A105" s="12" t="n">
        <ns0:v>910104</ns0:v>
      </ns0:c>
      <ns0:c r="B105" s="12" t="n">
        <ns0:v>920104</ns0:v>
      </ns0:c>
      <ns0:c r="C105" s="12" t="inlineStr">
        <ns0:is>
          <ns0:t>등탑 높이 15m를 동도 높이로 표시하면?</ns0:t>
        </ns0:is>
      </ns0:c>
      <ns0:c r="D105" s="12" t="inlineStr">
        <ns0:is>
          <ns0:t>독도에서 배의 위치 파악과 섬에 닿는 일을 각각 돕는 시설은 무엇인가요?</ns0:t>
        </ns0:is>
      </ns0:c>
      <ns0:c r="E105" s="12" t="inlineStr">
        <ns0:is>
          <ns0:t>이전 ID는 회수하고 학습 기록·불빛은 보존. 새 문제의 정답·숙달로 자동 치환하지 않음.</ns0:t>
        </ns0:is>
      </ns0:c>
    </ns0:row>
    <ns0:row r="106" ht="38" customHeight="1">
      <ns0:c r="A106" s="10" t="n">
        <ns0:v>910105</ns0:v>
      </ns0:c>
      <ns0:c r="B106" s="10" t="n">
        <ns0:v>920105</ns0:v>
      </ns0:c>
      <ns0:c r="C106" s="10" t="inlineStr">
        <ns0:is>
          <ns0:t>배가 닿는 동도의 시설은?</ns0:t>
        </ns0:is>
      </ns0:c>
      <ns0:c r="D106" s="10" t="inlineStr">
        <ns0:is>
          <ns0:t>일반 탐방객이 배에서 내리는 독도 선착장은 어느 큰 섬에 있나요?</ns0:t>
        </ns0:is>
      </ns0:c>
      <ns0:c r="E106" s="10" t="inlineStr">
        <ns0:is>
          <ns0:t>이전 ID는 회수하고 학습 기록·불빛은 보존. 새 문제의 정답·숙달로 자동 치환하지 않음.</ns0:t>
        </ns0:is>
      </ns0:c>
    </ns0:row>
    <ns0:row r="107" ht="38" customHeight="1">
      <ns0:c r="A107" s="12" t="n">
        <ns0:v>910106</ns0:v>
      </ns0:c>
      <ns0:c r="B107" s="12" t="n">
        <ns0:v>920106</ns0:v>
      </ns0:c>
      <ns0:c r="C107" s="12" t="inlineStr">
        <ns0:is>
          <ns0:t>선착장과 등대를 바르게 연결하면?</ns0:t>
        </ns0:is>
      </ns0:c>
      <ns0:c r="D107" s="12" t="inlineStr">
        <ns0:is>
          <ns0:t>독도의 ‘접안시설’은 무엇을 하는 곳인가요?</ns0:t>
        </ns0:is>
      </ns0:c>
      <ns0:c r="E107" s="12" t="inlineStr">
        <ns0:is>
          <ns0:t>이전 ID는 회수하고 학습 기록·불빛은 보존. 새 문제의 정답·숙달로 자동 치환하지 않음.</ns0:t>
        </ns0:is>
      </ns0:c>
    </ns0:row>
    <ns0:row r="108" ht="38" customHeight="1">
      <ns0:c r="A108" s="10" t="n">
        <ns0:v>910107</ns0:v>
      </ns0:c>
      <ns0:c r="B108" s="10" t="n">
        <ns0:v>920107</ns0:v>
      </ns0:c>
      <ns0:c r="C108" s="10" t="inlineStr">
        <ns0:is>
          <ns0:t>안내에 따르면 일반 관람 장소는?</ns0:t>
        </ns0:is>
      </ns0:c>
      <ns0:c r="D108" s="10" t="inlineStr">
        <ns0:is>
          <ns0:t>시설 안내에서 길이 80m로 소개된 동도 시설은 무엇인가요?</ns0:t>
        </ns0:is>
      </ns0:c>
      <ns0:c r="E108" s="10" t="inlineStr">
        <ns0:is>
          <ns0:t>이전 ID는 회수하고 학습 기록·불빛은 보존. 새 문제의 정답·숙달로 자동 치환하지 않음.</ns0:t>
        </ns0:is>
      </ns0:c>
    </ns0:row>
    <ns0:row r="109" ht="38" customHeight="1">
      <ns0:c r="A109" s="12" t="n">
        <ns0:v>910108</ns0:v>
      </ns0:c>
      <ns0:c r="B109" s="12" t="n">
        <ns0:v>920108</ns0:v>
      </ns0:c>
      <ns0:c r="C109" s="12" t="inlineStr">
        <ns0:is>
          <ns0:t>선착장 도착이 정상까지 자유 출입을 뜻할까요?</ns0:t>
        </ns0:is>
      </ns0:c>
      <ns0:c r="D109" s="12" t="inlineStr">
        <ns0:is>
          <ns0:t>‘80m 접안시설’과 ‘두 섬 사이 151m’의 측정 대상은 어떻게 다른가요?</ns0:t>
        </ns0:is>
      </ns0:c>
      <ns0:c r="E109" s="12" t="inlineStr">
        <ns0:is>
          <ns0:t>이전 ID는 회수하고 학습 기록·불빛은 보존. 새 문제의 정답·숙달로 자동 치환하지 않음.</ns0:t>
        </ns0:is>
      </ns0:c>
    </ns0:row>
    <ns0:row r="110" ht="38" customHeight="1">
      <ns0:c r="A110" s="10" t="n">
        <ns0:v>910109</ns0:v>
      </ns0:c>
      <ns0:c r="B110" s="10" t="n">
        <ns0:v>920109</ns0:v>
      </ns0:c>
      <ns0:c r="C110" s="10" t="inlineStr">
        <ns0:is>
          <ns0:t>주민숙소가 소개된 큰 섬은?</ns0:t>
        </ns0:is>
      </ns0:c>
      <ns0:c r="D110" s="10" t="inlineStr">
        <ns0:is>
          <ns0:t>독도 주민숙소는 어느 큰 섬에 있나요?</ns0:t>
        </ns0:is>
      </ns0:c>
      <ns0:c r="E110" s="10" t="inlineStr">
        <ns0:is>
          <ns0:t>이전 ID는 회수하고 학습 기록·불빛은 보존. 새 문제의 정답·숙달로 자동 치환하지 않음.</ns0:t>
        </ns0:is>
      </ns0:c>
    </ns0:row>
    <ns0:row r="111" ht="38" customHeight="1">
      <ns0:c r="A111" s="12" t="n">
        <ns0:v>910110</ns0:v>
      </ns0:c>
      <ns0:c r="B111" s="12" t="n">
        <ns0:v>920110</ns0:v>
      </ns0:c>
      <ns0:c r="C111" s="12" t="inlineStr">
        <ns0:is>
          <ns0:t>두 섬의 시설을 바르게 연결하면?</ns0:t>
        </ns0:is>
      </ns0:c>
      <ns0:c r="D111" s="12" t="inlineStr">
        <ns0:is>
          <ns0:t>서도 주민숙소의 주된 기능은 무엇인가요?</ns0:t>
        </ns0:is>
      </ns0:c>
      <ns0:c r="E111" s="12" t="inlineStr">
        <ns0:is>
          <ns0:t>이전 ID는 회수하고 학습 기록·불빛은 보존. 새 문제의 정답·숙달로 자동 치환하지 않음.</ns0:t>
        </ns0:is>
      </ns0:c>
    </ns0:row>
    <ns0:row r="112" ht="38" customHeight="1">
      <ns0:c r="A112" s="10" t="n">
        <ns0:v>910111</ns0:v>
      </ns0:c>
      <ns0:c r="B112" s="10" t="n">
        <ns0:v>920111</ns0:v>
      </ns0:c>
      <ns0:c r="C112" s="10" t="inlineStr">
        <ns0:is>
          <ns0:t>자료가 구분해서 소개하는 두 숙소는?</ns0:t>
        </ns0:is>
      </ns0:c>
      <ns0:c r="D112" s="10" t="inlineStr">
        <ns0:is>
          <ns0:t>시설 목록에서 서도에 속하는 항목은 무엇인가요?</ns0:t>
        </ns0:is>
      </ns0:c>
      <ns0:c r="E112" s="10" t="inlineStr">
        <ns0:is>
          <ns0:t>이전 ID는 회수하고 학습 기록·불빛은 보존. 새 문제의 정답·숙달로 자동 치환하지 않음.</ns0:t>
        </ns0:is>
      </ns0:c>
    </ns0:row>
    <ns0:row r="113" ht="38" customHeight="1">
      <ns0:c r="A113" s="12" t="n">
        <ns0:v>910112</ns0:v>
      </ns0:c>
      <ns0:c r="B113" s="12" t="n">
        <ns0:v>920112</ns0:v>
      </ns0:c>
      <ns0:c r="C113" s="12" t="inlineStr">
        <ns0:is>
          <ns0:t>건물 사진만으로 현재 거주 인원을 정한다면?</ns0:t>
        </ns0:is>
      </ns0:c>
      <ns0:c r="D113" s="12" t="inlineStr">
        <ns0:is>
          <ns0:t>‘독도의 생활 시설은 모두 동도에 있다’는 설명을 고칠 근거는 무엇인가요?</ns0:t>
        </ns0:is>
      </ns0:c>
      <ns0:c r="E113" s="12" t="inlineStr">
        <ns0:is>
          <ns0:t>이전 ID는 회수하고 학습 기록·불빛은 보존. 새 문제의 정답·숙달로 자동 치환하지 않음.</ns0:t>
        </ns0:is>
      </ns0:c>
    </ns0:row>
    <ns0:row r="114" ht="38" customHeight="1">
      <ns0:c r="A114" s="10" t="n">
        <ns0:v>910113</ns0:v>
      </ns0:c>
      <ns0:c r="B114" s="10" t="n">
        <ns0:v>920113</ns0:v>
      </ns0:c>
      <ns0:c r="C114" s="10" t="inlineStr">
        <ns0:is>
          <ns0:t>독도 생활에 필요한 물을 마련하는 시설은?</ns0:t>
        </ns0:is>
      </ns0:c>
      <ns0:c r="D114" s="10" t="inlineStr">
        <ns0:is>
          <ns0:t>독도에서 바닷물을 생활에 쓸 물로 바꾸는 시설은 무엇인가요?</ns0:t>
        </ns0:is>
      </ns0:c>
      <ns0:c r="E114" s="10" t="inlineStr">
        <ns0:is>
          <ns0:t>이전 ID는 회수하고 학습 기록·불빛은 보존. 새 문제의 정답·숙달로 자동 치환하지 않음.</ns0:t>
        </ns0:is>
      </ns0:c>
    </ns0:row>
    <ns0:row r="115" ht="38" customHeight="1">
      <ns0:c r="A115" s="12" t="n">
        <ns0:v>910114</ns0:v>
      </ns0:c>
      <ns0:c r="B115" s="12" t="n">
        <ns0:v>920114</ns0:v>
      </ns0:c>
      <ns0:c r="C115" s="12" t="inlineStr">
        <ns0:is>
          <ns0:t>담수시설이 돕는 일은?</ns0:t>
        </ns0:is>
      </ns0:c>
      <ns0:c r="D115" s="12" t="inlineStr">
        <ns0:is>
          <ns0:t>바닷물을 담수화할 때 주로 줄이려는 성분은 무엇인가요?</ns0:t>
        </ns0:is>
      </ns0:c>
      <ns0:c r="E115" s="12" t="inlineStr">
        <ns0:is>
          <ns0:t>이전 ID는 회수하고 학습 기록·불빛은 보존. 새 문제의 정답·숙달로 자동 치환하지 않음.</ns0:t>
        </ns0:is>
      </ns0:c>
    </ns0:row>
    <ns0:row r="116" ht="38" customHeight="1">
      <ns0:c r="A116" s="10" t="n">
        <ns0:v>910115</ns0:v>
      </ns0:c>
      <ns0:c r="B116" s="10" t="n">
        <ns0:v>920115</ns0:v>
      </ns0:c>
      <ns0:c r="C116" s="10" t="inlineStr">
        <ns0:is>
          <ns0:t>물골과 담수시설을 함께 읽으면 무엇을 알까요?</ns0:t>
        </ns0:is>
      </ns0:c>
      <ns0:c r="D116" s="10" t="inlineStr">
        <ns0:is>
          <ns0:t>독도의 물 공급에서 자연 식수원과 처리 시설을 바르게 짝지은 것은 무엇인가요?</ns0:t>
        </ns0:is>
      </ns0:c>
      <ns0:c r="E116" s="10" t="inlineStr">
        <ns0:is>
          <ns0:t>이전 ID는 회수하고 학습 기록·불빛은 보존. 새 문제의 정답·숙달로 자동 치환하지 않음.</ns0:t>
        </ns0:is>
      </ns0:c>
    </ns0:row>
    <ns0:row r="117" ht="38" customHeight="1">
      <ns0:c r="A117" s="12" t="n">
        <ns0:v>910116</ns0:v>
      </ns0:c>
      <ns0:c r="B117" s="12" t="n">
        <ns0:v>920116</ns0:v>
      </ns0:c>
      <ns0:c r="C117" s="12" t="inlineStr">
        <ns0:is>
          <ns0:t>시설의 하루 생산량이 실제 하루 사용량일까요?</ns0:t>
        </ns0:is>
      </ns0:c>
      <ns0:c r="D117" s="12" t="inlineStr">
        <ns0:is>
          <ns0:t>바닷물에서 모래만 걸렀다면 독도 생활용 담수를 만든 것인가요?</ns0:t>
        </ns0:is>
      </ns0:c>
      <ns0:c r="E117" s="12" t="inlineStr">
        <ns0:is>
          <ns0:t>이전 ID는 회수하고 학습 기록·불빛은 보존. 새 문제의 정답·숙달로 자동 치환하지 않음.</ns0:t>
        </ns0:is>
      </ns0:c>
    </ns0:row>
    <ns0:row r="118" ht="38" customHeight="1">
      <ns0:c r="A118" s="10" t="n">
        <ns0:v>910117</ns0:v>
      </ns0:c>
      <ns0:c r="B118" s="10" t="n">
        <ns0:v>920117</ns0:v>
      </ns0:c>
      <ns0:c r="C118" s="10" t="inlineStr">
        <ns0:is>
          <ns0:t>동도 선착장에서 위쪽으로 이어지는 것은?</ns0:t>
        </ns0:is>
      </ns0:c>
      <ns0:c r="D118" s="10" t="inlineStr">
        <ns0:is>
          <ns0:t>동도 선착장에서 위쪽 시설로 걸어갈 때 이용하는 길은 무엇인가요?</ns0:t>
        </ns0:is>
      </ns0:c>
      <ns0:c r="E118" s="10" t="inlineStr">
        <ns0:is>
          <ns0:t>이전 ID는 회수하고 학습 기록·불빛은 보존. 새 문제의 정답·숙달로 자동 치환하지 않음.</ns0:t>
        </ns0:is>
      </ns0:c>
    </ns0:row>
    <ns0:row r="119" ht="38" customHeight="1">
      <ns0:c r="A119" s="12" t="n">
        <ns0:v>910118</ns0:v>
      </ns0:c>
      <ns0:c r="B119" s="12" t="n">
        <ns0:v>920118</ns0:v>
      </ns0:c>
      <ns0:c r="C119" s="12" t="inlineStr">
        <ns0:is>
          <ns0:t>동도 길이 굽어 이어지는 이유와 맞는 것은?</ns0:t>
        </ns0:is>
      </ns0:c>
      <ns0:c r="D119" s="12" t="inlineStr">
        <ns0:is>
          <ns0:t>동도 경사면의 계단은 선착장과 어느 곳을 연결하나요?</ns0:t>
        </ns0:is>
      </ns0:c>
      <ns0:c r="E119" s="12" t="inlineStr">
        <ns0:is>
          <ns0:t>이전 ID는 회수하고 학습 기록·불빛은 보존. 새 문제의 정답·숙달로 자동 치환하지 않음.</ns0:t>
        </ns0:is>
      </ns0:c>
    </ns0:row>
    <ns0:row r="120" ht="38" customHeight="1">
      <ns0:c r="A120" s="10" t="n">
        <ns0:v>910119</ns0:v>
      </ns0:c>
      <ns0:c r="B120" s="10" t="n">
        <ns0:v>920119</ns0:v>
      </ns0:c>
      <ns0:c r="C120" s="10" t="inlineStr">
        <ns0:is>
          <ns0:t>자료의 796m가 가리키는 것은?</ns0:t>
        </ns0:is>
      </ns0:c>
      <ns0:c r="D120" s="10" t="inlineStr">
        <ns0:is>
          <ns0:t>동도 선착장과 경비대 사이 시설로 안내된 것은 무엇인가요?</ns0:t>
        </ns0:is>
      </ns0:c>
      <ns0:c r="E120" s="10" t="inlineStr">
        <ns0:is>
          <ns0:t>이전 ID는 회수하고 학습 기록·불빛은 보존. 새 문제의 정답·숙달로 자동 치환하지 않음.</ns0:t>
        </ns0:is>
      </ns0:c>
    </ns0:row>
    <ns0:row r="121" ht="38" customHeight="1">
      <ns0:c r="A121" s="12" t="n">
        <ns0:v>910120</ns0:v>
      </ns0:c>
      <ns0:c r="B121" s="12" t="n">
        <ns0:v>920120</ns0:v>
      </ns0:c>
      <ns0:c r="C121" s="12" t="inlineStr">
        <ns0:is>
          <ns0:t>두 지점 직선 길이와 등반로 길이가 다르다면?</ns0:t>
        </ns0:is>
      </ns0:c>
      <ns0:c r="D121" s="12" t="inlineStr">
        <ns0:is>
          <ns0:t>동도 선착장부터 정상 시설까지 실제 이동 거리를 알아보려면 무엇을 재야 하나요?</ns0:t>
        </ns0:is>
      </ns0:c>
      <ns0:c r="E121" s="12" t="inlineStr">
        <ns0:is>
          <ns0:t>이전 ID는 회수하고 학습 기록·불빛은 보존. 새 문제의 정답·숙달로 자동 치환하지 않음.</ns0:t>
        </ns0:is>
      </ns0:c>
    </ns0:row>
    <ns0:row r="122" ht="38" customHeight="1">
      <ns0:c r="A122" s="10" t="n">
        <ns0:v>910121</ns0:v>
      </ns0:c>
      <ns0:c r="B122" s="10" t="n">
        <ns0:v>920121</ns0:v>
      </ns0:c>
      <ns0:c r="C122" s="10" t="inlineStr">
        <ns0:is>
          <ns0:t>우산·무릉 두 섬을 적은 옛 기록은?</ns0:t>
        </ns0:is>
      </ns0:c>
      <ns0:c r="D122" s="10" t="inlineStr">
        <ns0:is>
          <ns0:t>우산·무릉 두 섬을 기록한 조선의 지리 기록은 무엇인가요?</ns0:t>
        </ns0:is>
      </ns0:c>
      <ns0:c r="E122" s="10" t="inlineStr">
        <ns0:is>
          <ns0:t>이전 ID는 회수하고 학습 기록·불빛은 보존. 새 문제의 정답·숙달로 자동 치환하지 않음.</ns0:t>
        </ns0:is>
      </ns0:c>
    </ns0:row>
    <ns0:row r="123" ht="38" customHeight="1">
      <ns0:c r="A123" s="12" t="n">
        <ns0:v>910122</ns0:v>
      </ns0:c>
      <ns0:c r="B123" s="12" t="n">
        <ns0:v>920122</ns0:v>
      </ns0:c>
      <ns0:c r="C123" s="12" t="inlineStr">
        <ns0:is>
          <ns0:t>옛 지리지와 현재 지도를 함께 보는 까닭은?</ns0:t>
        </ns0:is>
      </ns0:c>
      <ns0:c r="D123" s="12" t="inlineStr">
        <ns0:is>
          <ns0:t>『세종실록』 지리지의 ‘무릉’은 오늘날 어느 섬으로 풀이되나요?</ns0:t>
        </ns0:is>
      </ns0:c>
      <ns0:c r="E123" s="12" t="inlineStr">
        <ns0:is>
          <ns0:t>이전 ID는 회수하고 학습 기록·불빛은 보존. 새 문제의 정답·숙달로 자동 치환하지 않음.</ns0:t>
        </ns0:is>
      </ns0:c>
    </ns0:row>
    <ns0:row r="124" ht="38" customHeight="1">
      <ns0:c r="A124" s="10" t="n">
        <ns0:v>910123</ns0:v>
      </ns0:c>
      <ns0:c r="B124" s="10" t="n">
        <ns0:v>920123</ns0:v>
      </ns0:c>
      <ns0:c r="C124" s="10" t="inlineStr">
        <ns0:is>
          <ns0:t>자료의 괄호 안 ‘독도·울릉도’는 무엇인가요?</ns0:t>
        </ns0:is>
      </ns0:c>
      <ns0:c r="D124" s="10" t="inlineStr">
        <ns0:is>
          <ns0:t>『세종실록』 지리지는 두 섬을 볼 수 있는 때를 어떻게 설명하나요?</ns0:t>
        </ns0:is>
      </ns0:c>
      <ns0:c r="E124" s="10" t="inlineStr">
        <ns0:is>
          <ns0:t>이전 ID는 회수하고 학습 기록·불빛은 보존. 새 문제의 정답·숙달로 자동 치환하지 않음.</ns0:t>
        </ns0:is>
      </ns0:c>
    </ns0:row>
    <ns0:row r="125" ht="38" customHeight="1">
      <ns0:c r="A125" s="12" t="n">
        <ns0:v>910124</ns0:v>
      </ns0:c>
      <ns0:c r="B125" s="12" t="n">
        <ns0:v>920124</ns0:v>
      </ns0:c>
      <ns0:c r="C125" s="12" t="inlineStr">
        <ns0:is>
          <ns0:t>원문 지명과 현대 해설을 인용할 때 맞는 방법은?</ns0:t>
        </ns0:is>
      </ns0:c>
      <ns0:c r="D125" s="12" t="inlineStr">
        <ns0:is>
          <ns0:t>지명 대응표에 따라 ‘우산·무릉’을 현대 지명 순서로 바꾸면 무엇인가요?</ns0:t>
        </ns0:is>
      </ns0:c>
      <ns0:c r="E125" s="12" t="inlineStr">
        <ns0:is>
          <ns0:t>이전 ID는 회수하고 학습 기록·불빛은 보존. 새 문제의 정답·숙달로 자동 치환하지 않음.</ns0:t>
        </ns0:is>
      </ns0:c>
    </ns0:row>
    <ns0:row r="126" ht="38" customHeight="1">
      <ns0:c r="A126" s="10" t="n">
        <ns0:v>910125</ns0:v>
      </ns0:c>
      <ns0:c r="B126" s="10" t="n">
        <ns0:v>920125</ns0:v>
      </ns0:c>
      <ns0:c r="C126" s="10" t="inlineStr">
        <ns0:is>
          <ns0:t>‘관찬서’는 누가 만든 책일까요?</ns0:t>
        </ns0:is>
      </ns0:c>
      <ns0:c r="D126" s="10" t="inlineStr">
        <ns0:is>
          <ns0:t>『세종실록』 지리지를 만든 나라는 어디인가요?</ns0:t>
        </ns0:is>
      </ns0:c>
      <ns0:c r="E126" s="10" t="inlineStr">
        <ns0:is>
          <ns0:t>이전 ID는 회수하고 학습 기록·불빛은 보존. 새 문제의 정답·숙달로 자동 치환하지 않음.</ns0:t>
        </ns0:is>
      </ns0:c>
    </ns0:row>
    <ns0:row r="127" ht="38" customHeight="1">
      <ns0:c r="A127" s="12" t="n">
        <ns0:v>910126</ns0:v>
      </ns0:c>
      <ns0:c r="B127" s="12" t="n">
        <ns0:v>920126</ns0:v>
      </ns0:c>
      <ns0:c r="C127" s="12" t="inlineStr">
        <ns0:is>
          <ns0:t>독도 관련 옛 지리지를 읽으면 알 수 있는 것은?</ns0:t>
        </ns0:is>
      </ns0:c>
      <ns0:c r="D127" s="12" t="inlineStr">
        <ns0:is>
          <ns0:t>『세종실록』의 ‘지리지’는 주로 무엇을 설명한 부분인가요?</ns0:t>
        </ns0:is>
      </ns0:c>
      <ns0:c r="E127" s="12" t="inlineStr">
        <ns0:is>
          <ns0:t>이전 ID는 회수하고 학습 기록·불빛은 보존. 새 문제의 정답·숙달로 자동 치환하지 않음.</ns0:t>
        </ns0:is>
      </ns0:c>
    </ns0:row>
    <ns0:row r="128" ht="38" customHeight="1">
      <ns0:c r="A128" s="10" t="n">
        <ns0:v>910127</ns0:v>
      </ns0:c>
      <ns0:c r="B128" s="10" t="n">
        <ns0:v>920127</ns0:v>
      </ns0:c>
      <ns0:c r="C128" s="10" t="inlineStr">
        <ns0:is>
          <ns0:t>관찬 지리지라는 자료 성격과 맞는 것은?</ns0:t>
        </ns0:is>
      </ns0:c>
      <ns0:c r="D128" s="10" t="inlineStr">
        <ns0:is>
          <ns0:t>『세종실록』 지리지의 두 섬 기록에서 확인할 수 있는 사실은 무엇인가요?</ns0:t>
        </ns0:is>
      </ns0:c>
      <ns0:c r="E128" s="10" t="inlineStr">
        <ns0:is>
          <ns0:t>이전 ID는 회수하고 학습 기록·불빛은 보존. 새 문제의 정답·숙달로 자동 치환하지 않음.</ns0:t>
        </ns0:is>
      </ns0:c>
    </ns0:row>
    <ns0:row r="129" ht="38" customHeight="1">
      <ns0:c r="A129" s="12" t="n">
        <ns0:v>910128</ns0:v>
      </ns0:c>
      <ns0:c r="B129" s="12" t="n">
        <ns0:v>920128</ns0:v>
      </ns0:c>
      <ns0:c r="C129" s="12" t="inlineStr">
        <ns0:is>
          <ns0:t>옛 지리지로 오늘의 방문 가능 여부를 정한다면?</ns0:t>
        </ns0:is>
      </ns0:c>
      <ns0:c r="D129" s="12" t="inlineStr">
        <ns0:is>
          <ns0:t>『세종실록』 지리지로 독도 관련 역사를 설명할 때 어떤 정보를 먼저 밝혀야 하나요?</ns0:t>
        </ns0:is>
      </ns0:c>
      <ns0:c r="E129" s="12" t="inlineStr">
        <ns0:is>
          <ns0:t>이전 ID는 회수하고 학습 기록·불빛은 보존. 새 문제의 정답·숙달로 자동 치환하지 않음.</ns0:t>
        </ns0:is>
      </ns0:c>
    </ns0:row>
    <ns0:row r="130" ht="38" customHeight="1">
      <ns0:c r="A130" s="10" t="n">
        <ns0:v>910129</ns0:v>
      </ns0:c>
      <ns0:c r="B130" s="10" t="n">
        <ns0:v>920129</ns0:v>
      </ns0:c>
      <ns0:c r="C130" s="10" t="inlineStr">
        <ns0:is>
          <ns0:t>1693년 사건과 관련된 인물은?</ns0:t>
        </ns0:is>
      </ns0:c>
      <ns0:c r="D130" s="10" t="inlineStr">
        <ns0:is>
          <ns0:t>1693년 울릉도에서 박어둔과 함께 일본으로 끌려간 사람은 누구인가요?</ns0:t>
        </ns0:is>
      </ns0:c>
      <ns0:c r="E130" s="10" t="inlineStr">
        <ns0:is>
          <ns0:t>이전 ID는 회수하고 학습 기록·불빛은 보존. 새 문제의 정답·숙달로 자동 치환하지 않음.</ns0:t>
        </ns0:is>
      </ns0:c>
    </ns0:row>
    <ns0:row r="131" ht="38" customHeight="1">
      <ns0:c r="A131" s="12" t="n">
        <ns0:v>910130</ns0:v>
      </ns0:c>
      <ns0:c r="B131" s="12" t="n">
        <ns0:v>920130</ns0:v>
      </ns0:c>
      <ns0:c r="C131" s="12" t="inlineStr">
        <ns0:is>
          <ns0:t>안용복의 1693년 사건이 시작된 섬은?</ns0:t>
        </ns0:is>
      </ns0:c>
      <ns0:c r="D131" s="12" t="inlineStr">
        <ns0:is>
          <ns0:t>1693년 안용복과 박어둔이 어업을 하던 섬은 어디인가요?</ns0:t>
        </ns0:is>
      </ns0:c>
      <ns0:c r="E131" s="12" t="inlineStr">
        <ns0:is>
          <ns0:t>이전 ID는 회수하고 학습 기록·불빛은 보존. 새 문제의 정답·숙달로 자동 치환하지 않음.</ns0:t>
        </ns0:is>
      </ns0:c>
    </ns0:row>
    <ns0:row r="132" ht="38" customHeight="1">
      <ns0:c r="A132" s="10" t="n">
        <ns0:v>910131</ns0:v>
      </ns0:c>
      <ns0:c r="B132" s="10" t="n">
        <ns0:v>920131</ns0:v>
      </ns0:c>
      <ns0:c r="C132" s="10" t="inlineStr">
        <ns0:is>
          <ns0:t>자료가 말하는 사건의 순서는?</ns0:t>
        </ns0:is>
      </ns0:c>
      <ns0:c r="D132" s="10" t="inlineStr">
        <ns0:is>
          <ns0:t>1693년 두 어민 사건 뒤 교섭의 대상이 된 섬은 어디인가요?</ns0:t>
        </ns0:is>
      </ns0:c>
      <ns0:c r="E132" s="10" t="inlineStr">
        <ns0:is>
          <ns0:t>이전 ID는 회수하고 학습 기록·불빛은 보존. 새 문제의 정답·숙달로 자동 치환하지 않음.</ns0:t>
        </ns0:is>
      </ns0:c>
    </ns0:row>
    <ns0:row r="133" ht="38" customHeight="1">
      <ns0:c r="A133" s="12" t="n">
        <ns0:v>910132</ns0:v>
      </ns0:c>
      <ns0:c r="B133" s="12" t="n">
        <ns0:v>920132</ns0:v>
      </ns0:c>
      <ns0:c r="C133" s="12" t="inlineStr">
        <ns0:is>
          <ns0:t>1693년 사건을 1696년 도일과 같은 일로 쓰면?</ns0:t>
        </ns0:is>
      </ns0:c>
      <ns0:c r="D133" s="12" t="inlineStr">
        <ns0:is>
          <ns0:t>안용복의 1693년 사건과 1696년 활동을 구분한 것은 무엇인가요?</ns0:t>
        </ns0:is>
      </ns0:c>
      <ns0:c r="E133" s="12" t="inlineStr">
        <ns0:is>
          <ns0:t>이전 ID는 회수하고 학습 기록·불빛은 보존. 새 문제의 정답·숙달로 자동 치환하지 않음.</ns0:t>
        </ns0:is>
      </ns0:c>
    </ns0:row>
    <ns0:row r="134" ht="38" customHeight="1">
      <ns0:c r="A134" s="10" t="n">
        <ns0:v>910133</ns0:v>
      </ns0:c>
      <ns0:c r="B134" s="10" t="n">
        <ns0:v>920133</ns0:v>
      </ns0:c>
      <ns0:c r="C134" s="10" t="inlineStr">
        <ns0:is>
          <ns0:t>안용복 관련 조선의 기록은?</ns0:t>
        </ns0:is>
      </ns0:c>
      <ns0:c r="D134" s="10" t="inlineStr">
        <ns0:is>
          <ns0:t>안용복의 활동을 기록한 조선의 실록은 무엇인가요?</ns0:t>
        </ns0:is>
      </ns0:c>
      <ns0:c r="E134" s="10" t="inlineStr">
        <ns0:is>
          <ns0:t>이전 ID는 회수하고 학습 기록·불빛은 보존. 새 문제의 정답·숙달로 자동 치환하지 않음.</ns0:t>
        </ns0:is>
      </ns0:c>
    </ns0:row>
    <ns0:row r="135" ht="38" customHeight="1">
      <ns0:c r="A135" s="12" t="n">
        <ns0:v>910134</ns0:v>
      </ns0:c>
      <ns0:c r="B135" s="12" t="n">
        <ns0:v>920134</ns0:v>
      </ns0:c>
      <ns0:c r="C135" s="12" t="inlineStr">
        <ns0:is>
          <ns0:t>조선과 일본의 기록을 함께 보는 까닭은?</ns0:t>
        </ns0:is>
      </ns0:c>
      <ns0:c r="D135" s="12" t="inlineStr">
        <ns0:is>
          <ns0:t>1696년 안용복 일행을 조사한 일본 측 기록은 어느 섬과 관련되나요?</ns0:t>
        </ns0:is>
      </ns0:c>
      <ns0:c r="E135" s="12" t="inlineStr">
        <ns0:is>
          <ns0:t>이전 ID는 회수하고 학습 기록·불빛은 보존. 새 문제의 정답·숙달로 자동 치환하지 않음.</ns0:t>
        </ns0:is>
      </ns0:c>
    </ns0:row>
    <ns0:row r="136" ht="38" customHeight="1">
      <ns0:c r="A136" s="10" t="n">
        <ns0:v>910135</ns0:v>
      </ns0:c>
      <ns0:c r="B136" s="10" t="n">
        <ns0:v>920135</ns0:v>
      </ns0:c>
      <ns0:c r="C136" s="10" t="inlineStr">
        <ns0:is>
          <ns0:t>제시된 두 기록을 비교할 항목은?</ns0:t>
        </ns0:is>
      </ns0:c>
      <ns0:c r="D136" s="10" t="inlineStr">
        <ns0:is>
          <ns0:t>1696년 안용복 활동을 양쪽 기록으로 비교할 때 짝지을 자료는 무엇인가요?</ns0:t>
        </ns0:is>
      </ns0:c>
      <ns0:c r="E136" s="10" t="inlineStr">
        <ns0:is>
          <ns0:t>이전 ID는 회수하고 학습 기록·불빛은 보존. 새 문제의 정답·숙달로 자동 치환하지 않음.</ns0:t>
        </ns0:is>
      </ns0:c>
    </ns0:row>
    <ns0:row r="137" ht="38" customHeight="1">
      <ns0:c r="A137" s="12" t="n">
        <ns0:v>910136</ns0:v>
      </ns0:c>
      <ns0:c r="B137" s="12" t="n">
        <ns0:v>920136</ns0:v>
      </ns0:c>
      <ns0:c r="C137" s="12" t="inlineStr">
        <ns0:is>
          <ns0:t>두 기록이 있으니 모든 세부가 일치한다고 하면?</ns0:t>
        </ns0:is>
      </ns0:c>
      <ns0:c r="D137" s="12" t="inlineStr">
        <ns0:is>
          <ns0:t>두 안용복 기록에서 같은 사건을 대조하려면 무엇을 먼저 맞춰야 하나요?</ns0:t>
        </ns0:is>
      </ns0:c>
      <ns0:c r="E137" s="12" t="inlineStr">
        <ns0:is>
          <ns0:t>이전 ID는 회수하고 학습 기록·불빛은 보존. 새 문제의 정답·숙달로 자동 치환하지 않음.</ns0:t>
        </ns0:is>
      </ns0:c>
    </ns0:row>
    <ns0:row r="138" ht="38" customHeight="1">
      <ns0:c r="A138" s="10" t="n">
        <ns0:v>910137</ns0:v>
      </ns0:c>
      <ns0:c r="B138" s="10" t="n">
        <ns0:v>920137</ns0:v>
      </ns0:c>
      <ns0:c r="C138" s="10" t="inlineStr">
        <ns0:is>
          <ns0:t>‘도해’는 어떤 뜻일까요?</ns0:t>
        </ns0:is>
      </ns0:c>
      <ns0:c r="D138" s="10" t="inlineStr">
        <ns0:is>
          <ns0:t>1696년 일본 에도 막부의 울릉도 도해금지령은 어느 달에 내려졌나요?</ns0:t>
        </ns0:is>
      </ns0:c>
      <ns0:c r="E138" s="10" t="inlineStr">
        <ns0:is>
          <ns0:t>이전 ID는 회수하고 학습 기록·불빛은 보존. 새 문제의 정답·숙달로 자동 치환하지 않음.</ns0:t>
        </ns0:is>
      </ns0:c>
    </ns0:row>
    <ns0:row r="139" ht="38" customHeight="1">
      <ns0:c r="A139" s="12" t="n">
        <ns0:v>910138</ns0:v>
      </ns0:c>
      <ns0:c r="B139" s="12" t="n">
        <ns0:v>920138</ns0:v>
      </ns0:c>
      <ns0:c r="C139" s="12" t="inlineStr">
        <ns0:is>
          <ns0:t>같은 해 1월과 5월 중 먼저인 것은?</ns0:t>
        </ns0:is>
      </ns0:c>
      <ns0:c r="D139" s="12" t="inlineStr">
        <ns0:is>
          <ns0:t>1696년에 먼저 일어난 것은 무엇인가요?</ns0:t>
        </ns0:is>
      </ns0:c>
      <ns0:c r="E139" s="12" t="inlineStr">
        <ns0:is>
          <ns0:t>이전 ID는 회수하고 학습 기록·불빛은 보존. 새 문제의 정답·숙달로 자동 치환하지 않음.</ns0:t>
        </ns0:is>
      </ns0:c>
    </ns0:row>
    <ns0:row r="140" ht="38" customHeight="1">
      <ns0:c r="A140" s="10" t="n">
        <ns0:v>910139</ns0:v>
      </ns0:c>
      <ns0:c r="B140" s="10" t="n">
        <ns0:v>920139</ns0:v>
      </ns0:c>
      <ns0:c r="C140" s="10" t="inlineStr">
        <ns0:is>
          <ns0:t>자료가 뒷받침하는 순서는?</ns0:t>
        </ns0:is>
      </ns0:c>
      <ns0:c r="D140" s="10" t="inlineStr">
        <ns0:is>
          <ns0:t>안용복의 5월 도해보다 앞선 사건을 연표에서 고르면 무엇인가요?</ns0:t>
        </ns0:is>
      </ns0:c>
      <ns0:c r="E140" s="10" t="inlineStr">
        <ns0:is>
          <ns0:t>이전 ID는 회수하고 학습 기록·불빛은 보존. 새 문제의 정답·숙달로 자동 치환하지 않음.</ns0:t>
        </ns0:is>
      </ns0:c>
    </ns0:row>
    <ns0:row r="141" ht="38" customHeight="1">
      <ns0:c r="A141" s="12" t="n">
        <ns0:v>910140</ns0:v>
      </ns0:c>
      <ns0:c r="B141" s="12" t="n">
        <ns0:v>920140</ns0:v>
      </ns0:c>
      <ns0:c r="C141" s="12" t="inlineStr">
        <ns0:is>
          <ns0:t>‘5월 도해 때문에 그해 1월 금지령이 나왔다’는 말은?</ns0:t>
        </ns0:is>
      </ns0:c>
      <ns0:c r="D141" s="12" t="inlineStr">
        <ns0:is>
          <ns0:t>‘1696년 5월 도해 때문에 그해 1월 금지령이 내려졌다’는 설명은 왜 틀렸나요?</ns0:t>
        </ns0:is>
      </ns0:c>
      <ns0:c r="E141" s="12" t="inlineStr">
        <ns0:is>
          <ns0:t>이전 ID는 회수하고 학습 기록·불빛은 보존. 새 문제의 정답·숙달로 자동 치환하지 않음.</ns0:t>
        </ns0:is>
      </ns0:c>
    </ns0:row>
    <ns0:row r="142" ht="38" customHeight="1">
      <ns0:c r="A142" s="10" t="n">
        <ns0:v>910141</ns0:v>
      </ns0:c>
      <ns0:c r="B142" s="10" t="n">
        <ns0:v>920141</ns0:v>
      </ns0:c>
      <ns0:c r="C142" s="10" t="inlineStr">
        <ns0:is>
          <ns0:t>칙령 제41호가 정한 새 이름은?</ns0:t>
        </ns0:is>
      </ns0:c>
      <ns0:c r="D142" s="10" t="inlineStr">
        <ns0:is>
          <ns0:t>1900년 울릉도를 울도로 이름 바꾼 명령은 무엇인가요?</ns0:t>
        </ns0:is>
      </ns0:c>
      <ns0:c r="E142" s="10" t="inlineStr">
        <ns0:is>
          <ns0:t>이전 ID는 회수하고 학습 기록·불빛은 보존. 새 문제의 정답·숙달로 자동 치환하지 않음.</ns0:t>
        </ns0:is>
      </ns0:c>
    </ns0:row>
    <ns0:row r="143" ht="38" customHeight="1">
      <ns0:c r="A143" s="12" t="n">
        <ns0:v>910142</ns0:v>
      </ns0:c>
      <ns0:c r="B143" s="12" t="n">
        <ns0:v>920142</ns0:v>
      </ns0:c>
      <ns0:c r="C143" s="12" t="inlineStr">
        <ns0:is>
          <ns0:t>‘울릉도를 울도로 개칭’의 뜻은?</ns0:t>
        </ns0:is>
      </ns0:c>
      <ns0:c r="D143" s="12" t="inlineStr">
        <ns0:is>
          <ns0:t>칙령 제41호에서 울릉도의 행정 이름을 무엇으로 바꾸었나요?</ns0:t>
        </ns0:is>
      </ns0:c>
      <ns0:c r="E143" s="12" t="inlineStr">
        <ns0:is>
          <ns0:t>이전 ID는 회수하고 학습 기록·불빛은 보존. 새 문제의 정답·숙달로 자동 치환하지 않음.</ns0:t>
        </ns0:is>
      </ns0:c>
    </ns0:row>
    <ns0:row r="144" ht="38" customHeight="1">
      <ns0:c r="A144" s="10" t="n">
        <ns0:v>910143</ns0:v>
      </ns0:c>
      <ns0:c r="B144" s="10" t="n">
        <ns0:v>920143</ns0:v>
      </ns0:c>
      <ns0:c r="C144" s="10" t="inlineStr">
        <ns0:is>
          <ns0:t>제1조에서 확인되는 조치는?</ns0:t>
        </ns0:is>
      </ns0:c>
      <ns0:c r="D144" s="10" t="inlineStr">
        <ns0:is>
          <ns0:t>제시된 칙령 제1조의 이름 변경 전후를 바르게 연결한 것은 무엇인가요?</ns0:t>
        </ns0:is>
      </ns0:c>
      <ns0:c r="E144" s="10" t="inlineStr">
        <ns0:is>
          <ns0:t>이전 ID는 회수하고 학습 기록·불빛은 보존. 새 문제의 정답·숙달로 자동 치환하지 않음.</ns0:t>
        </ns0:is>
      </ns0:c>
    </ns0:row>
    <ns0:row r="145" ht="38" customHeight="1">
      <ns0:c r="A145" s="12" t="n">
        <ns0:v>910144</ns0:v>
      </ns0:c>
      <ns0:c r="B145" s="12" t="n">
        <ns0:v>920144</ns0:v>
      </ns0:c>
      <ns0:c r="C145" s="12" t="inlineStr">
        <ns0:is>
          <ns0:t>‘이름만 바뀌니 행정 내용은 없다’는 평가는?</ns0:t>
        </ns0:is>
      </ns0:c>
      <ns0:c r="D145" s="12" t="inlineStr">
        <ns0:is>
          <ns0:t>칙령 제41호 제1조에서 함께 바뀐 두 항목은 무엇인가요?</ns0:t>
        </ns0:is>
      </ns0:c>
      <ns0:c r="E145" s="12" t="inlineStr">
        <ns0:is>
          <ns0:t>이전 ID는 회수하고 학습 기록·불빛은 보존. 새 문제의 정답·숙달로 자동 치환하지 않음.</ns0:t>
        </ns0:is>
      </ns0:c>
    </ns0:row>
    <ns0:row r="146" ht="38" customHeight="1">
      <ns0:c r="A146" s="10" t="n">
        <ns0:v>910145</ns0:v>
      </ns0:c>
      <ns0:c r="B146" s="10" t="n">
        <ns0:v>920145</ns0:v>
      </ns0:c>
      <ns0:c r="C146" s="10" t="inlineStr">
        <ns0:is>
          <ns0:t>칙령에서 도감을 대신하도록 한 관직은?</ns0:t>
        </ns0:is>
      </ns0:c>
      <ns0:c r="D146" s="10" t="inlineStr">
        <ns0:is>
          <ns0:t>칙령 제41호는 울릉도의 도감을 어떤 관리로 바꾸도록 했나요?</ns0:t>
        </ns0:is>
      </ns0:c>
      <ns0:c r="E146" s="10" t="inlineStr">
        <ns0:is>
          <ns0:t>이전 ID는 회수하고 학습 기록·불빛은 보존. 새 문제의 정답·숙달로 자동 치환하지 않음.</ns0:t>
        </ns0:is>
      </ns0:c>
    </ns0:row>
    <ns0:row r="147" ht="38" customHeight="1">
      <ns0:c r="A147" s="12" t="n">
        <ns0:v>910146</ns0:v>
      </ns0:c>
      <ns0:c r="B147" s="12" t="n">
        <ns0:v>920146</ns0:v>
      </ns0:c>
      <ns0:c r="C147" s="12" t="inlineStr">
        <ns0:is>
          <ns0:t>군수와 연결되는 일은?</ns0:t>
        </ns0:is>
      </ns0:c>
      <ns0:c r="D147" s="12" t="inlineStr">
        <ns0:is>
          <ns0:t>‘울도군수’에서 군수는 무엇을 맡는 관리인가요?</ns0:t>
        </ns0:is>
      </ns0:c>
      <ns0:c r="E147" s="12" t="inlineStr">
        <ns0:is>
          <ns0:t>이전 ID는 회수하고 학습 기록·불빛은 보존. 새 문제의 정답·숙달로 자동 치환하지 않음.</ns0:t>
        </ns0:is>
      </ns0:c>
    </ns0:row>
    <ns0:row r="148" ht="38" customHeight="1">
      <ns0:c r="A148" s="10" t="n">
        <ns0:v>910147</ns0:v>
      </ns0:c>
      <ns0:c r="B148" s="10" t="n">
        <ns0:v>920147</ns0:v>
      </ns0:c>
      <ns0:c r="C148" s="10" t="inlineStr">
        <ns0:is>
          <ns0:t>자료에서 행정 체계 정비를 보여주는 부분은?</ns0:t>
        </ns0:is>
      </ns0:c>
      <ns0:c r="D148" s="10" t="inlineStr">
        <ns0:is>
          <ns0:t>칙령 제41호 제1조의 직책 변경 방향은 무엇인가요?</ns0:t>
        </ns0:is>
      </ns0:c>
      <ns0:c r="E148" s="10" t="inlineStr">
        <ns0:is>
          <ns0:t>이전 ID는 회수하고 학습 기록·불빛은 보존. 새 문제의 정답·숙달로 자동 치환하지 않음.</ns0:t>
        </ns0:is>
      </ns0:c>
    </ns0:row>
    <ns0:row r="149" ht="38" customHeight="1">
      <ns0:c r="A149" s="12" t="n">
        <ns0:v>910148</ns0:v>
      </ns0:c>
      <ns0:c r="B149" s="12" t="n">
        <ns0:v>920148</ns0:v>
      </ns0:c>
      <ns0:c r="C149" s="12" t="inlineStr">
        <ns0:is>
          <ns0:t>군수를 등대관리원과 같은 직책이라 하면?</ns0:t>
        </ns0:is>
      </ns0:c>
      <ns0:c r="D149" s="12" t="inlineStr">
        <ns0:is>
          <ns0:t>울도군수가 관할 구역의 상황을 상부에 보고하는 일은 어떤 역할과 연결되나요?</ns0:t>
        </ns0:is>
      </ns0:c>
      <ns0:c r="E149" s="12" t="inlineStr">
        <ns0:is>
          <ns0:t>이전 ID는 회수하고 학습 기록·불빛은 보존. 새 문제의 정답·숙달로 자동 치환하지 않음.</ns0:t>
        </ns0:is>
      </ns0:c>
    </ns0:row>
    <ns0:row r="150" ht="38" customHeight="1">
      <ns0:c r="A150" s="10" t="n">
        <ns0:v>910149</ns0:v>
      </ns0:c>
      <ns0:c r="B150" s="10" t="n">
        <ns0:v>920149</ns0:v>
      </ns0:c>
      <ns0:c r="C150" s="10" t="inlineStr">
        <ns0:is>
          <ns0:t>제2조에 나오는 세 지명은?</ns0:t>
        </ns0:is>
      </ns0:c>
      <ns0:c r="D150" s="10" t="inlineStr">
        <ns0:is>
          <ns0:t>칙령 제41호 제2조에 적힌 관할 섬 이름은 무엇인가요?</ns0:t>
        </ns0:is>
      </ns0:c>
      <ns0:c r="E150" s="10" t="inlineStr">
        <ns0:is>
          <ns0:t>이전 ID는 회수하고 학습 기록·불빛은 보존. 새 문제의 정답·숙달로 자동 치환하지 않음.</ns0:t>
        </ns0:is>
      </ns0:c>
    </ns0:row>
    <ns0:row r="151" ht="38" customHeight="1">
      <ns0:c r="A151" s="12" t="n">
        <ns0:v>910150</ns0:v>
      </ns0:c>
      <ns0:c r="B151" s="12" t="n">
        <ns0:v>920150</ns0:v>
      </ns0:c>
      <ns0:c r="C151" s="12" t="inlineStr">
        <ns0:is>
          <ns0:t>문서의 ‘관할’과 연결되는 뜻은?</ns0:t>
        </ns0:is>
      </ns0:c>
      <ns0:c r="D151" s="12" t="inlineStr">
        <ns0:is>
          <ns0:t>칙령 제41호에 적힌 ‘석도’는 오늘날 어느 섬으로 풀이되나요?</ns0:t>
        </ns0:is>
      </ns0:c>
      <ns0:c r="E151" s="12" t="inlineStr">
        <ns0:is>
          <ns0:t>이전 ID는 회수하고 학습 기록·불빛은 보존. 새 문제의 정답·숙달로 자동 치환하지 않음.</ns0:t>
        </ns0:is>
      </ns0:c>
    </ns0:row>
    <ns0:row r="152" ht="38" customHeight="1">
      <ns0:c r="A152" s="10" t="n">
        <ns0:v>910151</ns0:v>
      </ns0:c>
      <ns0:c r="B152" s="10" t="n">
        <ns0:v>920151</ns0:v>
      </ns0:c>
      <ns0:c r="C152" s="10" t="inlineStr">
        <ns0:is>
          <ns0:t>제2조에서 직접 읽히는 정보는?</ns0:t>
        </ns0:is>
      </ns0:c>
      <ns0:c r="D152" s="10" t="inlineStr">
        <ns0:is>
          <ns0:t>칙령 제41호의 관할 구역을 빠짐없이 적은 것은 무엇인가요?</ns0:t>
        </ns0:is>
      </ns0:c>
      <ns0:c r="E152" s="10" t="inlineStr">
        <ns0:is>
          <ns0:t>이전 ID는 회수하고 학습 기록·불빛은 보존. 새 문제의 정답·숙달로 자동 치환하지 않음.</ns0:t>
        </ns0:is>
      </ns0:c>
    </ns0:row>
    <ns0:row r="153" ht="38" customHeight="1">
      <ns0:c r="A153" s="12" t="n">
        <ns0:v>910152</ns0:v>
      </ns0:c>
      <ns0:c r="B153" s="12" t="n">
        <ns0:v>920152</ns0:v>
      </ns0:c>
      <ns0:c r="C153" s="12" t="inlineStr">
        <ns0:is>
          <ns0:t>원문과 현대 지명 해석을 정확히 소개하려면?</ns0:t>
        </ns0:is>
      </ns0:c>
      <ns0:c r="D153" s="12" t="inlineStr">
        <ns0:is>
          <ns0:t>칙령 제41호를 ‘울릉도 한 섬만 관리한 문서’로 설명할 때 빠지는 내용은 무엇인가요?</ns0:t>
        </ns0:is>
      </ns0:c>
      <ns0:c r="E153" s="12" t="inlineStr">
        <ns0:is>
          <ns0:t>이전 ID는 회수하고 학습 기록·불빛은 보존. 새 문제의 정답·숙달로 자동 치환하지 않음.</ns0:t>
        </ns0:is>
      </ns0:c>
    </ns0:row>
    <ns0:row r="154" ht="38" customHeight="1">
      <ns0:c r="A154" s="10" t="n">
        <ns0:v>910153</ns0:v>
      </ns0:c>
      <ns0:c r="B154" s="10" t="n">
        <ns0:v>920153</ns0:v>
      </ns0:c>
      <ns0:c r="C154" s="10" t="inlineStr">
        <ns0:is>
          <ns0:t>칙령을 실어 알린 공식 간행물은?</ns0:t>
        </ns0:is>
      </ns0:c>
      <ns0:c r="D154" s="10" t="inlineStr">
        <ns0:is>
          <ns0:t>대한제국 칙령 제41호에 적힌 날짜는 언제인가요?</ns0:t>
        </ns0:is>
      </ns0:c>
      <ns0:c r="E154" s="10" t="inlineStr">
        <ns0:is>
          <ns0:t>이전 ID는 회수하고 학습 기록·불빛은 보존. 새 문제의 정답·숙달로 자동 치환하지 않음.</ns0:t>
        </ns0:is>
      </ns0:c>
    </ns0:row>
    <ns0:row r="155" ht="38" customHeight="1">
      <ns0:c r="A155" s="12" t="n">
        <ns0:v>910154</ns0:v>
      </ns0:c>
      <ns0:c r="B155" s="12" t="n">
        <ns0:v>920154</ns0:v>
      </ns0:c>
      <ns0:c r="C155" s="12" t="inlineStr">
        <ns0:is>
          <ns0:t>10월 25일과 27일을 바르게 연결하면?</ns0:t>
        </ns0:is>
      </ns0:c>
      <ns0:c r="D155" s="12" t="inlineStr">
        <ns0:is>
          <ns0:t>칙령이 실린 대한제국 관보의 역할은 무엇인가요?</ns0:t>
        </ns0:is>
      </ns0:c>
      <ns0:c r="E155" s="12" t="inlineStr">
        <ns0:is>
          <ns0:t>이전 ID는 회수하고 학습 기록·불빛은 보존. 새 문제의 정답·숙달로 자동 치환하지 않음.</ns0:t>
        </ns0:is>
      </ns0:c>
    </ns0:row>
    <ns0:row r="156" ht="38" customHeight="1">
      <ns0:c r="A156" s="10" t="n">
        <ns0:v>910155</ns0:v>
      </ns0:c>
      <ns0:c r="B156" s="10" t="n">
        <ns0:v>920155</ns0:v>
      </ns0:c>
      <ns0:c r="C156" s="10" t="inlineStr">
        <ns0:is>
          <ns0:t>두 날짜가 각각 가리키는 것은?</ns0:t>
        </ns0:is>
      </ns0:c>
      <ns0:c r="D156" s="10" t="inlineStr">
        <ns0:is>
          <ns0:t>칙령 제41호가 관보에 실린 날짜는 언제인가요?</ns0:t>
        </ns0:is>
      </ns0:c>
      <ns0:c r="E156" s="10" t="inlineStr">
        <ns0:is>
          <ns0:t>이전 ID는 회수하고 학습 기록·불빛은 보존. 새 문제의 정답·숙달로 자동 치환하지 않음.</ns0:t>
        </ns0:is>
      </ns0:c>
    </ns0:row>
    <ns0:row r="157" ht="38" customHeight="1">
      <ns0:c r="A157" s="12" t="n">
        <ns0:v>910156</ns0:v>
      </ns0:c>
      <ns0:c r="B157" s="12" t="n">
        <ns0:v>920156</ns0:v>
      </ns0:c>
      <ns0:c r="C157" s="12" t="inlineStr">
        <ns0:is>
          <ns0:t>날짜가 다르니 둘 중 하나가 틀렸다는 주장은?</ns0:t>
        </ns0:is>
      </ns0:c>
      <ns0:c r="D157" s="12" t="inlineStr">
        <ns0:is>
          <ns0:t>칙령 날짜가 25일이고 관보 날짜가 27일인 까닭은 무엇인가요?</ns0:t>
        </ns0:is>
      </ns0:c>
      <ns0:c r="E157" s="12" t="inlineStr">
        <ns0:is>
          <ns0:t>이전 ID는 회수하고 학습 기록·불빛은 보존. 새 문제의 정답·숙달로 자동 치환하지 않음.</ns0:t>
        </ns0:is>
      </ns0:c>
    </ns0:row>
    <ns0:row r="158" ht="38" customHeight="1">
      <ns0:c r="A158" s="10" t="n">
        <ns0:v>910157</ns0:v>
      </ns0:c>
      <ns0:c r="B158" s="10" t="n">
        <ns0:v>920157</ns0:v>
      </ns0:c>
      <ns0:c r="C158" s="10" t="inlineStr">
        <ns0:is>
          <ns0:t>안건을 올리는 문서는?</ns0:t>
        </ns0:is>
      </ns0:c>
      <ns0:c r="D158" s="10" t="inlineStr">
        <ns0:is>
          <ns0:t>1900년 울도 행정 개편안을 올린 문서를 무엇이라고 하나요?</ns0:t>
        </ns0:is>
      </ns0:c>
      <ns0:c r="E158" s="10" t="inlineStr">
        <ns0:is>
          <ns0:t>이전 ID는 회수하고 학습 기록·불빛은 보존. 새 문제의 정답·숙달로 자동 치환하지 않음.</ns0:t>
        </ns0:is>
      </ns0:c>
    </ns0:row>
    <ns0:row r="159" ht="38" customHeight="1">
      <ns0:c r="A159" s="12" t="n">
        <ns0:v>910158</ns0:v>
      </ns0:c>
      <ns0:c r="B159" s="12" t="n">
        <ns0:v>920158</ns0:v>
      </ns0:c>
      <ns0:c r="C159" s="12" t="inlineStr">
        <ns0:is>
          <ns0:t>행정 개편 과정의 순서로 맞는 것은?</ns0:t>
        </ns0:is>
      </ns0:c>
      <ns0:c r="D159" s="12" t="inlineStr">
        <ns0:is>
          <ns0:t>청의서와 칙령의 역할을 바르게 짝지은 것은 무엇인가요?</ns0:t>
        </ns0:is>
      </ns0:c>
      <ns0:c r="E159" s="12" t="inlineStr">
        <ns0:is>
          <ns0:t>이전 ID는 회수하고 학습 기록·불빛은 보존. 새 문제의 정답·숙달로 자동 치환하지 않음.</ns0:t>
        </ns0:is>
      </ns0:c>
    </ns0:row>
    <ns0:row r="160" ht="38" customHeight="1">
      <ns0:c r="A160" s="10" t="n">
        <ns0:v>910159</ns0:v>
      </ns0:c>
      <ns0:c r="B160" s="10" t="n">
        <ns0:v>920159</ns0:v>
      </ns0:c>
      <ns0:c r="C160" s="10" t="inlineStr">
        <ns0:is>
          <ns0:t>제안이 칙령보다 앞섰음을 보이는 자료 쌍은?</ns0:t>
        </ns0:is>
      </ns0:c>
      <ns0:c r="D160" s="10" t="inlineStr">
        <ns0:is>
          <ns0:t>1900년 세 문서를 날짜순으로 놓으면 무엇인가요?</ns0:t>
        </ns0:is>
      </ns0:c>
      <ns0:c r="E160" s="10" t="inlineStr">
        <ns0:is>
          <ns0:t>이전 ID는 회수하고 학습 기록·불빛은 보존. 새 문제의 정답·숙달로 자동 치환하지 않음.</ns0:t>
        </ns0:is>
      </ns0:c>
    </ns0:row>
    <ns0:row r="161" ht="38" customHeight="1">
      <ns0:c r="A161" s="12" t="n">
        <ns0:v>910160</ns0:v>
      </ns0:c>
      <ns0:c r="B161" s="12" t="n">
        <ns0:v>920160</ns0:v>
      </ns0:c>
      <ns0:c r="C161" s="12" t="inlineStr">
        <ns0:is>
          <ns0:t>청의서와 칙령을 같은 단계라고 설명하면?</ns0:t>
        </ns0:is>
      </ns0:c>
      <ns0:c r="D161" s="12" t="inlineStr">
        <ns0:is>
          <ns0:t>‘행정 개편을 제안했다’는 자료와 ‘명령이 공표됐다’는 자료를 구분해야 하는 이유는 무엇인가요?</ns0:t>
        </ns0:is>
      </ns0:c>
      <ns0:c r="E161" s="12" t="inlineStr">
        <ns0:is>
          <ns0:t>이전 ID는 회수하고 학습 기록·불빛은 보존. 새 문제의 정답·숙달로 자동 치환하지 않음.</ns0:t>
        </ns0:is>
      </ns0:c>
    </ns0:row>
    <ns0:row r="162" ht="38" customHeight="1">
      <ns0:c r="A162" s="10" t="n">
        <ns0:v>910161</ns0:v>
      </ns0:c>
      <ns0:c r="B162" s="10" t="n">
        <ns0:v>920161</ns0:v>
      </ns0:c>
      <ns0:c r="C162" s="10" t="inlineStr">
        <ns0:is>
          <ns0:t>1906년 독도 관련 보고를 한 울도군수는?</ns0:t>
        </ns0:is>
      </ns0:c>
      <ns0:c r="D162" s="10" t="inlineStr">
        <ns0:is>
          <ns0:t>1906년 독도 상황을 보고한 울도군수는 누구인가요?</ns0:t>
        </ns0:is>
      </ns0:c>
      <ns0:c r="E162" s="10" t="inlineStr">
        <ns0:is>
          <ns0:t>이전 ID는 회수하고 학습 기록·불빛은 보존. 새 문제의 정답·숙달로 자동 치환하지 않음.</ns0:t>
        </ns0:is>
      </ns0:c>
    </ns0:row>
    <ns0:row r="163" ht="38" customHeight="1">
      <ns0:c r="A163" s="12" t="n">
        <ns0:v>910162</ns0:v>
      </ns0:c>
      <ns0:c r="B163" s="12" t="n">
        <ns0:v>920162</ns0:v>
      </ns0:c>
      <ns0:c r="C163" s="12" t="inlineStr">
        <ns0:is>
          <ns0:t>심흥택과 연결되는 직책은?</ns0:t>
        </ns0:is>
      </ns0:c>
      <ns0:c r="D163" s="12" t="inlineStr">
        <ns0:is>
          <ns0:t>심흥택이 1906년 맡고 있던 직책은 무엇인가요?</ns0:t>
        </ns0:is>
      </ns0:c>
      <ns0:c r="E163" s="12" t="inlineStr">
        <ns0:is>
          <ns0:t>이전 ID는 회수하고 학습 기록·불빛은 보존. 새 문제의 정답·숙달로 자동 치환하지 않음.</ns0:t>
        </ns0:is>
      </ns0:c>
    </ns0:row>
    <ns0:row r="164" ht="38" customHeight="1">
      <ns0:c r="A164" s="10" t="n">
        <ns0:v>910163</ns0:v>
      </ns0:c>
      <ns0:c r="B164" s="10" t="n">
        <ns0:v>920163</ns0:v>
      </ns0:c>
      <ns0:c r="C164" s="10" t="inlineStr">
        <ns0:is>
          <ns0:t>자료의 심흥택 보고가 담는 정보의 성격은?</ns0:t>
        </ns0:is>
      </ns0:c>
      <ns0:c r="D164" s="10" t="inlineStr">
        <ns0:is>
          <ns0:t>심흥택의 보고가 상부로 전달된 흐름은 무엇인가요?</ns0:t>
        </ns0:is>
      </ns0:c>
      <ns0:c r="E164" s="10" t="inlineStr">
        <ns0:is>
          <ns0:t>이전 ID는 회수하고 학습 기록·불빛은 보존. 새 문제의 정답·숙달로 자동 치환하지 않음.</ns0:t>
        </ns0:is>
      </ns0:c>
    </ns0:row>
    <ns0:row r="165" ht="38" customHeight="1">
      <ns0:c r="A165" s="12" t="n">
        <ns0:v>910164</ns0:v>
      </ns0:c>
      <ns0:c r="B165" s="12" t="n">
        <ns0:v>920164</ns0:v>
      </ns0:c>
      <ns0:c r="C165" s="12" t="inlineStr">
        <ns0:is>
          <ns0:t>1906년 보고를 오늘의 현장 관측처럼 소개하면?</ns0:t>
        </ns0:is>
      </ns0:c>
      <ns0:c r="D165" s="12" t="inlineStr">
        <ns0:is>
          <ns0:t>심흥택의 보고를 지역 행정 활동의 자료로 볼 수 있는 이유는 무엇인가요?</ns0:t>
        </ns0:is>
      </ns0:c>
      <ns0:c r="E165" s="12" t="inlineStr">
        <ns0:is>
          <ns0:t>이전 ID는 회수하고 학습 기록·불빛은 보존. 새 문제의 정답·숙달로 자동 치환하지 않음.</ns0:t>
        </ns0:is>
      </ns0:c>
    </ns0:row>
    <ns0:row r="166" ht="38" customHeight="1">
      <ns0:c r="A166" s="10" t="n">
        <ns0:v>910165</ns0:v>
      </ns0:c>
      <ns0:c r="B166" s="10" t="n">
        <ns0:v>920165</ns0:v>
      </ns0:c>
      <ns0:c r="C166" s="10" t="inlineStr">
        <ns0:is>
          <ns0:t>‘본군’은 무슨 뜻일까요?</ns0:t>
        </ns0:is>
      </ns0:c>
      <ns0:c r="D166" s="10" t="inlineStr">
        <ns0:is>
          <ns0:t>심흥택 보고에서 ‘본군 소속 독도’의 본군은 어느 군인가요?</ns0:t>
        </ns0:is>
      </ns0:c>
      <ns0:c r="E166" s="10" t="inlineStr">
        <ns0:is>
          <ns0:t>이전 ID는 회수하고 학습 기록·불빛은 보존. 새 문제의 정답·숙달로 자동 치환하지 않음.</ns0:t>
        </ns0:is>
      </ns0:c>
    </ns0:row>
    <ns0:row r="167" ht="38" customHeight="1">
      <ns0:c r="A167" s="12" t="n">
        <ns0:v>910166</ns0:v>
      </ns0:c>
      <ns0:c r="B167" s="12" t="n">
        <ns0:v>920166</ns0:v>
      </ns0:c>
      <ns0:c r="C167" s="12" t="inlineStr">
        <ns0:is>
          <ns0:t>‘본군 소속 독도’가 보여주는 것은?</ns0:t>
        </ns0:is>
      </ns0:c>
      <ns0:c r="D167" s="12" t="inlineStr">
        <ns0:is>
          <ns0:t>심흥택이 ‘본군 소속 독도’라고 쓴 뜻은 무엇인가요?</ns0:t>
        </ns0:is>
      </ns0:c>
      <ns0:c r="E167" s="12" t="inlineStr">
        <ns0:is>
          <ns0:t>이전 ID는 회수하고 학습 기록·불빛은 보존. 새 문제의 정답·숙달로 자동 치환하지 않음.</ns0:t>
        </ns0:is>
      </ns0:c>
    </ns0:row>
    <ns0:row r="168" ht="38" customHeight="1">
      <ns0:c r="A168" s="10" t="n">
        <ns0:v>910167</ns0:v>
      </ns0:c>
      <ns0:c r="B168" s="10" t="n">
        <ns0:v>920167</ns0:v>
      </ns0:c>
      <ns0:c r="C168" s="10" t="inlineStr">
        <ns0:is>
          <ns0:t>자료에서 보고자 자신의 표현은?</ns0:t>
        </ns0:is>
      </ns0:c>
      <ns0:c r="D168" s="10" t="inlineStr">
        <ns0:is>
          <ns0:t>심흥택의 울도군 소속 인식이 직접 드러나는 구절은 무엇인가요?</ns0:t>
        </ns0:is>
      </ns0:c>
      <ns0:c r="E168" s="10" t="inlineStr">
        <ns0:is>
          <ns0:t>이전 ID는 회수하고 학습 기록·불빛은 보존. 새 문제의 정답·숙달로 자동 치환하지 않음.</ns0:t>
        </ns0:is>
      </ns0:c>
    </ns0:row>
    <ns0:row r="169" ht="38" customHeight="1">
      <ns0:c r="A169" s="12" t="n">
        <ns0:v>910168</ns0:v>
      </ns0:c>
      <ns0:c r="B169" s="12" t="n">
        <ns0:v>920168</ns0:v>
      </ns0:c>
      <ns0:c r="C169" s="12" t="inlineStr">
        <ns0:is>
          <ns0:t>보고자의 표현과 인용 발언을 섞어 읽으면?</ns0:t>
        </ns0:is>
      </ns0:c>
      <ns0:c r="D169" s="12" t="inlineStr">
        <ns0:is>
          <ns0:t>‘본군 소속 독도’라는 구절로 가장 직접 확인할 수 있는 내용은 무엇인가요?</ns0:t>
        </ns0:is>
      </ns0:c>
      <ns0:c r="E169" s="12" t="inlineStr">
        <ns0:is>
          <ns0:t>이전 ID는 회수하고 학습 기록·불빛은 보존. 새 문제의 정답·숙달로 자동 치환하지 않음.</ns0:t>
        </ns0:is>
      </ns0:c>
    </ns0:row>
    <ns0:row r="170" ht="38" customHeight="1">
      <ns0:c r="A170" s="10" t="n">
        <ns0:v>910169</ns0:v>
      </ns0:c>
      <ns0:c r="B170" s="10" t="n">
        <ns0:v>920169</ns0:v>
      </ns0:c>
      <ns0:c r="C170" s="10" t="inlineStr">
        <ns0:is>
          <ns0:t>보고에 옮겨 적은 영지 주장의 발언자는?</ns0:t>
        </ns0:is>
      </ns0:c>
      <ns0:c r="D170" s="10" t="inlineStr">
        <ns0:is>
          <ns0:t>1906년 심흥택에게 독도의 일본 소속을 주장한 쪽은 누구인가요?</ns0:t>
        </ns0:is>
      </ns0:c>
      <ns0:c r="E170" s="10" t="inlineStr">
        <ns0:is>
          <ns0:t>이전 ID는 회수하고 학습 기록·불빛은 보존. 새 문제의 정답·숙달로 자동 치환하지 않음.</ns0:t>
        </ns0:is>
      </ns0:c>
    </ns0:row>
    <ns0:row r="171" ht="38" customHeight="1">
      <ns0:c r="A171" s="12" t="n">
        <ns0:v>910170</ns0:v>
      </ns0:c>
      <ns0:c r="B171" s="12" t="n">
        <ns0:v>920170</ns0:v>
      </ns0:c>
      <ns0:c r="C171" s="12" t="inlineStr">
        <ns0:is>
          <ns0:t>남의 주장을 보고했다는 뜻은?</ns0:t>
        </ns0:is>
      </ns0:c>
      <ns0:c r="D171" s="12" t="inlineStr">
        <ns0:is>
          <ns0:t>심흥택이 일본 관리의 주장을 보고서에 적은 것은 무엇을 한 것인가요?</ns0:t>
        </ns0:is>
      </ns0:c>
      <ns0:c r="E171" s="12" t="inlineStr">
        <ns0:is>
          <ns0:t>이전 ID는 회수하고 학습 기록·불빛은 보존. 새 문제의 정답·숙달로 자동 치환하지 않음.</ns0:t>
        </ns0:is>
      </ns0:c>
    </ns0:row>
    <ns0:row r="172" ht="38" customHeight="1">
      <ns0:c r="A172" s="10" t="n">
        <ns0:v>910171</ns0:v>
      </ns0:c>
      <ns0:c r="B172" s="10" t="n">
        <ns0:v>920171</ns0:v>
      </ns0:c>
      <ns0:c r="C172" s="10" t="inlineStr">
        <ns0:is>
          <ns0:t>두 표현을 함께 읽은 바른 해석은?</ns0:t>
        </ns0:is>
      </ns0:c>
      <ns0:c r="D172" s="10" t="inlineStr">
        <ns0:is>
          <ns0:t>두 문장에서 일본 관리의 주장에 해당하는 것은 무엇인가요?</ns0:t>
        </ns0:is>
      </ns0:c>
      <ns0:c r="E172" s="10" t="inlineStr">
        <ns0:is>
          <ns0:t>이전 ID는 회수하고 학습 기록·불빛은 보존. 새 문제의 정답·숙달로 자동 치환하지 않음.</ns0:t>
        </ns0:is>
      </ns0:c>
    </ns0:row>
    <ns0:row r="173" ht="38" customHeight="1">
      <ns0:c r="A173" s="12" t="n">
        <ns0:v>910172</ns0:v>
      </ns0:c>
      <ns0:c r="B173" s="12" t="n">
        <ns0:v>920172</ns0:v>
      </ns0:c>
      <ns0:c r="C173" s="12" t="inlineStr">
        <ns0:is>
          <ns0:t>인용 문장만 떼어 ‘심흥택도 인정’이라 하면?</ns0:t>
        </ns0:is>
      </ns0:c>
      <ns0:c r="D173" s="12" t="inlineStr">
        <ns0:is>
          <ns0:t>심흥택 보고를 ‘대한제국이 일본의 주장을 인정한 문서’라고 소개하면 어떤 오류인가요?</ns0:t>
        </ns0:is>
      </ns0:c>
      <ns0:c r="E173" s="12" t="inlineStr">
        <ns0:is>
          <ns0:t>이전 ID는 회수하고 학습 기록·불빛은 보존. 새 문제의 정답·숙달로 자동 치환하지 않음.</ns0:t>
        </ns0:is>
      </ns0:c>
    </ns0:row>
    <ns0:row r="174" ht="38" customHeight="1">
      <ns0:c r="A174" s="10" t="n">
        <ns0:v>910173</ns0:v>
      </ns0:c>
      <ns0:c r="B174" s="10" t="n">
        <ns0:v>920173</ns0:v>
      </ns0:c>
      <ns0:c r="C174" s="10" t="inlineStr">
        <ns0:is>
          <ns0:t>1906년 정부의 대응을 담은 문서는?</ns0:t>
        </ns0:is>
      </ns0:c>
      <ns0:c r="D174" s="10" t="inlineStr">
        <ns0:is>
          <ns0:t>1906년 일본의 독도 주장을 부인한 지령은 무엇인가요?</ns0:t>
        </ns0:is>
      </ns0:c>
      <ns0:c r="E174" s="10" t="inlineStr">
        <ns0:is>
          <ns0:t>이전 ID는 회수하고 학습 기록·불빛은 보존. 새 문제의 정답·숙달로 자동 치환하지 않음.</ns0:t>
        </ns0:is>
      </ns0:c>
    </ns0:row>
    <ns0:row r="175" ht="38" customHeight="1">
      <ns0:c r="A175" s="12" t="n">
        <ns0:v>910174</ns0:v>
      </ns0:c>
      <ns0:c r="B175" s="12" t="n">
        <ns0:v>920174</ns0:v>
      </ns0:c>
      <ns0:c r="C175" s="12" t="inlineStr">
        <ns0:is>
          <ns0:t>지령 제3호가 추가로 시킨 일은?</ns0:t>
        </ns0:is>
      </ns0:c>
      <ns0:c r="D175" s="12" t="inlineStr">
        <ns0:is>
          <ns0:t>지령 제3호는 일본의 독도 소속 주장을 어떻게 대했나요?</ns0:t>
        </ns0:is>
      </ns0:c>
      <ns0:c r="E175" s="12" t="inlineStr">
        <ns0:is>
          <ns0:t>이전 ID는 회수하고 학습 기록·불빛은 보존. 새 문제의 정답·숙달로 자동 치환하지 않음.</ns0:t>
        </ns0:is>
      </ns0:c>
    </ns0:row>
    <ns0:row r="176" ht="38" customHeight="1">
      <ns0:c r="A176" s="10" t="n">
        <ns0:v>910175</ns0:v>
      </ns0:c>
      <ns0:c r="B176" s="10" t="n">
        <ns0:v>920175</ns0:v>
      </ns0:c>
      <ns0:c r="C176" s="10" t="inlineStr">
        <ns0:is>
          <ns0:t>자료에서 확인되는 두 가지 대응은?</ns0:t>
        </ns0:is>
      </ns0:c>
      <ns0:c r="D176" s="10" t="inlineStr">
        <ns0:is>
          <ns0:t>지령 제3호가 관리에게 추가로 하도록 한 일은 무엇인가요?</ns0:t>
        </ns0:is>
      </ns0:c>
      <ns0:c r="E176" s="10" t="inlineStr">
        <ns0:is>
          <ns0:t>이전 ID는 회수하고 학습 기록·불빛은 보존. 새 문제의 정답·숙달로 자동 치환하지 않음.</ns0:t>
        </ns0:is>
      </ns0:c>
    </ns0:row>
    <ns0:row r="177" ht="38" customHeight="1">
      <ns0:c r="A177" s="12" t="n">
        <ns0:v>910176</ns0:v>
      </ns0:c>
      <ns0:c r="B177" s="12" t="n">
        <ns0:v>920176</ns0:v>
      </ns0:c>
      <ns0:c r="C177" s="12" t="inlineStr">
        <ns0:is>
          <ns0:t>‘추가 조사’가 일본 주장에 대한 승인일까요?</ns0:t>
        </ns0:is>
      </ns0:c>
      <ns0:c r="D177" s="12" t="inlineStr">
        <ns0:is>
          <ns0:t>심흥택 보고와 지령 제3호를 연결하면 어떤 행정 대응이 보이나요?</ns0:t>
        </ns0:is>
      </ns0:c>
      <ns0:c r="E177" s="12" t="inlineStr">
        <ns0:is>
          <ns0:t>이전 ID는 회수하고 학습 기록·불빛은 보존. 새 문제의 정답·숙달로 자동 치환하지 않음.</ns0:t>
        </ns0:is>
      </ns0:c>
    </ns0:row>
    <ns0:row r="178" ht="38" customHeight="1">
      <ns0:c r="A178" s="10" t="n">
        <ns0:v>910177</ns0:v>
      </ns0:c>
      <ns0:c r="B178" s="10" t="n">
        <ns0:v>920177</ns0:v>
      </ns0:c>
      <ns0:c r="C178" s="10" t="inlineStr">
        <ns0:is>
          <ns0:t>1900년과 1906년 중 먼저인 해는?</ns0:t>
        </ns0:is>
      </ns0:c>
      <ns0:c r="D178" s="10" t="inlineStr">
        <ns0:is>
          <ns0:t>칙령 제41호와 심흥택의 독도 보고 중 먼저 나온 것은 무엇인가요?</ns0:t>
        </ns0:is>
      </ns0:c>
      <ns0:c r="E178" s="10" t="inlineStr">
        <ns0:is>
          <ns0:t>이전 ID는 회수하고 학습 기록·불빛은 보존. 새 문제의 정답·숙달로 자동 치환하지 않음.</ns0:t>
        </ns0:is>
      </ns0:c>
    </ns0:row>
    <ns0:row r="179" ht="38" customHeight="1">
      <ns0:c r="A179" s="12" t="n">
        <ns0:v>910178</ns0:v>
      </ns0:c>
      <ns0:c r="B179" s="12" t="n">
        <ns0:v>920178</ns0:v>
      </ns0:c>
      <ns0:c r="C179" s="12" t="inlineStr">
        <ns0:is>
          <ns0:t>문서와 해를 바르게 연결하면?</ns0:t>
        </ns0:is>
      </ns0:c>
      <ns0:c r="D179" s="12" t="inlineStr">
        <ns0:is>
          <ns0:t>울도 행정 개편 뒤 독도 상황을 보고한 문서는 무엇인가요?</ns0:t>
        </ns0:is>
      </ns0:c>
      <ns0:c r="E179" s="12" t="inlineStr">
        <ns0:is>
          <ns0:t>이전 ID는 회수하고 학습 기록·불빛은 보존. 새 문제의 정답·숙달로 자동 치환하지 않음.</ns0:t>
        </ns0:is>
      </ns0:c>
    </ns0:row>
    <ns0:row r="180" ht="38" customHeight="1">
      <ns0:c r="A180" s="10" t="n">
        <ns0:v>910179</ns0:v>
      </ns0:c>
      <ns0:c r="B180" s="10" t="n">
        <ns0:v>920179</ns0:v>
      </ns0:c>
      <ns0:c r="C180" s="10" t="inlineStr">
        <ns0:is>
          <ns0:t>제시된 세 연도의 순서는?</ns0:t>
        </ns0:is>
      </ns0:c>
      <ns0:c r="D180" s="10" t="inlineStr">
        <ns0:is>
          <ns0:t>세 자료를 오래된 것부터 놓은 순서는 무엇인가요?</ns0:t>
        </ns0:is>
      </ns0:c>
      <ns0:c r="E180" s="10" t="inlineStr">
        <ns0:is>
          <ns0:t>이전 ID는 회수하고 학습 기록·불빛은 보존. 새 문제의 정답·숙달로 자동 치환하지 않음.</ns0:t>
        </ns0:is>
      </ns0:c>
    </ns0:row>
    <ns0:row r="181" ht="38" customHeight="1">
      <ns0:c r="A181" s="12" t="n">
        <ns0:v>910180</ns0:v>
      </ns0:c>
      <ns0:c r="B181" s="12" t="n">
        <ns0:v>920180</ns0:v>
      </ns0:c>
      <ns0:c r="C181" s="12" t="inlineStr">
        <ns0:is>
          <ns0:t>연표를 한 나라가 만든 문서 목록이라고 하면?</ns0:t>
        </ns0:is>
      </ns0:c>
      <ns0:c r="D181" s="12" t="inlineStr">
        <ns0:is>
          <ns0:t>세 자료를 함께 설명할 때 각 문서의 역할을 구분한 것은 무엇인가요?</ns0:t>
        </ns0:is>
      </ns0:c>
      <ns0:c r="E181" s="12" t="inlineStr">
        <ns0:is>
          <ns0:t>이전 ID는 회수하고 학습 기록·불빛은 보존. 새 문제의 정답·숙달로 자동 치환하지 않음.</ns0:t>
        </ns0:is>
      </ns0:c>
    </ns0:row>
    <ns0:row r="182" ht="38" customHeight="1">
      <ns0:c r="A182" s="10" t="n">
        <ns0:v>910181</ns0:v>
      </ns0:c>
      <ns0:c r="B182" s="10" t="n">
        <ns0:v>920181</ns0:v>
      </ns0:c>
      <ns0:c r="C182" s="10" t="inlineStr">
        <ns0:is>
          <ns0:t>천장굴이 있는 큰 섬은?</ns0:t>
        </ns0:is>
      </ns0:c>
      <ns0:c r="D182" s="10" t="inlineStr">
        <ns0:is>
          <ns0:t>독도의 천장굴은 어느 큰 섬에 있나요?</ns0:t>
        </ns0:is>
      </ns0:c>
      <ns0:c r="E182" s="10" t="inlineStr">
        <ns0:is>
          <ns0:t>이전 ID는 회수하고 학습 기록·불빛은 보존. 새 문제의 정답·숙달로 자동 치환하지 않음.</ns0:t>
        </ns0:is>
      </ns0:c>
    </ns0:row>
    <ns0:row r="183" ht="38" customHeight="1">
      <ns0:c r="A183" s="12" t="n">
        <ns0:v>910182</ns0:v>
      </ns0:c>
      <ns0:c r="B183" s="12" t="n">
        <ns0:v>920182</ns0:v>
      </ns0:c>
      <ns0:c r="C183" s="12" t="inlineStr">
        <ns0:is>
          <ns0:t>천장굴의 모습과 맞는 것은?</ns0:t>
        </ns0:is>
      </ns0:c>
      <ns0:c r="D183" s="12" t="inlineStr">
        <ns0:is>
          <ns0:t>천장굴의 전체 모습을 가장 가깝게 설명한 것은 무엇인가요?</ns0:t>
        </ns0:is>
      </ns0:c>
      <ns0:c r="E183" s="12" t="inlineStr">
        <ns0:is>
          <ns0:t>이전 ID는 회수하고 학습 기록·불빛은 보존. 새 문제의 정답·숙달로 자동 치환하지 않음.</ns0:t>
        </ns0:is>
      </ns0:c>
    </ns0:row>
    <ns0:row r="184" ht="38" customHeight="1">
      <ns0:c r="A184" s="10" t="n">
        <ns0:v>910183</ns0:v>
      </ns0:c>
      <ns0:c r="B184" s="10" t="n">
        <ns0:v>920183</ns0:v>
      </ns0:c>
      <ns0:c r="C184" s="10" t="inlineStr">
        <ns0:is>
          <ns0:t>자료가 설명하는 천장굴의 특징은?</ns0:t>
        </ns0:is>
      </ns0:c>
      <ns0:c r="D184" s="10" t="inlineStr">
        <ns0:is>
          <ns0:t>설명에 해당하는 독도 지명은 무엇인가요?</ns0:t>
        </ns0:is>
      </ns0:c>
      <ns0:c r="E184" s="10" t="inlineStr">
        <ns0:is>
          <ns0:t>이전 ID는 회수하고 학습 기록·불빛은 보존. 새 문제의 정답·숙달로 자동 치환하지 않음.</ns0:t>
        </ns0:is>
      </ns0:c>
    </ns0:row>
    <ns0:row r="185" ht="38" customHeight="1">
      <ns0:c r="A185" s="12" t="n">
        <ns0:v>910184</ns0:v>
      </ns0:c>
      <ns0:c r="B185" s="12" t="n">
        <ns0:v>920184</ns0:v>
      </ns0:c>
      <ns0:c r="C185" s="12" t="inlineStr">
        <ns0:is>
          <ns0:t>해안의 검은 구멍을 모두 천장굴이라 표시하면?</ns0:t>
        </ns0:is>
      </ns0:c>
      <ns0:c r="D185" s="12" t="inlineStr">
        <ns0:is>
          <ns0:t>천장굴을 설명하는 그림을 고른다면 어느 특징이 있어야 하나요?</ns0:t>
        </ns0:is>
      </ns0:c>
      <ns0:c r="E185" s="12" t="inlineStr">
        <ns0:is>
          <ns0:t>이전 ID는 회수하고 학습 기록·불빛은 보존. 새 문제의 정답·숙달로 자동 치환하지 않음.</ns0:t>
        </ns0:is>
      </ns0:c>
    </ns0:row>
    <ns0:row r="186" ht="38" customHeight="1">
      <ns0:c r="A186" s="10" t="n">
        <ns0:v>910185</ns0:v>
      </ns0:c>
      <ns0:c r="B186" s="10" t="n">
        <ns0:v>920185</ns0:v>
      </ns0:c>
      <ns0:c r="C186" s="10" t="inlineStr">
        <ns0:is>
          <ns0:t>독립문바위 이름과 연결되는 모양은?</ns0:t>
        </ns0:is>
      </ns0:c>
      <ns0:c r="D186" s="10" t="inlineStr">
        <ns0:is>
          <ns0:t>문처럼 뚫린 아치 모양으로 이름 붙은 독도의 바위는 무엇인가요?</ns0:t>
        </ns0:is>
      </ns0:c>
      <ns0:c r="E186" s="10" t="inlineStr">
        <ns0:is>
          <ns0:t>이전 ID는 회수하고 학습 기록·불빛은 보존. 새 문제의 정답·숙달로 자동 치환하지 않음.</ns0:t>
        </ns0:is>
      </ns0:c>
    </ns0:row>
    <ns0:row r="187" ht="38" customHeight="1">
      <ns0:c r="A187" s="12" t="n">
        <ns0:v>910186</ns0:v>
      </ns0:c>
      <ns0:c r="B187" s="12" t="n">
        <ns0:v>920186</ns0:v>
      </ns0:c>
      <ns0:c r="C187" s="12" t="inlineStr">
        <ns0:is>
          <ns0:t>독립문바위와 연결되는 형성 작용은?</ns0:t>
        </ns0:is>
      </ns0:c>
      <ns0:c r="D187" s="12" t="inlineStr">
        <ns0:is>
          <ns0:t>독립문바위는 어느 큰 섬의 해안에 있나요?</ns0:t>
        </ns0:is>
      </ns0:c>
      <ns0:c r="E187" s="12" t="inlineStr">
        <ns0:is>
          <ns0:t>이전 ID는 회수하고 학습 기록·불빛은 보존. 새 문제의 정답·숙달로 자동 치환하지 않음.</ns0:t>
        </ns0:is>
      </ns0:c>
    </ns0:row>
    <ns0:row r="188" ht="38" customHeight="1">
      <ns0:c r="A188" s="10" t="n">
        <ns0:v>910187</ns0:v>
      </ns0:c>
      <ns0:c r="B188" s="10" t="n">
        <ns0:v>920187</ns0:v>
      </ns0:c>
      <ns0:c r="C188" s="10" t="inlineStr">
        <ns0:is>
          <ns0:t>자료의 이름 유래와 형성을 바르게 묶으면?</ns0:t>
        </ns0:is>
      </ns0:c>
      <ns0:c r="D188" s="10" t="inlineStr">
        <ns0:is>
          <ns0:t>독립문바위의 지형 종류는 무엇인가요?</ns0:t>
        </ns0:is>
      </ns0:c>
      <ns0:c r="E188" s="10" t="inlineStr">
        <ns0:is>
          <ns0:t>이전 ID는 회수하고 학습 기록·불빛은 보존. 새 문제의 정답·숙달로 자동 치환하지 않음.</ns0:t>
        </ns0:is>
      </ns0:c>
    </ns0:row>
    <ns0:row r="189" ht="38" customHeight="1">
      <ns0:c r="A189" s="12" t="n">
        <ns0:v>910188</ns0:v>
      </ns0:c>
      <ns0:c r="B189" s="12" t="n">
        <ns0:v>920188</ns0:v>
      </ns0:c>
      <ns0:c r="C189" s="12" t="inlineStr">
        <ns0:is>
          <ns0:t>‘독립문’이라는 이름이 인공 건축을 증명할까요?</ns0:t>
        </ns0:is>
      </ns0:c>
      <ns0:c r="D189" s="12" t="inlineStr">
        <ns0:is>
          <ns0:t>독립문바위와 천장굴을 바르게 구별한 것은 무엇인가요?</ns0:t>
        </ns0:is>
      </ns0:c>
      <ns0:c r="E189" s="12" t="inlineStr">
        <ns0:is>
          <ns0:t>이전 ID는 회수하고 학습 기록·불빛은 보존. 새 문제의 정답·숙달로 자동 치환하지 않음.</ns0:t>
        </ns0:is>
      </ns0:c>
    </ns0:row>
    <ns0:row r="190" ht="38" customHeight="1">
      <ns0:c r="A190" s="10" t="n">
        <ns0:v>910189</ns0:v>
      </ns0:c>
      <ns0:c r="B190" s="10" t="n">
        <ns0:v>920189</ns0:v>
      </ns0:c>
      <ns0:c r="C190" s="10" t="inlineStr">
        <ns0:is>
          <ns0:t>숫돌바위 가까이에 있는 시설은?</ns0:t>
        </ns0:is>
      </ns0:c>
      <ns0:c r="D190" s="10" t="inlineStr">
        <ns0:is>
          <ns0:t>독도의 숫돌바위는 어느 시설 부근에 있나요?</ns0:t>
        </ns0:is>
      </ns0:c>
      <ns0:c r="E190" s="10" t="inlineStr">
        <ns0:is>
          <ns0:t>이전 ID는 회수하고 학습 기록·불빛은 보존. 새 문제의 정답·숙달로 자동 치환하지 않음.</ns0:t>
        </ns0:is>
      </ns0:c>
    </ns0:row>
    <ns0:row r="191" ht="38" customHeight="1">
      <ns0:c r="A191" s="12" t="n">
        <ns0:v>910190</ns0:v>
      </ns0:c>
      <ns0:c r="B191" s="12" t="n">
        <ns0:v>920190</ns0:v>
      </ns0:c>
      <ns0:c r="C191" s="12" t="inlineStr">
        <ns0:is>
          <ns0:t>숫돌바위의 이름과 관계있는 것은?</ns0:t>
        </ns0:is>
      </ns0:c>
      <ns0:c r="D191" s="12" t="inlineStr">
        <ns0:is>
          <ns0:t>‘숫돌바위’의 이름과 관련된 물건은 무엇인가요?</ns0:t>
        </ns0:is>
      </ns0:c>
      <ns0:c r="E191" s="12" t="inlineStr">
        <ns0:is>
          <ns0:t>이전 ID는 회수하고 학습 기록·불빛은 보존. 새 문제의 정답·숙달로 자동 치환하지 않음.</ns0:t>
        </ns0:is>
      </ns0:c>
    </ns0:row>
    <ns0:row r="192" ht="38" customHeight="1">
      <ns0:c r="A192" s="10" t="n">
        <ns0:v>910191</ns0:v>
      </ns0:c>
      <ns0:c r="B192" s="10" t="n">
        <ns0:v>920191</ns0:v>
      </ns0:c>
      <ns0:c r="C192" s="10" t="inlineStr">
        <ns0:is>
          <ns0:t>자료가 숫돌바위에서 소개하는 지질 모습은?</ns0:t>
        </ns0:is>
      </ns0:c>
      <ns0:c r="D192" s="10" t="inlineStr">
        <ns0:is>
          <ns0:t>숫돌바위에서 소개되는 주상절리의 방향은 어느 쪽인가요?</ns0:t>
        </ns0:is>
      </ns0:c>
      <ns0:c r="E192" s="10" t="inlineStr">
        <ns0:is>
          <ns0:t>이전 ID는 회수하고 학습 기록·불빛은 보존. 새 문제의 정답·숙달로 자동 치환하지 않음.</ns0:t>
        </ns0:is>
      </ns0:c>
    </ns0:row>
    <ns0:row r="193" ht="38" customHeight="1">
      <ns0:c r="A193" s="12" t="n">
        <ns0:v>910192</ns0:v>
      </ns0:c>
      <ns0:c r="B193" s="12" t="n">
        <ns0:v>920192</ns0:v>
      </ns0:c>
      <ns0:c r="C193" s="12" t="inlineStr">
        <ns0:is>
          <ns0:t>지명 유래만으로 바위 전체의 성질을 단정한다면?</ns0:t>
        </ns0:is>
      </ns0:c>
      <ns0:c r="D193" s="12" t="inlineStr">
        <ns0:is>
          <ns0:t>숫돌바위를 알아보는 데 맞는 설명 묶음은 무엇인가요?</ns0:t>
        </ns0:is>
      </ns0:c>
      <ns0:c r="E193" s="12" t="inlineStr">
        <ns0:is>
          <ns0:t>이전 ID는 회수하고 학습 기록·불빛은 보존. 새 문제의 정답·숙달로 자동 치환하지 않음.</ns0:t>
        </ns0:is>
      </ns0:c>
    </ns0:row>
    <ns0:row r="194" ht="38" customHeight="1">
      <ns0:c r="A194" s="10" t="n">
        <ns0:v>910193</ns0:v>
      </ns0:c>
      <ns0:c r="B194" s="10" t="n">
        <ns0:v>920193</ns0:v>
      </ns0:c>
      <ns0:c r="C194" s="10" t="inlineStr">
        <ns0:is>
          <ns0:t>가제바위의 ‘가제’와 연결되는 동물은?</ns0:t>
        </ns0:is>
      </ns0:c>
      <ns0:c r="D194" s="10" t="inlineStr">
        <ns0:is>
          <ns0:t>독도 ‘가제바위’의 가제는 어떤 동물의 옛 이름인가요?</ns0:t>
        </ns0:is>
      </ns0:c>
      <ns0:c r="E194" s="10" t="inlineStr">
        <ns0:is>
          <ns0:t>이전 ID는 회수하고 학습 기록·불빛은 보존. 새 문제의 정답·숙달로 자동 치환하지 않음.</ns0:t>
        </ns0:is>
      </ns0:c>
    </ns0:row>
    <ns0:row r="195" ht="38" customHeight="1">
      <ns0:c r="A195" s="12" t="n">
        <ns0:v>910194</ns0:v>
      </ns0:c>
      <ns0:c r="B195" s="12" t="n">
        <ns0:v>920194</ns0:v>
      </ns0:c>
      <ns0:c r="C195" s="12" t="inlineStr">
        <ns0:is>
          <ns0:t>가제바위 이름에 남아 있는 것은?</ns0:t>
        </ns0:is>
      </ns0:c>
      <ns0:c r="D195" s="12" t="inlineStr">
        <ns0:is>
          <ns0:t>가제바위의 이름에 남아 있는 독도의 역사는 무엇인가요?</ns0:t>
        </ns0:is>
      </ns0:c>
      <ns0:c r="E195" s="12" t="inlineStr">
        <ns0:is>
          <ns0:t>이전 ID는 회수하고 학습 기록·불빛은 보존. 새 문제의 정답·숙달로 자동 치환하지 않음.</ns0:t>
        </ns0:is>
      </ns0:c>
    </ns0:row>
    <ns0:row r="196" ht="38" customHeight="1">
      <ns0:c r="A196" s="10" t="n">
        <ns0:v>910195</ns0:v>
      </ns0:c>
      <ns0:c r="B196" s="10" t="n">
        <ns0:v>920195</ns0:v>
      </ns0:c>
      <ns0:c r="C196" s="10" t="inlineStr">
        <ns0:is>
          <ns0:t>자료에서 지명 유래를 설명하는 연결은?</ns0:t>
        </ns0:is>
      </ns0:c>
      <ns0:c r="D196" s="10" t="inlineStr">
        <ns0:is>
          <ns0:t>‘가제는 강치의 옛 이름’이라는 풀이로 연결할 수 있는 지명은 무엇인가요?</ns0:t>
        </ns0:is>
      </ns0:c>
      <ns0:c r="E196" s="10" t="inlineStr">
        <ns0:is>
          <ns0:t>이전 ID는 회수하고 학습 기록·불빛은 보존. 새 문제의 정답·숙달로 자동 치환하지 않음.</ns0:t>
        </ns0:is>
      </ns0:c>
    </ns0:row>
    <ns0:row r="197" ht="38" customHeight="1">
      <ns0:c r="A197" s="12" t="n">
        <ns0:v>910196</ns0:v>
      </ns0:c>
      <ns0:c r="B197" s="12" t="n">
        <ns0:v>920196</ns0:v>
      </ns0:c>
      <ns0:c r="C197" s="12" t="inlineStr">
        <ns0:is>
          <ns0:t>가제바위라는 이름만으로 오늘 강치가 산다 하면?</ns0:t>
        </ns0:is>
      </ns0:c>
      <ns0:c r="D197" s="12" t="inlineStr">
        <ns0:is>
          <ns0:t>가제바위 이름만으로 현재 강치 수를 알 수 없는 이유는 무엇인가요?</ns0:t>
        </ns0:is>
      </ns0:c>
      <ns0:c r="E197" s="12" t="inlineStr">
        <ns0:is>
          <ns0:t>이전 ID는 회수하고 학습 기록·불빛은 보존. 새 문제의 정답·숙달로 자동 치환하지 않음.</ns0:t>
        </ns0:is>
      </ns0:c>
    </ns0:row>
    <ns0:row r="198" ht="38" customHeight="1">
      <ns0:c r="A198" s="10" t="n">
        <ns0:v>910197</ns0:v>
      </ns0:c>
      <ns0:c r="B198" s="10" t="n">
        <ns0:v>920197</ns0:v>
      </ns0:c>
      <ns0:c r="C198" s="10" t="inlineStr">
        <ns0:is>
          <ns0:t>탕건봉 이름과 연결되는 것은?</ns0:t>
        </ns0:is>
      </ns0:c>
      <ns0:c r="D198" s="10" t="inlineStr">
        <ns0:is>
          <ns0:t>독도의 탕건봉은 어느 큰 섬에 있나요?</ns0:t>
        </ns0:is>
      </ns0:c>
      <ns0:c r="E198" s="10" t="inlineStr">
        <ns0:is>
          <ns0:t>이전 ID는 회수하고 학습 기록·불빛은 보존. 새 문제의 정답·숙달로 자동 치환하지 않음.</ns0:t>
        </ns0:is>
      </ns0:c>
    </ns0:row>
    <ns0:row r="199" ht="38" customHeight="1">
      <ns0:c r="A199" s="12" t="n">
        <ns0:v>910198</ns0:v>
      </ns0:c>
      <ns0:c r="B199" s="12" t="n">
        <ns0:v>920198</ns0:v>
      </ns0:c>
      <ns0:c r="C199" s="12" t="inlineStr">
        <ns0:is>
          <ns0:t>탕건봉과 독립문바위 이름의 공통점은?</ns0:t>
        </ns0:is>
      </ns0:c>
      <ns0:c r="D199" s="12" t="inlineStr">
        <ns0:is>
          <ns0:t>‘탕건봉’의 이름과 관련된 모양은 무엇인가요?</ns0:t>
        </ns0:is>
      </ns0:c>
      <ns0:c r="E199" s="12" t="inlineStr">
        <ns0:is>
          <ns0:t>이전 ID는 회수하고 학습 기록·불빛은 보존. 새 문제의 정답·숙달로 자동 치환하지 않음.</ns0:t>
        </ns0:is>
      </ns0:c>
    </ns0:row>
    <ns0:row r="200" ht="38" customHeight="1">
      <ns0:c r="A200" s="10" t="n">
        <ns0:v>910199</ns0:v>
      </ns0:c>
      <ns0:c r="B200" s="10" t="n">
        <ns0:v>920199</ns0:v>
      </ns0:c>
      <ns0:c r="C200" s="10" t="inlineStr">
        <ns0:is>
          <ns0:t>자료를 근거로 이름을 설명할 때 알맞은 것은?</ns0:t>
        </ns0:is>
      </ns0:c>
      <ns0:c r="D200" s="10" t="inlineStr">
        <ns0:is>
          <ns0:t>지명 유래표에서 탕건 모양에 해당하는 독도 지명은 무엇인가요?</ns0:t>
        </ns0:is>
      </ns0:c>
      <ns0:c r="E200" s="10" t="inlineStr">
        <ns0:is>
          <ns0:t>이전 ID는 회수하고 학습 기록·불빛은 보존. 새 문제의 정답·숙달로 자동 치환하지 않음.</ns0:t>
        </ns0:is>
      </ns0:c>
    </ns0:row>
    <ns0:row r="201" ht="38" customHeight="1">
      <ns0:c r="A201" s="12" t="n">
        <ns0:v>910200</ns0:v>
      </ns0:c>
      <ns0:c r="B201" s="12" t="n">
        <ns0:v>920200</ns0:v>
      </ns0:c>
      <ns0:c r="C201" s="12" t="inlineStr">
        <ns0:is>
          <ns0:t>다른 방향 사진이 덜 닮았다는 이유로 지명을 부정하면?</ns0:t>
        </ns0:is>
      </ns0:c>
      <ns0:c r="D201" s="12" t="inlineStr">
        <ns0:is>
          <ns0:t>독도 바위 이름의 유래를 ‘모양’과 ‘동물’로 나누면 어떤 짝이 맞나요?</ns0:t>
        </ns0:is>
      </ns0:c>
      <ns0:c r="E201" s="12" t="inlineStr">
        <ns0:is>
          <ns0:t>이전 ID는 회수하고 학습 기록·불빛은 보존. 새 문제의 정답·숙달로 자동 치환하지 않음.</ns0:t>
        </ns0:is>
      </ns0:c>
    </ns0:row>
    <ns0:row r="202" ht="38" customHeight="1">
      <ns0:c r="A202" s="10" t="n">
        <ns0:v>910201</ns0:v>
      </ns0:c>
      <ns0:c r="B202" s="10" t="n">
        <ns0:v>920201</ns0:v>
      </ns0:c>
      <ns0:c r="C202" s="10" t="inlineStr">
        <ns0:is>
          <ns0:t>태정관지령은 어느 나라의 행정 문서인가요?</ns0:t>
        </ns0:is>
      </ns0:c>
      <ns0:c r="D202" s="10" t="inlineStr">
        <ns0:is>
          <ns0:t>1877년 일본이 울릉도·독도를 일본과 관계없다고 한 문서는 무엇인가요?</ns0:t>
        </ns0:is>
      </ns0:c>
      <ns0:c r="E202" s="10" t="inlineStr">
        <ns0:is>
          <ns0:t>이전 ID는 회수하고 학습 기록·불빛은 보존. 새 문제의 정답·숙달로 자동 치환하지 않음.</ns0:t>
        </ns0:is>
      </ns0:c>
    </ns0:row>
    <ns0:row r="203" ht="38" customHeight="1">
      <ns0:c r="A203" s="12" t="n">
        <ns0:v>910202</ns0:v>
      </ns0:c>
      <ns0:c r="B203" s="12" t="n">
        <ns0:v>920202</ns0:v>
      </ns0:c>
      <ns0:c r="C203" s="12" t="inlineStr">
        <ns0:is>
          <ns0:t>태정관지령의 자료 종류는?</ns0:t>
        </ns0:is>
      </ns0:c>
      <ns0:c r="D203" s="12" t="inlineStr">
        <ns0:is>
          <ns0:t>일본 태정관은 1877년 울릉도·독도를 어떻게 판단했나요?</ns0:t>
        </ns0:is>
      </ns0:c>
      <ns0:c r="E203" s="12" t="inlineStr">
        <ns0:is>
          <ns0:t>이전 ID는 회수하고 학습 기록·불빛은 보존. 새 문제의 정답·숙달로 자동 치환하지 않음.</ns0:t>
        </ns0:is>
      </ns0:c>
    </ns0:row>
    <ns0:row r="204" ht="38" customHeight="1">
      <ns0:c r="A204" s="10" t="n">
        <ns0:v>910203</ns0:v>
      </ns0:c>
      <ns0:c r="B204" s="10" t="n">
        <ns0:v>920203</ns0:v>
      </ns0:c>
      <ns0:c r="C204" s="10" t="inlineStr">
        <ns0:is>
          <ns0:t>제시된 설명에서 확인되는 작성 맥락은?</ns0:t>
        </ns0:is>
      </ns0:c>
      <ns0:c r="D204" s="10" t="inlineStr">
        <ns0:is>
          <ns0:t>태정관지령 역문의 ‘본방’은 어느 나라를 가리키나요?</ns0:t>
        </ns0:is>
      </ns0:c>
      <ns0:c r="E204" s="10" t="inlineStr">
        <ns0:is>
          <ns0:t>이전 ID는 회수하고 학습 기록·불빛은 보존. 새 문제의 정답·숙달로 자동 치환하지 않음.</ns0:t>
        </ns0:is>
      </ns0:c>
    </ns0:row>
    <ns0:row r="205" ht="38" customHeight="1">
      <ns0:c r="A205" s="12" t="n">
        <ns0:v>910204</ns0:v>
      </ns0:c>
      <ns0:c r="B205" s="12" t="n">
        <ns0:v>920204</ns0:v>
      </ns0:c>
      <ns0:c r="C205" s="12" t="inlineStr">
        <ns0:is>
          <ns0:t>태정관지령을 국제재판 판결문이라 소개하면?</ns0:t>
        </ns0:is>
      </ns0:c>
      <ns0:c r="D205" s="12" t="inlineStr">
        <ns0:is>
          <ns0:t>태정관지령과 첨부 지도를 함께 읽으면 당시 일본 정부의 어떤 판단을 확인할 수 있나요?</ns0:t>
        </ns0:is>
      </ns0:c>
      <ns0:c r="E205" s="12" t="inlineStr">
        <ns0:is>
          <ns0:t>이전 ID는 회수하고 학습 기록·불빛은 보존. 새 문제의 정답·숙달로 자동 치환하지 않음.</ns0:t>
        </ns0:is>
      </ns0:c>
    </ns0:row>
    <ns0:row r="206" ht="38" customHeight="1">
      <ns0:c r="A206" s="10" t="n">
        <ns0:v>910205</ns0:v>
      </ns0:c>
      <ns0:c r="B206" s="10" t="n">
        <ns0:v>920205</ns0:v>
      </ns0:c>
      <ns0:c r="C206" s="10" t="inlineStr">
        <ns0:is>
          <ns0:t>제시된 옛 기록의 다케시마는 어느 섬인가요?</ns0:t>
        </ns0:is>
      </ns0:c>
      <ns0:c r="D206" s="10" t="inlineStr">
        <ns0:is>
          <ns0:t>1696년 일본 에도 막부가 일본 어민의 울릉도 도항을 금지한 명령은 무엇인가요?</ns0:t>
        </ns0:is>
      </ns0:c>
      <ns0:c r="E206" s="10" t="inlineStr">
        <ns0:is>
          <ns0:t>이전 ID는 회수하고 학습 기록·불빛은 보존. 새 문제의 정답·숙달로 자동 치환하지 않음.</ns0:t>
        </ns0:is>
      </ns0:c>
    </ns0:row>
    <ns0:row r="207" ht="38" customHeight="1">
      <ns0:c r="A207" s="12" t="n">
        <ns0:v>910206</ns0:v>
      </ns0:c>
      <ns0:c r="B207" s="12" t="n">
        <ns0:v>920206</ns0:v>
      </ns0:c>
      <ns0:c r="C207" s="12" t="inlineStr">
        <ns0:is>
          <ns0:t>옛 지명과 섬을 연결할 때 볼 것은?</ns0:t>
        </ns0:is>
      </ns0:c>
      <ns0:c r="D207" s="12" t="inlineStr">
        <ns0:is>
          <ns0:t>1696년 울릉도 도해금지령에서 금지한 ‘도해’는 무슨 뜻인가요?</ns0:t>
        </ns0:is>
      </ns0:c>
      <ns0:c r="E207" s="12" t="inlineStr">
        <ns0:is>
          <ns0:t>이전 ID는 회수하고 학습 기록·불빛은 보존. 새 문제의 정답·숙달로 자동 치환하지 않음.</ns0:t>
        </ns0:is>
      </ns0:c>
    </ns0:row>
    <ns0:row r="208" ht="38" customHeight="1">
      <ns0:c r="A208" s="10" t="n">
        <ns0:v>910207</ns0:v>
      </ns0:c>
      <ns0:c r="B208" s="10" t="n">
        <ns0:v>920207</ns0:v>
      </ns0:c>
      <ns0:c r="C208" s="10" t="inlineStr">
        <ns0:is>
          <ns0:t>자료의 1696년 도해금지령 대상 표기는?</ns0:t>
        </ns0:is>
      </ns0:c>
      <ns0:c r="D208" s="10" t="inlineStr">
        <ns0:is>
          <ns0:t>1696년 금지령에서 ‘다케시마’로 적힌 도항 목적지는 오늘날 어느 섬인가요?</ns0:t>
        </ns0:is>
      </ns0:c>
      <ns0:c r="E208" s="10" t="inlineStr">
        <ns0:is>
          <ns0:t>이전 ID는 회수하고 학습 기록·불빛은 보존. 새 문제의 정답·숙달로 자동 치환하지 않음.</ns0:t>
        </ns0:is>
      </ns0:c>
    </ns0:row>
    <ns0:row r="209" ht="38" customHeight="1">
      <ns0:c r="A209" s="12" t="n">
        <ns0:v>910208</ns0:v>
      </ns0:c>
      <ns0:c r="B209" s="12" t="n">
        <ns0:v>920208</ns0:v>
      </ns0:c>
      <ns0:c r="C209" s="12" t="inlineStr">
        <ns0:is>
          <ns0:t>같은 이름이면 모든 시대에 같은 섬이라고 하면?</ns0:t>
        </ns0:is>
      </ns0:c>
      <ns0:c r="D209" s="12" t="inlineStr">
        <ns0:is>
          <ns0:t>1696년 명령의 발령 주체·대상·목적지를 바르게 연결한 것은 무엇인가요?</ns0:t>
        </ns0:is>
      </ns0:c>
      <ns0:c r="E209" s="12" t="inlineStr">
        <ns0:is>
          <ns0:t>이전 ID는 회수하고 학습 기록·불빛은 보존. 새 문제의 정답·숙달로 자동 치환하지 않음.</ns0:t>
        </ns0:is>
      </ns0:c>
    </ns0:row>
    <ns0:row r="210" ht="38" customHeight="1">
      <ns0:c r="A210" s="10" t="n">
        <ns0:v>910209</ns0:v>
      </ns0:c>
      <ns0:c r="B210" s="10" t="n">
        <ns0:v>920209</ns0:v>
      </ns0:c>
      <ns0:c r="C210" s="10" t="inlineStr">
        <ns0:is>
          <ns0:t>옛 문서의 섬 이름을 함께 확인할 자료는?</ns0:t>
        </ns0:is>
      </ns0:c>
      <ns0:c r="D210" s="10" t="inlineStr">
        <ns0:is>
          <ns0:t>태정관지령 관련 서류에 첨부된 지도 이름은 무엇인가요?</ns0:t>
        </ns0:is>
      </ns0:c>
      <ns0:c r="E210" s="10" t="inlineStr">
        <ns0:is>
          <ns0:t>이전 ID는 회수하고 학습 기록·불빛은 보존. 새 문제의 정답·숙달로 자동 치환하지 않음.</ns0:t>
        </ns0:is>
      </ns0:c>
    </ns0:row>
    <ns0:row r="211" ht="38" customHeight="1">
      <ns0:c r="A211" s="12" t="n">
        <ns0:v>910210</ns0:v>
      </ns0:c>
      <ns0:c r="B211" s="12" t="n">
        <ns0:v>920210</ns0:v>
      </ns0:c>
      <ns0:c r="C211" s="12" t="inlineStr">
        <ns0:is>
          <ns0:t>문서와 지도를 함께 읽는 까닭은?</ns0:t>
        </ns0:is>
      </ns0:c>
      <ns0:c r="D211" s="12" t="inlineStr">
        <ns0:is>
          <ns0:t>태정관지령의 ‘외 1도’는 현대 지명으로 어느 섬에 해당하나요?</ns0:t>
        </ns0:is>
      </ns0:c>
      <ns0:c r="E211" s="12" t="inlineStr">
        <ns0:is>
          <ns0:t>이전 ID는 회수하고 학습 기록·불빛은 보존. 새 문제의 정답·숙달로 자동 치환하지 않음.</ns0:t>
        </ns0:is>
      </ns0:c>
    </ns0:row>
    <ns0:row r="212" ht="38" customHeight="1">
      <ns0:c r="A212" s="10" t="n">
        <ns0:v>910211</ns0:v>
      </ns0:c>
      <ns0:c r="B212" s="10" t="n">
        <ns0:v>920211</ns0:v>
      </ns0:c>
      <ns0:c r="C212" s="10" t="inlineStr">
        <ns0:is>
          <ns0:t>첨부 지도와 문서에서 대조할 항목은?</ns0:t>
        </ns0:is>
      </ns0:c>
      <ns0:c r="D212" s="10" t="inlineStr">
        <ns0:is>
          <ns0:t>첨부 지도 해설에서 울릉도와 독도를 가리키는 옛 이름의 짝은 무엇인가요?</ns0:t>
        </ns0:is>
      </ns0:c>
      <ns0:c r="E212" s="10" t="inlineStr">
        <ns0:is>
          <ns0:t>이전 ID는 회수하고 학습 기록·불빛은 보존. 새 문제의 정답·숙달로 자동 치환하지 않음.</ns0:t>
        </ns0:is>
      </ns0:c>
    </ns0:row>
    <ns0:row r="213" ht="38" customHeight="1">
      <ns0:c r="A213" s="12" t="n">
        <ns0:v>910212</ns0:v>
      </ns0:c>
      <ns0:c r="B213" s="12" t="n">
        <ns0:v>920212</ns0:v>
      </ns0:c>
      <ns0:c r="C213" s="12" t="inlineStr">
        <ns0:is>
          <ns0:t>지도 한 부분을 잘라 다른 이름표를 붙였다면?</ns0:t>
        </ns0:is>
      </ns0:c>
      <ns0:c r="D213" s="12" t="inlineStr">
        <ns0:is>
          <ns0:t>기죽도약도가 태정관지령 해석에 중요한 까닭은 무엇인가요?</ns0:t>
        </ns0:is>
      </ns0:c>
      <ns0:c r="E213" s="12" t="inlineStr">
        <ns0:is>
          <ns0:t>이전 ID는 회수하고 학습 기록·불빛은 보존. 새 문제의 정답·숙달로 자동 치환하지 않음.</ns0:t>
        </ns0:is>
      </ns0:c>
    </ns0:row>
    <ns0:row r="214" ht="38" customHeight="1">
      <ns0:c r="A214" s="10" t="n">
        <ns0:v>910213</ns0:v>
      </ns0:c>
      <ns0:c r="B214" s="10" t="n">
        <ns0:v>920213</ns0:v>
      </ns0:c>
      <ns0:c r="C214" s="10" t="inlineStr">
        <ns0:is>
          <ns0:t>당시 상황을 상부에 알리는 문서는?</ns0:t>
        </ns0:is>
      </ns0:c>
      <ns0:c r="D214" s="10" t="inlineStr">
        <ns0:is>
          <ns0:t>심흥택이 현지 상황을 상부에 알린 자료의 종류는 무엇인가요?</ns0:t>
        </ns0:is>
      </ns0:c>
      <ns0:c r="E214" s="10" t="inlineStr">
        <ns0:is>
          <ns0:t>이전 ID는 회수하고 학습 기록·불빛은 보존. 새 문제의 정답·숙달로 자동 치환하지 않음.</ns0:t>
        </ns0:is>
      </ns0:c>
    </ns0:row>
    <ns0:row r="215" ht="38" customHeight="1">
      <ns0:c r="A215" s="12" t="n">
        <ns0:v>910214</ns0:v>
      </ns0:c>
      <ns0:c r="B215" s="12" t="n">
        <ns0:v>920214</ns0:v>
      </ns0:c>
      <ns0:c r="C215" s="12" t="inlineStr">
        <ns0:is>
          <ns0:t>문서의 역할을 바르게 연결하면?</ns0:t>
        </ns0:is>
      </ns0:c>
      <ns0:c r="D215" s="12" t="inlineStr">
        <ns0:is>
          <ns0:t>독도와 관련된 행정 구역을 정하는 ‘칙령’은 어떤 자료인가요?</ns0:t>
        </ns0:is>
      </ns0:c>
      <ns0:c r="E215" s="12" t="inlineStr">
        <ns0:is>
          <ns0:t>이전 ID는 회수하고 학습 기록·불빛은 보존. 새 문제의 정답·숙달로 자동 치환하지 않음.</ns0:t>
        </ns0:is>
      </ns0:c>
    </ns0:row>
    <ns0:row r="216" ht="38" customHeight="1">
      <ns0:c r="A216" s="10" t="n">
        <ns0:v>910215</ns0:v>
      </ns0:c>
      <ns0:c r="B216" s="10" t="n">
        <ns0:v>920215</ns0:v>
      </ns0:c>
      <ns0:c r="C216" s="10" t="inlineStr">
        <ns0:is>
          <ns0:t>세 문서의 역할을 순서대로 정리하면?</ns0:t>
        </ns0:is>
      </ns0:c>
      <ns0:c r="D216" s="10" t="inlineStr">
        <ns0:is>
          <ns0:t>문서 종류가 ‘명령문’인 자료끼리 묶인 것은 무엇인가요?</ns0:t>
        </ns0:is>
      </ns0:c>
      <ns0:c r="E216" s="10" t="inlineStr">
        <ns0:is>
          <ns0:t>이전 ID는 회수하고 학습 기록·불빛은 보존. 새 문제의 정답·숙달로 자동 치환하지 않음.</ns0:t>
        </ns0:is>
      </ns0:c>
    </ns0:row>
    <ns0:row r="217" ht="38" customHeight="1">
      <ns0:c r="A217" s="12" t="n">
        <ns0:v>910216</ns0:v>
      </ns0:c>
      <ns0:c r="B217" s="12" t="n">
        <ns0:v>920216</ns0:v>
      </ns0:c>
      <ns0:c r="C217" s="12" t="inlineStr">
        <ns0:is>
          <ns0:t>세 문서에서 한 문장씩 떼어 같은 주장으로 묶으면?</ns0:t>
        </ns0:is>
      </ns0:c>
      <ns0:c r="D217" s="12" t="inlineStr">
        <ns0:is>
          <ns0:t>칙령과 현지 보고를 함께 보면 각각 무엇을 확인할 수 있나요?</ns0:t>
        </ns0:is>
      </ns0:c>
      <ns0:c r="E217" s="12" t="inlineStr">
        <ns0:is>
          <ns0:t>이전 ID는 회수하고 학습 기록·불빛은 보존. 새 문제의 정답·숙달로 자동 치환하지 않음.</ns0:t>
        </ns0:is>
      </ns0:c>
    </ns0:row>
    <ns0:row r="218" ht="38" customHeight="1">
      <ns0:c r="A218" s="10" t="n">
        <ns0:v>910217</ns0:v>
      </ns0:c>
      <ns0:c r="B218" s="10" t="n">
        <ns0:v>920217</ns0:v>
      </ns0:c>
      <ns0:c r="C218" s="10" t="inlineStr">
        <ns0:is>
          <ns0:t>당시 글의 모습을 확인하는 것은?</ns0:t>
        </ns0:is>
      </ns0:c>
      <ns0:c r="D218" s="10" t="inlineStr">
        <ns0:is>
          <ns0:t>1877년 태정관지령을 내린 일본 기관은 어디인가요?</ns0:t>
        </ns0:is>
      </ns0:c>
      <ns0:c r="E218" s="10" t="inlineStr">
        <ns0:is>
          <ns0:t>이전 ID는 회수하고 학습 기록·불빛은 보존. 새 문제의 정답·숙달로 자동 치환하지 않음.</ns0:t>
        </ns0:is>
      </ns0:c>
    </ns0:row>
    <ns0:row r="219" ht="38" customHeight="1">
      <ns0:c r="A219" s="12" t="n">
        <ns0:v>910218</ns0:v>
      </ns0:c>
      <ns0:c r="B219" s="12" t="n">
        <ns0:v>920218</ns0:v>
      </ns0:c>
      <ns0:c r="C219" s="12" t="inlineStr">
        <ns0:is>
          <ns0:t>원문과 해설을 나누는 까닭은?</ns0:t>
        </ns0:is>
      </ns0:c>
      <ns0:c r="D219" s="12" t="inlineStr">
        <ns0:is>
          <ns0:t>1877년 두 섬의 처리를 태정관에 문의한 일본 기관은 어디인가요?</ns0:t>
        </ns0:is>
      </ns0:c>
      <ns0:c r="E219" s="12" t="inlineStr">
        <ns0:is>
          <ns0:t>이전 ID는 회수하고 학습 기록·불빛은 보존. 새 문제의 정답·숙달로 자동 치환하지 않음.</ns0:t>
        </ns0:is>
      </ns0:c>
    </ns0:row>
    <ns0:row r="220" ht="38" customHeight="1">
      <ns0:c r="A220" s="10" t="n">
        <ns0:v>910219</ns0:v>
      </ns0:c>
      <ns0:c r="B220" s="10" t="n">
        <ns0:v>920219</ns0:v>
      </ns0:c>
      <ns0:c r="C220" s="10" t="inlineStr">
        <ns0:is>
          <ns0:t>현대 지명을 괄호에 덧붙인 부분의 성격은?</ns0:t>
        </ns0:is>
      </ns0:c>
      <ns0:c r="D220" s="10" t="inlineStr">
        <ns0:is>
          <ns0:t>자료 카드에서 현대의 역문·해설을 공개한 기관은 어디인가요?</ns0:t>
        </ns0:is>
      </ns0:c>
      <ns0:c r="E220" s="10" t="inlineStr">
        <ns0:is>
          <ns0:t>이전 ID는 회수하고 학습 기록·불빛은 보존. 새 문제의 정답·숙달로 자동 치환하지 않음.</ns0:t>
        </ns0:is>
      </ns0:c>
    </ns0:row>
    <ns0:row r="221" ht="38" customHeight="1">
      <ns0:c r="A221" s="12" t="n">
        <ns0:v>910220</ns0:v>
      </ns0:c>
      <ns0:c r="B221" s="12" t="n">
        <ns0:v>920220</ns0:v>
      </ns0:c>
      <ns0:c r="C221" s="12" t="inlineStr">
        <ns0:is>
          <ns0:t>해설의 지명 대응을 소개할 때 알맞은 방식은?</ns0:t>
        </ns0:is>
      </ns0:c>
      <ns0:c r="D221" s="12" t="inlineStr">
        <ns0:is>
          <ns0:t>태정관지령의 출처를 적을 때 작성자와 해설 기관을 바르게 나눈 것은 무엇인가요?</ns0:t>
        </ns0:is>
      </ns0:c>
      <ns0:c r="E221" s="12" t="inlineStr">
        <ns0:is>
          <ns0:t>이전 ID는 회수하고 학습 기록·불빛은 보존. 새 문제의 정답·숙달로 자동 치환하지 않음.</ns0:t>
        </ns0:is>
      </ns0:c>
    </ns0:row>
    <ns0:row r="222" ht="38" customHeight="1">
      <ns0:c r="A222" s="10" t="n">
        <ns0:v>910221</ns0:v>
      </ns0:c>
      <ns0:c r="B222" s="10" t="n">
        <ns0:v>920221</ns0:v>
      </ns0:c>
      <ns0:c r="C222" s="10" t="inlineStr">
        <ns0:is>
          <ns0:t>독도에 내릴 수 있는지에 영향을 주는 것은?</ns0:t>
        </ns0:is>
      </ns0:c>
      <ns0:c r="D222" s="10" t="inlineStr">
        <ns0:is>
          <ns0:t>독도 배가 접안하기 어려워지는 바다 상태는 무엇인가요?</ns0:t>
        </ns0:is>
      </ns0:c>
      <ns0:c r="E222" s="10" t="inlineStr">
        <ns0:is>
          <ns0:t>이전 ID는 회수하고 학습 기록·불빛은 보존. 새 문제의 정답·숙달로 자동 치환하지 않음.</ns0:t>
        </ns0:is>
      </ns0:c>
    </ns0:row>
    <ns0:row r="223" ht="38" customHeight="1">
      <ns0:c r="A223" s="12" t="n">
        <ns0:v>910222</ns0:v>
      </ns0:c>
      <ns0:c r="B223" s="12" t="n">
        <ns0:v>920222</ns0:v>
      </ns0:c>
      <ns0:c r="C223" s="12" t="inlineStr">
        <ns0:is>
          <ns0:t>배를 예약했어도 다시 확인할 것은?</ns0:t>
        </ns0:is>
      </ns0:c>
      <ns0:c r="D223" s="12" t="inlineStr">
        <ns0:is>
          <ns0:t>독도 배표가 있어도 상륙하지 못할 수 있는 까닭은 무엇인가요?</ns0:t>
        </ns0:is>
      </ns0:c>
      <ns0:c r="E223" s="12" t="inlineStr">
        <ns0:is>
          <ns0:t>이전 ID는 회수하고 학습 기록·불빛은 보존. 새 문제의 정답·숙달로 자동 치환하지 않음.</ns0:t>
        </ns0:is>
      </ns0:c>
    </ns0:row>
    <ns0:row r="224" ht="38" customHeight="1">
      <ns0:c r="A224" s="10" t="n">
        <ns0:v>910223</ns0:v>
      </ns0:c>
      <ns0:c r="B224" s="10" t="n">
        <ns0:v>920223</ns0:v>
      </ns0:c>
      <ns0:c r="C224" s="10" t="inlineStr">
        <ns0:is>
          <ns0:t>자료가 입도 제한 이유로 명시한 것은?</ns0:t>
        </ns0:is>
      </ns0:c>
      <ns0:c r="D224" s="10" t="inlineStr">
        <ns0:is>
          <ns0:t>입도 안내를 보고 여행 계획에 넣어야 할 조건은 무엇인가요?</ns0:t>
        </ns0:is>
      </ns0:c>
      <ns0:c r="E224" s="10" t="inlineStr">
        <ns0:is>
          <ns0:t>이전 ID는 회수하고 학습 기록·불빛은 보존. 새 문제의 정답·숙달로 자동 치환하지 않음.</ns0:t>
        </ns0:is>
      </ns0:c>
    </ns0:row>
    <ns0:row r="225" ht="38" customHeight="1">
      <ns0:c r="A225" s="12" t="n">
        <ns0:v>910224</ns0:v>
      </ns0:c>
      <ns0:c r="B225" s="12" t="n">
        <ns0:v>920224</ns0:v>
      </ns0:c>
      <ns0:c r="C225" s="12" t="inlineStr">
        <ns0:is>
          <ns0:t>과거 방문 사진이 내일 입도를 보장할까요?</ns0:t>
        </ns0:is>
      </ns0:c>
      <ns0:c r="D225" s="12" t="inlineStr">
        <ns0:is>
          <ns0:t>독도에 가는 날의 입도 가능성을 확인하려면 무엇을 우선 확인해야 하나요?</ns0:t>
        </ns0:is>
      </ns0:c>
      <ns0:c r="E225" s="12" t="inlineStr">
        <ns0:is>
          <ns0:t>이전 ID는 회수하고 학습 기록·불빛은 보존. 새 문제의 정답·숙달로 자동 치환하지 않음.</ns0:t>
        </ns0:is>
      </ns0:c>
    </ns0:row>
    <ns0:row r="226" ht="38" customHeight="1">
      <ns0:c r="A226" s="10" t="n">
        <ns0:v>910225</ns0:v>
      </ns0:c>
      <ns0:c r="B226" s="10" t="n">
        <ns0:v>920225</ns0:v>
      </ns0:c>
      <ns0:c r="C226" s="10" t="inlineStr">
        <ns0:is>
          <ns0:t>독도 기후에 큰 영향을 주는 주변 환경은?</ns0:t>
        </ns0:is>
      </ns0:c>
      <ns0:c r="D226" s="10" t="inlineStr">
        <ns0:is>
          <ns0:t>독도 부근에서 겨울철에 주로 내리는 것은 무엇인가요?</ns0:t>
        </ns0:is>
      </ns0:c>
      <ns0:c r="E226" s="10" t="inlineStr">
        <ns0:is>
          <ns0:t>이전 ID는 회수하고 학습 기록·불빛은 보존. 새 문제의 정답·숙달로 자동 치환하지 않음.</ns0:t>
        </ns0:is>
      </ns0:c>
    </ns0:row>
    <ns0:row r="227" ht="38" customHeight="1">
      <ns0:c r="A227" s="12" t="n">
        <ns0:v>910226</ns0:v>
      </ns0:c>
      <ns0:c r="B227" s="12" t="n">
        <ns0:v>920226</ns0:v>
      </ns0:c>
      <ns0:c r="C227" s="12" t="inlineStr">
        <ns0:is>
          <ns0:t>독도에서 안개가 끼면 달라질 수 있는 것은?</ns0:t>
        </ns0:is>
      </ns0:c>
      <ns0:c r="D227" s="12" t="inlineStr">
        <ns0:is>
          <ns0:t>바다의 영향을 많이 받는 독도 부근의 기후를 무엇이라고 하나요?</ns0:t>
        </ns0:is>
      </ns0:c>
      <ns0:c r="E227" s="12" t="inlineStr">
        <ns0:is>
          <ns0:t>이전 ID는 회수하고 학습 기록·불빛은 보존. 새 문제의 정답·숙달로 자동 치환하지 않음.</ns0:t>
        </ns0:is>
      </ns0:c>
    </ns0:row>
    <ns0:row r="228" ht="38" customHeight="1">
      <ns0:c r="A228" s="10" t="n">
        <ns0:v>910227</ns0:v>
      </ns0:c>
      <ns0:c r="B228" s="10" t="n">
        <ns0:v>920227</ns0:v>
      </ns0:c>
      <ns0:c r="C228" s="10" t="inlineStr">
        <ns0:is>
          <ns0:t>자료의 기후 설명과 오늘 날씨의 관계는?</ns0:t>
        </ns0:is>
      </ns0:c>
      <ns0:c r="D228" s="10" t="inlineStr">
        <ns0:is>
          <ns0:t>독도 부근 기후의 특징을 자료와 맞게 고른 것은 무엇인가요?</ns0:t>
        </ns0:is>
      </ns0:c>
      <ns0:c r="E228" s="10" t="inlineStr">
        <ns0:is>
          <ns0:t>이전 ID는 회수하고 학습 기록·불빛은 보존. 새 문제의 정답·숙달로 자동 치환하지 않음.</ns0:t>
        </ns0:is>
      </ns0:c>
    </ns0:row>
    <ns0:row r="229" ht="38" customHeight="1">
      <ns0:c r="A229" s="12" t="n">
        <ns0:v>910228</ns0:v>
      </ns0:c>
      <ns0:c r="B229" s="12" t="n">
        <ns0:v>920228</ns0:v>
      </ns0:c>
      <ns0:c r="C229" s="12" t="inlineStr">
        <ns0:is>
          <ns0:t>맑은 사진 한 장으로 독도는 늘 맑다고 한다면?</ns0:t>
        </ns0:is>
      </ns0:c>
      <ns0:c r="D229" s="12" t="inlineStr">
        <ns0:is>
          <ns0:t>독도 여행 안내에 ‘겨울에는 눈이 주로 내리니 오늘도 반드시 눈이 온다’고 쓰면 무엇을 고쳐야 하나요?</ns0:t>
        </ns0:is>
      </ns0:c>
      <ns0:c r="E229" s="12" t="inlineStr">
        <ns0:is>
          <ns0:t>이전 ID는 회수하고 학습 기록·불빛은 보존. 새 문제의 정답·숙달로 자동 치환하지 않음.</ns0:t>
        </ns0:is>
      </ns0:c>
    </ns0:row>
    <ns0:row r="230" ht="38" customHeight="1">
      <ns0:c r="A230" s="10" t="n">
        <ns0:v>910229</ns0:v>
      </ns0:c>
      <ns0:c r="B230" s="10" t="n">
        <ns0:v>920229</ns0:v>
      </ns0:c>
      <ns0:c r="C230" s="10" t="inlineStr">
        <ns0:is>
          <ns0:t>독도가 속한 군은?</ns0:t>
        </ns0:is>
      </ns0:c>
      <ns0:c r="D230" s="10" t="inlineStr">
        <ns0:is>
          <ns0:t>독도안용복길 3에 있는 시설은 무엇인가요?</ns0:t>
        </ns0:is>
      </ns0:c>
      <ns0:c r="E230" s="10" t="inlineStr">
        <ns0:is>
          <ns0:t>이전 ID는 회수하고 학습 기록·불빛은 보존. 새 문제의 정답·숙달로 자동 치환하지 않음.</ns0:t>
        </ns0:is>
      </ns0:c>
    </ns0:row>
    <ns0:row r="231" ht="38" customHeight="1">
      <ns0:c r="A231" s="12" t="n">
        <ns0:v>910230</ns0:v>
      </ns0:c>
      <ns0:c r="B231" s="12" t="n">
        <ns0:v>920230</ns0:v>
      </ns0:c>
      <ns0:c r="C231" s="12" t="inlineStr">
        <ns0:is>
          <ns0:t>독도안용복길과 연결되는 시설은?</ns0:t>
        </ns0:is>
      </ns0:c>
      <ns0:c r="D231" s="12" t="inlineStr">
        <ns0:is>
          <ns0:t>동도의 경비대와 등대 주소에 공통으로 들어가는 길 이름은 무엇인가요?</ns0:t>
        </ns0:is>
      </ns0:c>
      <ns0:c r="E231" s="12" t="inlineStr">
        <ns0:is>
          <ns0:t>이전 ID는 회수하고 학습 기록·불빛은 보존. 새 문제의 정답·숙달로 자동 치환하지 않음.</ns0:t>
        </ns0:is>
      </ns0:c>
    </ns0:row>
    <ns0:row r="232" ht="38" customHeight="1">
      <ns0:c r="A232" s="10" t="n">
        <ns0:v>910231</ns0:v>
      </ns0:c>
      <ns0:c r="B232" s="10" t="n">
        <ns0:v>920231</ns0:v>
      </ns0:c>
      <ns0:c r="C232" s="10" t="inlineStr">
        <ns0:is>
          <ns0:t>주소 자료에서 동도의 두 시설은?</ns0:t>
        </ns0:is>
      </ns0:c>
      <ns0:c r="D232" s="10" t="inlineStr">
        <ns0:is>
          <ns0:t>주소표에서 독도이사부길 63에 해당하는 시설은 무엇인가요?</ns0:t>
        </ns0:is>
      </ns0:c>
      <ns0:c r="E232" s="10" t="inlineStr">
        <ns0:is>
          <ns0:t>이전 ID는 회수하고 학습 기록·불빛은 보존. 새 문제의 정답·숙달로 자동 치환하지 않음.</ns0:t>
        </ns0:is>
      </ns0:c>
    </ns0:row>
    <ns0:row r="233" ht="38" customHeight="1">
      <ns0:c r="A233" s="12" t="n">
        <ns0:v>910232</ns0:v>
      </ns0:c>
      <ns0:c r="B233" s="12" t="n">
        <ns0:v>920232</ns0:v>
      </ns0:c>
      <ns0:c r="C233" s="12" t="inlineStr">
        <ns0:is>
          <ns0:t>등대 번지 63을 북위 63도로 읽으면?</ns0:t>
        </ns0:is>
      </ns0:c>
      <ns0:c r="D233" s="12" t="inlineStr">
        <ns0:is>
          <ns0:t>서도 주민숙소와 동도 등대에 편지를 보낼 주소를 순서대로 고르면 무엇인가요?</ns0:t>
        </ns0:is>
      </ns0:c>
      <ns0:c r="E233" s="12" t="inlineStr">
        <ns0:is>
          <ns0:t>이전 ID는 회수하고 학습 기록·불빛은 보존. 새 문제의 정답·숙달로 자동 치환하지 않음.</ns0:t>
        </ns0:is>
      </ns0:c>
    </ns0:row>
    <ns0:row r="234" ht="38" customHeight="1">
      <ns0:c r="A234" s="10" t="n">
        <ns0:v>910233</ns0:v>
      </ns0:c>
      <ns0:c r="B234" s="10" t="n">
        <ns0:v>920233</ns0:v>
      </ns0:c>
      <ns0:c r="C234" s="10" t="inlineStr">
        <ns0:is>
          <ns0:t>일반 방문객이 관람하는 곳으로 안내된 곳은?</ns0:t>
        </ns0:is>
      </ns0:c>
      <ns0:c r="D234" s="10" t="inlineStr">
        <ns0:is>
          <ns0:t>일반적인 독도 탐방에서 기본 관람 구역으로 안내하는 곳은 어디인가요?</ns0:t>
        </ns0:is>
      </ns0:c>
      <ns0:c r="E234" s="10" t="inlineStr">
        <ns0:is>
          <ns0:t>이전 ID는 회수하고 학습 기록·불빛은 보존. 새 문제의 정답·숙달로 자동 치환하지 않음.</ns0:t>
        </ns0:is>
      </ns0:c>
    </ns0:row>
    <ns0:row r="235" ht="38" customHeight="1">
      <ns0:c r="A235" s="12" t="n">
        <ns0:v>910234</ns0:v>
      </ns0:c>
      <ns0:c r="B235" s="12" t="n">
        <ns0:v>920234</ns0:v>
      </ns0:c>
      <ns0:c r="C235" s="12" t="inlineStr">
        <ns0:is>
          <ns0:t>일부 관람 허용과 섬 전체 출입의 관계는?</ns0:t>
        </ns0:is>
      </ns0:c>
      <ns0:c r="D235" s="12" t="inlineStr">
        <ns0:is>
          <ns0:t>독도 배표만 있으면 섬의 모든 곳에 들어갈 수 있나요?</ns0:t>
        </ns0:is>
      </ns0:c>
      <ns0:c r="E235" s="12" t="inlineStr">
        <ns0:is>
          <ns0:t>이전 ID는 회수하고 학습 기록·불빛은 보존. 새 문제의 정답·숙달로 자동 치환하지 않음.</ns0:t>
        </ns0:is>
      </ns0:c>
    </ns0:row>
    <ns0:row r="236" ht="38" customHeight="1">
      <ns0:c r="A236" s="10" t="n">
        <ns0:v>910235</ns0:v>
      </ns0:c>
      <ns0:c r="B236" s="10" t="n">
        <ns0:v>920235</ns0:v>
      </ns0:c>
      <ns0:c r="C236" s="10" t="inlineStr">
        <ns0:is>
          <ns0:t>자료의 보호구역과 관람구역을 바르게 읽으면?</ns0:t>
        </ns0:is>
      </ns0:c>
      <ns0:c r="D236" s="10" t="inlineStr">
        <ns0:is>
          <ns0:t>서도를 방문하려는 사람이 먼저 확인해야 할 것은 무엇인가요?</ns0:t>
        </ns0:is>
      </ns0:c>
      <ns0:c r="E236" s="10" t="inlineStr">
        <ns0:is>
          <ns0:t>이전 ID는 회수하고 학습 기록·불빛은 보존. 새 문제의 정답·숙달로 자동 치환하지 않음.</ns0:t>
        </ns0:is>
      </ns0:c>
    </ns0:row>
    <ns0:row r="237" ht="38" customHeight="1">
      <ns0:c r="A237" s="12" t="n">
        <ns0:v>910236</ns0:v>
      </ns0:c>
      <ns0:c r="B237" s="12" t="n">
        <ns0:v>920236</ns0:v>
      </ns0:c>
      <ns0:c r="C237" s="12" t="inlineStr">
        <ns0:is>
          <ns0:t>공개된 선착장을 보고 ‘보호구역이 아니다’라 하면?</ns0:t>
        </ns0:is>
      </ns0:c>
      <ns0:c r="D237" s="12" t="inlineStr">
        <ns0:is>
          <ns0:t>독도 여행 안내문에서 고쳐야 할 약속은 무엇인가요?</ns0:t>
        </ns0:is>
      </ns0:c>
      <ns0:c r="E237" s="12" t="inlineStr">
        <ns0:is>
          <ns0:t>이전 ID는 회수하고 학습 기록·불빛은 보존. 새 문제의 정답·숙달로 자동 치환하지 않음.</ns0:t>
        </ns0:is>
      </ns0:c>
    </ns0:row>
    <ns0:row r="238" ht="38" customHeight="1">
      <ns0:c r="A238" s="10" t="n">
        <ns0:v>910237</ns0:v>
      </ns0:c>
      <ns0:c r="B238" s="10" t="n">
        <ns0:v>920237</ns0:v>
      </ns0:c>
      <ns0:c r="C238" s="10" t="inlineStr">
        <ns0:is>
          <ns0:t>독도 소개에 함께 담을 내용은?</ns0:t>
        </ns0:is>
      </ns0:c>
      <ns0:c r="D238" s="10" t="inlineStr">
        <ns0:is>
          <ns0:t>독도의 큰 두 섬 이름을 모두 적은 것은 무엇인가요?</ns0:t>
        </ns0:is>
      </ns0:c>
      <ns0:c r="E238" s="10" t="inlineStr">
        <ns0:is>
          <ns0:t>이전 ID는 회수하고 학습 기록·불빛은 보존. 새 문제의 정답·숙달로 자동 치환하지 않음.</ns0:t>
        </ns0:is>
      </ns0:c>
    </ns0:row>
    <ns0:row r="239" ht="38" customHeight="1">
      <ns0:c r="A239" s="12" t="n">
        <ns0:v>910238</ns0:v>
      </ns0:c>
      <ns0:c r="B239" s="12" t="n">
        <ns0:v>920238</ns0:v>
      </ns0:c>
      <ns0:c r="C239" s="12" t="inlineStr">
        <ns0:is>
          <ns0:t>화산 자료와 철새 자료를 함께 보면?</ns0:t>
        </ns0:is>
      </ns0:c>
      <ns0:c r="D239" s="12" t="inlineStr">
        <ns0:is>
          <ns0:t>독도에서 더 높은 큰 섬과 등대가 있는 섬을 순서대로 고르면 무엇인가요?</ns0:t>
        </ns0:is>
      </ns0:c>
      <ns0:c r="E239" s="12" t="inlineStr">
        <ns0:is>
          <ns0:t>이전 ID는 회수하고 학습 기록·불빛은 보존. 새 문제의 정답·숙달로 자동 치환하지 않음.</ns0:t>
        </ns0:is>
      </ns0:c>
    </ns0:row>
    <ns0:row r="240" ht="38" customHeight="1">
      <ns0:c r="A240" s="10" t="n">
        <ns0:v>910239</ns0:v>
      </ns0:c>
      <ns0:c r="B240" s="10" t="n">
        <ns0:v>920239</ns0:v>
      </ns0:c>
      <ns0:c r="C240" s="10" t="inlineStr">
        <ns0:is>
          <ns0:t>칙령 제41호와 가장 직접 연결되는 분야는?</ns0:t>
        </ns0:is>
      </ns0:c>
      <ns0:c r="D240" s="10" t="inlineStr">
        <ns0:is>
          <ns0:t>독도 안내 카드의 수치와 시설을 바르게 연결한 것은 무엇인가요?</ns0:t>
        </ns0:is>
      </ns0:c>
      <ns0:c r="E240" s="10" t="inlineStr">
        <ns0:is>
          <ns0:t>이전 ID는 회수하고 학습 기록·불빛은 보존. 새 문제의 정답·숙달로 자동 치환하지 않음.</ns0:t>
        </ns0:is>
      </ns0:c>
    </ns0:row>
    <ns0:row r="241" ht="38" customHeight="1">
      <ns0:c r="A241" s="12" t="n">
        <ns0:v>910240</ns0:v>
      </ns0:c>
      <ns0:c r="B241" s="12" t="n">
        <ns0:v>920240</ns0:v>
      </ns0:c>
      <ns0:c r="C241" s="12" t="inlineStr">
        <ns0:is>
          <ns0:t>여러 자료로 독도를 설명할 때 지킬 기준은?</ns0:t>
        </ns0:is>
      </ns0:c>
      <ns0:c r="D241" s="12" t="inlineStr">
        <ns0:is>
          <ns0:t>독도 소개문에 넣을 설명으로 사실에 맞는 것은 무엇인가요?</ns0:t>
        </ns0:is>
      </ns0:c>
      <ns0:c r="E241" s="12" t="inlineStr">
        <ns0:is>
          <ns0:t>이전 ID는 회수하고 학습 기록·불빛은 보존. 새 문제의 정답·숙달로 자동 치환하지 않음.</ns0:t>
        </ns0:is>
      </ns0:c>
    </ns0:row>
  </ns0:sheetData>
  <ns0:autoFilter ref="A1:E241"/>
  <ns0:pageMargins left="0.75" right="0.75" top="1" bottom="1" header="0.5" footer="0.5"/>
  <ns0:pageSetup orientation="landscape" paperSize="8" fitToHeight="0" fitToWidth="1"/>
</ns0:worksheet>
</file>

<file path=xl/worksheets/sheet7.xml><?xml version="1.0" encoding="utf-8"?>
<ns0:worksheet xmlns:ns0="http://schemas.openxmlformats.org/spreadsheetml/2006/main">
  <ns0:sheetPr>
    <ns0:outlinePr summaryBelow="1" summaryRight="1"/>
    <ns0:pageSetUpPr fitToPage="1"/>
  </ns0:sheetPr>
  <ns0:dimension ref="A1:I31"/>
  <ns0:sheetViews>
    <ns0:sheetView showGridLines="0" workbookViewId="0">
      <ns0:pane xSplit="2" ySplit="1" topLeftCell="C2" activePane="bottomRight" state="frozen"/>
      <ns0:selection pane="topRight"/>
      <ns0:selection pane="bottomLeft"/>
      <ns0:selection pane="bottomRight" activeCell="A1" sqref="A1"/>
    </ns0:sheetView>
  </ns0:sheetViews>
  <ns0:sheetFormatPr baseColWidth="8" defaultRowHeight="15"/>
  <ns0:cols>
    <ns0:col width="24" customWidth="1" min="1" max="1"/>
    <ns0:col width="54" customWidth="1" min="2" max="2"/>
    <ns0:col width="95" customWidth="1" min="3" max="3"/>
    <ns0:col width="80" customWidth="1" min="4" max="4"/>
    <ns0:col width="16" customWidth="1" min="5" max="5"/>
    <ns0:col width="64" customWidth="1" min="6" max="6"/>
    <ns0:col width="90" customWidth="1" min="7" max="7"/>
    <ns0:col width="60" customWidth="1" min="8" max="8"/>
    <ns0:col width="15" customWidth="1" min="9" max="9"/>
  </ns0:cols>
  <ns0:sheetData>
    <ns0:row r="1" ht="34" customHeight="1">
      <ns0:c r="A1" s="9" t="inlineStr">
        <ns0:is>
          <ns0:t>source ID</ns0:t>
        </ns0:is>
      </ns0:c>
      <ns0:c r="B1" s="9" t="inlineStr">
        <ns0:is>
          <ns0:t>국가·공개 기관</ns0:t>
        </ns0:is>
      </ns0:c>
      <ns0:c r="C1" s="9" t="inlineStr">
        <ns0:is>
          <ns0:t>원문 URL</ns0:t>
        </ns0:is>
      </ns0:c>
      <ns0:c r="D1" s="9" t="inlineStr">
        <ns0:is>
          <ns0:t>근거 위치</ns0:t>
        </ns0:is>
      </ns0:c>
      <ns0:c r="E1" s="9" t="inlineStr">
        <ns0:is>
          <ns0:t>공개 국가</ns0:t>
        </ns0:is>
      </ns0:c>
      <ns0:c r="F1" s="9" t="inlineStr">
        <ns0:is>
          <ns0:t>확인 방식·한계</ns0:t>
        </ns0:is>
      </ns0:c>
      <ns0:c r="G1" s="9" t="inlineStr">
        <ns0:is>
          <ns0:t>출처 역할</ns0:t>
        </ns0:is>
      </ns0:c>
      <ns0:c r="H1" s="9" t="inlineStr">
        <ns0:is>
          <ns0:t>originalCreator</ns0:t>
        </ns0:is>
      </ns0:c>
      <ns0:c r="I1" s="9" t="inlineStr">
        <ns0:is>
          <ns0:t>checked</ns0:t>
        </ns0:is>
      </ns0:c>
    </ns0:row>
    <ns0:row r="2" ht="33" customHeight="1">
      <ns0:c r="A2" s="10" t="inlineStr">
        <ns0:is>
          <ns0:t>location</ns0:t>
        </ns0:is>
      </ns0:c>
      <ns0:c r="B2" s="10" t="inlineStr">
        <ns0:is>
          <ns0:t>대한민국 외교부 · 독도의 구성 및 위치</ns0:t>
        </ns0:is>
      </ns0:c>
      <ns0:c r="C2" s="10" t="inlineStr">
        <ns0:is>
          <ns0:t>https://dokdo.mofa.go.kr/kor/introduce/location.jsp</ns0:t>
        </ns0:is>
      </ns0:c>
      <ns0:c r="D2" s="10" t="inlineStr">
        <ns0:is>
          <ns0:t>두 큰 섬·부속 도서 / 높이·면적 / 울릉도·오키섬 거리</ns0:t>
        </ns0:is>
      </ns0:c>
      <ns0:c r="E2" s="10" t="inlineStr">
        <ns0:is>
          <ns0:t>대한민국</ns0:t>
        </ns0:is>
      </ns0:c>
      <ns0:c r="F2" s="10" t="inlineStr">
        <ns0:is>
          <ns0:t>official-page text or official indexed text</ns0:t>
        </ns0:is>
      </ns0:c>
      <ns0:c r="G2" s="10" t="inlineStr">
        <ns0:is>
          <ns0:t>현재 공개된 기관 안내; 조사 시기·범위의 한계를 유지</ns0:t>
        </ns0:is>
      </ns0:c>
      <ns0:c r="H2" s="10" t="inlineStr">
        <ns0:is>
          <ns0:t>""</ns0:t>
        </ns0:is>
      </ns0:c>
      <ns0:c r="I2" s="10" t="inlineStr">
        <ns0:is>
          <ns0:t>2026-09-12</ns0:t>
        </ns0:is>
      </ns0:c>
    </ns0:row>
    <ns0:row r="3" ht="33" customHeight="1">
      <ns0:c r="A3" s="12" t="inlineStr">
        <ns0:is>
          <ns0:t>geology</ns0:t>
        </ns0:is>
      </ns0:c>
      <ns0:c r="B3" s="12" t="inlineStr">
        <ns0:is>
          <ns0:t>대한민국 한국해양과학기술원 · 독도 지형 및 지질</ns0:t>
        </ns0:is>
      </ns0:c>
      <ns0:c r="C3" s="12" t="inlineStr">
        <ns0:is>
          <ns0:t>https://www.dokdo.re.kr/home/cms/cmsCont.do?cntnts_sn=66</ns0:t>
        </ns0:is>
      </ns0:c>
      <ns0:c r="D3" s="12" t="inlineStr">
        <ns0:is>
          <ns0:t>해저 화산의 형성 / 해안 침식 지형 / 물골 / 지형 변화</ns0:t>
        </ns0:is>
      </ns0:c>
      <ns0:c r="E3" s="12" t="inlineStr">
        <ns0:is>
          <ns0:t>대한민국</ns0:t>
        </ns0:is>
      </ns0:c>
      <ns0:c r="F3" s="12" t="inlineStr">
        <ns0:is>
          <ns0:t>official-indexed-text; live-page access limited</ns0:t>
        </ns0:is>
      </ns0:c>
      <ns0:c r="G3" s="12" t="inlineStr">
        <ns0:is>
          <ns0:t>현재 공개된 기관 안내; 조사 시기·범위의 한계를 유지</ns0:t>
        </ns0:is>
      </ns0:c>
      <ns0:c r="H3" s="12" t="inlineStr">
        <ns0:is>
          <ns0:t>""</ns0:t>
        </ns0:is>
      </ns0:c>
      <ns0:c r="I3" s="12" t="inlineStr">
        <ns0:is>
          <ns0:t>2026-09-12</ns0:t>
        </ns0:is>
      </ns0:c>
    </ns0:row>
    <ns0:row r="4" ht="33" customHeight="1">
      <ns0:c r="A4" s="10" t="inlineStr">
        <ns0:is>
          <ns0:t>nature</ns0:t>
        </ns0:is>
      </ns0:c>
      <ns0:c r="B4" s="10" t="inlineStr">
        <ns0:is>
          <ns0:t>대한민국 외교부 · 독도의 자연환경</ns0:t>
        </ns0:is>
      </ns0:c>
      <ns0:c r="C4" s="10" t="inlineStr">
        <ns0:is>
          <ns0:t>https://dokdo.mofa.go.kr/kor/introduce/nature.jsp</ns0:t>
        </ns0:is>
      </ns0:c>
      <ns0:c r="D4" s="10" t="inlineStr">
        <ns0:is>
          <ns0:t>독도 식물·조류·해양생물 / 철새 이동경로의 휴식처</ns0:t>
        </ns0:is>
      </ns0:c>
      <ns0:c r="E4" s="10" t="inlineStr">
        <ns0:is>
          <ns0:t>대한민국</ns0:t>
        </ns0:is>
      </ns0:c>
      <ns0:c r="F4" s="10" t="inlineStr">
        <ns0:is>
          <ns0:t>official-page text or official indexed text</ns0:t>
        </ns0:is>
      </ns0:c>
      <ns0:c r="G4" s="10" t="inlineStr">
        <ns0:is>
          <ns0:t>현재 공개된 기관 안내; 조사 시기·범위의 한계를 유지</ns0:t>
        </ns0:is>
      </ns0:c>
      <ns0:c r="H4" s="10" t="inlineStr">
        <ns0:is>
          <ns0:t>""</ns0:t>
        </ns0:is>
      </ns0:c>
      <ns0:c r="I4" s="10" t="inlineStr">
        <ns0:is>
          <ns0:t>2026-09-12</ns0:t>
        </ns0:is>
      </ns0:c>
    </ns0:row>
    <ns0:row r="5" ht="33" customHeight="1">
      <ns0:c r="A5" s="12" t="inlineStr">
        <ns0:is>
          <ns0:t>forest</ns0:t>
        </ns0:is>
      </ns0:c>
      <ns0:c r="B5" s="12" t="inlineStr">
        <ns0:is>
          <ns0:t>대한민국 한국해양과학기술원 · 독도 암반생태계</ns0:t>
        </ns0:is>
      </ns0:c>
      <ns0:c r="C5" s="12" t="inlineStr">
        <ns0:is>
          <ns0:t>https://www.dokdo.re.kr/home/cms/cmsCont.do?cntnts_sn=87</ns0:t>
        </ns0:is>
      </ns0:c>
      <ns0:c r="D5" s="12" t="inlineStr">
        <ns0:is>
          <ns0:t>감태·대황 해조숲 / 바위틈 생물 / 장기 관찰</ns0:t>
        </ns0:is>
      </ns0:c>
      <ns0:c r="E5" s="12" t="inlineStr">
        <ns0:is>
          <ns0:t>대한민국</ns0:t>
        </ns0:is>
      </ns0:c>
      <ns0:c r="F5" s="12" t="inlineStr">
        <ns0:is>
          <ns0:t>official-indexed-text; live-page access limited</ns0:t>
        </ns0:is>
      </ns0:c>
      <ns0:c r="G5" s="12" t="inlineStr">
        <ns0:is>
          <ns0:t>현재 공개된 기관 안내; 조사 시기·범위의 한계를 유지</ns0:t>
        </ns0:is>
      </ns0:c>
      <ns0:c r="H5" s="12" t="inlineStr">
        <ns0:is>
          <ns0:t>""</ns0:t>
        </ns0:is>
      </ns0:c>
      <ns0:c r="I5" s="12" t="inlineStr">
        <ns0:is>
          <ns0:t>2026-09-12</ns0:t>
        </ns0:is>
      </ns0:c>
    </ns0:row>
    <ns0:row r="6" ht="33" customHeight="1">
      <ns0:c r="A6" s="10" t="inlineStr">
        <ns0:is>
          <ns0:t>facility</ns0:t>
        </ns0:is>
      </ns0:c>
      <ns0:c r="B6" s="10" t="inlineStr">
        <ns0:is>
          <ns0:t>대한민국 외교부 · 독도 주요시설물</ns0:t>
        </ns0:is>
      </ns0:c>
      <ns0:c r="C6" s="10" t="inlineStr">
        <ns0:is>
          <ns0:t>https://dokdo.mofa.go.kr/kor/introduce/facility.jsp</ns0:t>
        </ns0:is>
      </ns0:c>
      <ns0:c r="D6" s="10" t="inlineStr">
        <ns0:is>
          <ns0:t>서도 주민숙소 / 동도 접안시설·등대·경비대 / 담수시설</ns0:t>
        </ns0:is>
      </ns0:c>
      <ns0:c r="E6" s="10" t="inlineStr">
        <ns0:is>
          <ns0:t>대한민국</ns0:t>
        </ns0:is>
      </ns0:c>
      <ns0:c r="F6" s="10" t="inlineStr">
        <ns0:is>
          <ns0:t>official-page text or official indexed text</ns0:t>
        </ns0:is>
      </ns0:c>
      <ns0:c r="G6" s="10" t="inlineStr">
        <ns0:is>
          <ns0:t>현재 공개된 기관 안내; 조사 시기·범위의 한계를 유지</ns0:t>
        </ns0:is>
      </ns0:c>
      <ns0:c r="H6" s="10" t="inlineStr">
        <ns0:is>
          <ns0:t>""</ns0:t>
        </ns0:is>
      </ns0:c>
      <ns0:c r="I6" s="10" t="inlineStr">
        <ns0:is>
          <ns0:t>2026-09-12</ns0:t>
        </ns0:is>
      </ns0:c>
    </ns0:row>
    <ns0:row r="7" ht="38" customHeight="1">
      <ns0:c r="A7" s="12" t="inlineStr">
        <ns0:is>
          <ns0:t>visit</ns0:t>
        </ns0:is>
      </ns0:c>
      <ns0:c r="B7" s="12" t="inlineStr">
        <ns0:is>
          <ns0:t>대한민국 외교부 · 주민 및 입도 안내</ns0:t>
        </ns0:is>
      </ns0:c>
      <ns0:c r="C7" s="12" t="inlineStr">
        <ns0:is>
          <ns0:t>https://dokdo.mofa.go.kr/kor/introduce/residence.jsp</ns0:t>
        </ns0:is>
      </ns0:c>
      <ns0:c r="D7" s="12" t="inlineStr">
        <ns0:is>
          <ns0:t>입도 유의사항·동도 선착장 관람 / 2026년 7월 기준 표기. 실제 방문 전 최신 안내 확인</ns0:t>
        </ns0:is>
      </ns0:c>
      <ns0:c r="E7" s="12" t="inlineStr">
        <ns0:is>
          <ns0:t>대한민국</ns0:t>
        </ns0:is>
      </ns0:c>
      <ns0:c r="F7" s="12" t="inlineStr">
        <ns0:is>
          <ns0:t>official-page text or official indexed text</ns0:t>
        </ns0:is>
      </ns0:c>
      <ns0:c r="G7" s="12" t="inlineStr">
        <ns0:is>
          <ns0:t>현재 공개된 기관 안내; 조사 시기·범위의 한계를 유지</ns0:t>
        </ns0:is>
      </ns0:c>
      <ns0:c r="H7" s="12" t="inlineStr">
        <ns0:is>
          <ns0:t>""</ns0:t>
        </ns0:is>
      </ns0:c>
      <ns0:c r="I7" s="12" t="inlineStr">
        <ns0:is>
          <ns0:t>2026-09-12</ns0:t>
        </ns0:is>
      </ns0:c>
    </ns0:row>
    <ns0:row r="8" ht="38" customHeight="1">
      <ns0:c r="A8" s="10" t="inlineStr">
        <ns0:is>
          <ns0:t>sejong</ns0:t>
        </ns0:is>
      </ns0:c>
      <ns0:c r="B8" s="10" t="inlineStr">
        <ns0:is>
          <ns0:t>대한민국 외교부 자료실 · 세종실록 지리지(1454)</ns0:t>
        </ns0:is>
      </ns0:c>
      <ns0:c r="C8" s="10" t="inlineStr">
        <ns0:is>
          <ns0:t>https://dokdo.mofa.go.kr/kor/pds/part06_view02.jsp</ns0:t>
        </ns0:is>
      </ns0:c>
      <ns0:c r="D8" s="10" t="inlineStr">
        <ns0:is>
          <ns0:t>우산·무릉과 맑은 날의 가시성; 괄호 안 현대 지명은 외교부 해석</ns0:t>
        </ns0:is>
      </ns0:c>
      <ns0:c r="E8" s="10" t="inlineStr">
        <ns0:is>
          <ns0:t>대한민국</ns0:t>
        </ns0:is>
      </ns0:c>
      <ns0:c r="F8" s="10" t="inlineStr">
        <ns0:is>
          <ns0:t>official-page text or official indexed text</ns0:t>
        </ns0:is>
      </ns0:c>
      <ns0:c r="G8" s="10" t="inlineStr">
        <ns0:is>
          <ns0:t>역사 원문·역문과 현대 대한민국 기관의 해설을 구분</ns0:t>
        </ns0:is>
      </ns0:c>
      <ns0:c r="H8" s="10" t="inlineStr">
        <ns0:is>
          <ns0:t>{"ko": "조선 · 『세종실록』 지리지", "en": "Joseon · geographical appendix to the Annals of Sejong"}</ns0:t>
        </ns0:is>
      </ns0:c>
      <ns0:c r="I8" s="10" t="inlineStr">
        <ns0:is>
          <ns0:t>2026-09-12</ns0:t>
        </ns0:is>
      </ns0:c>
    </ns0:row>
    <ns0:row r="9" ht="33" customHeight="1">
      <ns0:c r="A9" s="12" t="inlineStr">
        <ns0:is>
          <ns0:t>an</ns0:t>
        </ns0:is>
      </ns0:c>
      <ns0:c r="B9" s="12" t="inlineStr">
        <ns0:is>
          <ns0:t>대한민국 외교부 · 안용복의 활동과 기록</ns0:t>
        </ns0:is>
      </ns0:c>
      <ns0:c r="C9" s="12" t="inlineStr">
        <ns0:is>
          <ns0:t>https://dokdo.mofa.go.kr/kor/include/print_faq.jsp?class_faq=q5</ns0:t>
        </ns0:is>
      </ns0:c>
      <ns0:c r="D9" s="12" t="inlineStr">
        <ns0:is>
          <ns0:t>1693년과 1696년 / 숙종실록과 오키섬 조사 기록</ns0:t>
        </ns0:is>
      </ns0:c>
      <ns0:c r="E9" s="12" t="inlineStr">
        <ns0:is>
          <ns0:t>대한민국</ns0:t>
        </ns0:is>
      </ns0:c>
      <ns0:c r="F9" s="12" t="inlineStr">
        <ns0:is>
          <ns0:t>official-page text or official indexed text</ns0:t>
        </ns0:is>
      </ns0:c>
      <ns0:c r="G9" s="12" t="inlineStr">
        <ns0:is>
          <ns0:t>현재 공개된 기관 안내; 조사 시기·범위의 한계를 유지</ns0:t>
        </ns0:is>
      </ns0:c>
      <ns0:c r="H9" s="12" t="inlineStr">
        <ns0:is>
          <ns0:t>""</ns0:t>
        </ns0:is>
      </ns0:c>
      <ns0:c r="I9" s="12" t="inlineStr">
        <ns0:is>
          <ns0:t>2026-09-12</ns0:t>
        </ns0:is>
      </ns0:c>
    </ns0:row>
    <ns0:row r="10" ht="33" customHeight="1">
      <ns0:c r="A10" s="10" t="inlineStr">
        <ns0:is>
          <ns0:t>timeline</ns0:t>
        </ns0:is>
      </ns0:c>
      <ns0:c r="B10" s="10" t="inlineStr">
        <ns0:is>
          <ns0:t>대한민국 외교부 · 독도 연표</ns0:t>
        </ns0:is>
      </ns0:c>
      <ns0:c r="C10" s="10" t="inlineStr">
        <ns0:is>
          <ns0:t>https://dokdo.mofa.go.kr/m/kor/dokdo/reason_list.jsp</ns0:t>
        </ns0:is>
      </ns0:c>
      <ns0:c r="D10" s="10" t="inlineStr">
        <ns0:is>
          <ns0:t>1694 수토 / 1696년 1월 금지령·5월 도일 / 1900·1905·1906 순서</ns0:t>
        </ns0:is>
      </ns0:c>
      <ns0:c r="E10" s="10" t="inlineStr">
        <ns0:is>
          <ns0:t>대한민국</ns0:t>
        </ns0:is>
      </ns0:c>
      <ns0:c r="F10" s="10" t="inlineStr">
        <ns0:is>
          <ns0:t>official-page text or official indexed text</ns0:t>
        </ns0:is>
      </ns0:c>
      <ns0:c r="G10" s="10" t="inlineStr">
        <ns0:is>
          <ns0:t>현재 공개된 기관 안내; 조사 시기·범위의 한계를 유지</ns0:t>
        </ns0:is>
      </ns0:c>
      <ns0:c r="H10" s="10" t="inlineStr">
        <ns0:is>
          <ns0:t>""</ns0:t>
        </ns0:is>
      </ns0:c>
      <ns0:c r="I10" s="10" t="inlineStr">
        <ns0:is>
          <ns0:t>2026-09-12</ns0:t>
        </ns0:is>
      </ns0:c>
    </ns0:row>
    <ns0:row r="11" ht="38" customHeight="1">
      <ns0:c r="A11" s="12" t="inlineStr">
        <ns0:is>
          <ns0:t>decree</ns0:t>
        </ns0:is>
      </ns0:c>
      <ns0:c r="B11" s="12" t="inlineStr">
        <ns0:is>
          <ns0:t>대한민국 외교부 자료실 · 대한제국 칙령 제41호</ns0:t>
        </ns0:is>
      </ns0:c>
      <ns0:c r="C11" s="12" t="inlineStr">
        <ns0:is>
          <ns0:t>https://dokdo.mofa.go.kr/kor/pds/part02_view02.jsp</ns0:t>
        </ns0:is>
      </ns0:c>
      <ns0:c r="D11" s="12" t="inlineStr">
        <ns0:is>
          <ns0:t>1900.10.25 / 제1조 울도·군수 / 제2조 울릉전도·죽도·석도</ns0:t>
        </ns0:is>
      </ns0:c>
      <ns0:c r="E11" s="12" t="inlineStr">
        <ns0:is>
          <ns0:t>대한민국</ns0:t>
        </ns0:is>
      </ns0:c>
      <ns0:c r="F11" s="12" t="inlineStr">
        <ns0:is>
          <ns0:t>official-page text or official indexed text</ns0:t>
        </ns0:is>
      </ns0:c>
      <ns0:c r="G11" s="12" t="inlineStr">
        <ns0:is>
          <ns0:t>역사 원문·역문과 현대 대한민국 기관의 해설을 구분</ns0:t>
        </ns0:is>
      </ns0:c>
      <ns0:c r="H11" s="12" t="inlineStr">
        <ns0:is>
          <ns0:t>{"ko": "1900년 대한제국 · 고종 황제의 칙령", "en": "Korean Empire · imperial decree, 1900"}</ns0:t>
        </ns0:is>
      </ns0:c>
      <ns0:c r="I11" s="12" t="inlineStr">
        <ns0:is>
          <ns0:t>2026-09-12</ns0:t>
        </ns0:is>
      </ns0:c>
    </ns0:row>
    <ns0:row r="12" ht="38" customHeight="1">
      <ns0:c r="A12" s="10" t="inlineStr">
        <ns0:is>
          <ns0:t>gazette</ns0:t>
        </ns0:is>
      </ns0:c>
      <ns0:c r="B12" s="10" t="inlineStr">
        <ns0:is>
          <ns0:t>대한민국 외교부 자료실 · 관보(1900.10.27)</ns0:t>
        </ns0:is>
      </ns0:c>
      <ns0:c r="C12" s="10" t="inlineStr">
        <ns0:is>
          <ns0:t>https://dokdo.mofa.go.kr/kor/pds/part02_view03.jsp</ns0:t>
        </ns0:is>
      </ns0:c>
      <ns0:c r="D12" s="10" t="inlineStr">
        <ns0:is>
          <ns0:t>관보 게재 날짜와 칙령 날짜의 구분</ns0:t>
        </ns0:is>
      </ns0:c>
      <ns0:c r="E12" s="10" t="inlineStr">
        <ns0:is>
          <ns0:t>대한민국</ns0:t>
        </ns0:is>
      </ns0:c>
      <ns0:c r="F12" s="10" t="inlineStr">
        <ns0:is>
          <ns0:t>official-page text or official indexed text</ns0:t>
        </ns0:is>
      </ns0:c>
      <ns0:c r="G12" s="10" t="inlineStr">
        <ns0:is>
          <ns0:t>역사 원문·역문과 현대 대한민국 기관의 해설을 구분</ns0:t>
        </ns0:is>
      </ns0:c>
      <ns0:c r="H12" s="10" t="inlineStr">
        <ns0:is>
          <ns0:t>{"ko": "1900년 대한제국 관보", "en": "Korean Empire government gazette, 1900"}</ns0:t>
        </ns0:is>
      </ns0:c>
      <ns0:c r="I12" s="10" t="inlineStr">
        <ns0:is>
          <ns0:t>2026-09-12</ns0:t>
        </ns0:is>
      </ns0:c>
    </ns0:row>
    <ns0:row r="13" ht="38" customHeight="1">
      <ns0:c r="A13" s="12" t="inlineStr">
        <ns0:is>
          <ns0:t>petition</ns0:t>
        </ns0:is>
      </ns0:c>
      <ns0:c r="B13" s="12" t="inlineStr">
        <ns0:is>
          <ns0:t>대한민국 외교부 자료실 · 의정부 청의서(1900.10.22)</ns0:t>
        </ns0:is>
      </ns0:c>
      <ns0:c r="C13" s="12" t="inlineStr">
        <ns0:is>
          <ns0:t>https://dokdo.mofa.go.kr/kor/pds/part02_view01.jsp</ns0:t>
        </ns0:is>
      </ns0:c>
      <ns0:c r="D13" s="12" t="inlineStr">
        <ns0:is>
          <ns0:t>행정 개편 제안과 칙령안</ns0:t>
        </ns0:is>
      </ns0:c>
      <ns0:c r="E13" s="12" t="inlineStr">
        <ns0:is>
          <ns0:t>대한민국</ns0:t>
        </ns0:is>
      </ns0:c>
      <ns0:c r="F13" s="12" t="inlineStr">
        <ns0:is>
          <ns0:t>official-page text or official indexed text</ns0:t>
        </ns0:is>
      </ns0:c>
      <ns0:c r="G13" s="12" t="inlineStr">
        <ns0:is>
          <ns0:t>역사 원문·역문과 현대 대한민국 기관의 해설을 구분</ns0:t>
        </ns0:is>
      </ns0:c>
      <ns0:c r="H13" s="12" t="inlineStr">
        <ns0:is>
          <ns0:t>{"ko": "1900년 대한제국의 행정 개편 청의서", "en": "Korean Empire administrative reform petition, 1900"}</ns0:t>
        </ns0:is>
      </ns0:c>
      <ns0:c r="I13" s="12" t="inlineStr">
        <ns0:is>
          <ns0:t>2026-09-12</ns0:t>
        </ns0:is>
      </ns0:c>
    </ns0:row>
    <ns0:row r="14" ht="53" customHeight="1">
      <ns0:c r="A14" s="10" t="inlineStr">
        <ns0:is>
          <ns0:t>shim</ns0:t>
        </ns0:is>
      </ns0:c>
      <ns0:c r="B14" s="10" t="inlineStr">
        <ns0:is>
          <ns0:t>대한민국 외교부 자료실 · 심흥택 보고서(1906)</ns0:t>
        </ns0:is>
      </ns0:c>
      <ns0:c r="C14" s="10" t="inlineStr">
        <ns0:is>
          <ns0:t>https://dokdo.mofa.go.kr/kor/pds/part02_view04.jsp</ns0:t>
        </ns0:is>
      </ns0:c>
      <ns0:c r="D14" s="10" t="inlineStr">
        <ns0:is>
          <ns0:t>본군 소속 독도 / 일본 관리 발언의 인용 / 보고 전달</ns0:t>
        </ns0:is>
      </ns0:c>
      <ns0:c r="E14" s="10" t="inlineStr">
        <ns0:is>
          <ns0:t>대한민국</ns0:t>
        </ns0:is>
      </ns0:c>
      <ns0:c r="F14" s="10" t="inlineStr">
        <ns0:is>
          <ns0:t>official-page text or official indexed text</ns0:t>
        </ns0:is>
      </ns0:c>
      <ns0:c r="G14" s="10" t="inlineStr">
        <ns0:is>
          <ns0:t>역사 원문·역문과 현대 대한민국 기관의 해설을 구분</ns0:t>
        </ns0:is>
      </ns0:c>
      <ns0:c r="H14" s="10" t="inlineStr">
        <ns0:is>
          <ns0:t>{"ko": "1906년 대한제국 울도군수 심흥택의 보고", "en": "Report by Korean Empire Uldo magistrate Shim Heung-taek, 1906"}</ns0:t>
        </ns0:is>
      </ns0:c>
      <ns0:c r="I14" s="10" t="inlineStr">
        <ns0:is>
          <ns0:t>2026-09-12</ns0:t>
        </ns0:is>
      </ns0:c>
    </ns0:row>
    <ns0:row r="15" ht="38" customHeight="1">
      <ns0:c r="A15" s="12" t="inlineStr">
        <ns0:is>
          <ns0:t>order</ns0:t>
        </ns0:is>
      </ns0:c>
      <ns0:c r="B15" s="12" t="inlineStr">
        <ns0:is>
          <ns0:t>대한민국 외교부 자료실 · 지령 제3호(1906.5.10)</ns0:t>
        </ns0:is>
      </ns0:c>
      <ns0:c r="C15" s="12" t="inlineStr">
        <ns0:is>
          <ns0:t>https://dokdo.mofa.go.kr/kor/pds/part02_view05.jsp</ns0:t>
        </ns0:is>
      </ns0:c>
      <ns0:c r="D15" s="12" t="inlineStr">
        <ns0:is>
          <ns0:t>일본 주장 부인과 형편·행동 재조사 지시</ns0:t>
        </ns0:is>
      </ns0:c>
      <ns0:c r="E15" s="12" t="inlineStr">
        <ns0:is>
          <ns0:t>대한민국</ns0:t>
        </ns0:is>
      </ns0:c>
      <ns0:c r="F15" s="12" t="inlineStr">
        <ns0:is>
          <ns0:t>official-page text or official indexed text</ns0:t>
        </ns0:is>
      </ns0:c>
      <ns0:c r="G15" s="12" t="inlineStr">
        <ns0:is>
          <ns0:t>역사 원문·역문과 현대 대한민국 기관의 해설을 구분</ns0:t>
        </ns0:is>
      </ns0:c>
      <ns0:c r="H15" s="12" t="inlineStr">
        <ns0:is>
          <ns0:t>{"ko": "1906년 대한제국 지령 제3호", "en": "Korean Empire Directive No. 3, 1906"}</ns0:t>
        </ns0:is>
      </ns0:c>
      <ns0:c r="I15" s="12" t="inlineStr">
        <ns0:is>
          <ns0:t>2026-09-12</ns0:t>
        </ns0:is>
      </ns0:c>
    </ns0:row>
    <ns0:row r="16" ht="38" customHeight="1">
      <ns0:c r="A16" s="10" t="inlineStr">
        <ns0:is>
          <ns0:t>dajokan</ns0:t>
        </ns0:is>
      </ns0:c>
      <ns0:c r="B16" s="10" t="inlineStr">
        <ns0:is>
          <ns0:t>대한민국 외교부 자료실 · 태정관지령(1877)</ns0:t>
        </ns0:is>
      </ns0:c>
      <ns0:c r="C16" s="10" t="inlineStr">
        <ns0:is>
          <ns0:t>https://dokdo.mofa.go.kr/kor/pds/part05_view03.jsp</ns0:t>
        </ns0:is>
      </ns0:c>
      <ns0:c r="D16" s="10" t="inlineStr">
        <ns0:is>
          <ns0:t>행정 질의·지령, 다케시마 외 일도; 현대 지명 식별은 외교부 해설</ns0:t>
        </ns0:is>
      </ns0:c>
      <ns0:c r="E16" s="10" t="inlineStr">
        <ns0:is>
          <ns0:t>대한민국</ns0:t>
        </ns0:is>
      </ns0:c>
      <ns0:c r="F16" s="10" t="inlineStr">
        <ns0:is>
          <ns0:t>official-page text or official indexed text</ns0:t>
        </ns0:is>
      </ns0:c>
      <ns0:c r="G16" s="10" t="inlineStr">
        <ns0:is>
          <ns0:t>역사 원문·역문과 현대 대한민국 기관의 해설을 구분</ns0:t>
        </ns0:is>
      </ns0:c>
      <ns0:c r="H16" s="10" t="inlineStr">
        <ns0:is>
          <ns0:t>{"ko": "1877년 일본 태정관; 질의는 일본 내무성", "en": "Japan’s Dajokan; inquiry from the Home Ministry, 1877"}</ns0:t>
        </ns0:is>
      </ns0:c>
      <ns0:c r="I16" s="10" t="inlineStr">
        <ns0:is>
          <ns0:t>2026-09-12</ns0:t>
        </ns0:is>
      </ns0:c>
    </ns0:row>
    <ns0:row r="17" ht="38" customHeight="1">
      <ns0:c r="A17" s="12" t="inlineStr">
        <ns0:is>
          <ns0:t>dajokanmap</ns0:t>
        </ns0:is>
      </ns0:c>
      <ns0:c r="B17" s="12" t="inlineStr">
        <ns0:is>
          <ns0:t>대한민국 외교부 · 태정관지령과 기죽도약도</ns0:t>
        </ns0:is>
      </ns0:c>
      <ns0:c r="C17" s="12" t="inlineStr">
        <ns0:is>
          <ns0:t>https://dokdo.mofa.go.kr/kor/include/print_faq.jsp?class_faq=q7</ns0:t>
        </ns0:is>
      </ns0:c>
      <ns0:c r="D17" s="12" t="inlineStr">
        <ns0:is>
          <ns0:t>첨부 지도와 문서의 지명 대응</ns0:t>
        </ns0:is>
      </ns0:c>
      <ns0:c r="E17" s="12" t="inlineStr">
        <ns0:is>
          <ns0:t>대한민국</ns0:t>
        </ns0:is>
      </ns0:c>
      <ns0:c r="F17" s="12" t="inlineStr">
        <ns0:is>
          <ns0:t>official-page text or official indexed text</ns0:t>
        </ns0:is>
      </ns0:c>
      <ns0:c r="G17" s="12" t="inlineStr">
        <ns0:is>
          <ns0:t>역사 원문·역문과 현대 대한민국 기관의 해설을 구분</ns0:t>
        </ns0:is>
      </ns0:c>
      <ns0:c r="H17" s="12" t="inlineStr">
        <ns0:is>
          <ns0:t>{"ko": "1877년 일본 내무성 품의서 관련 첨부 지도", "en": "Map attached to Japanese Home Ministry papers, 1877"}</ns0:t>
        </ns0:is>
      </ns0:c>
      <ns0:c r="I17" s="12" t="inlineStr">
        <ns0:is>
          <ns0:t>2026-09-12</ns0:t>
        </ns0:is>
      </ns0:c>
    </ns0:row>
    <ns0:row r="18" ht="38" customHeight="1">
      <ns0:c r="A18" s="10" t="inlineStr">
        <ns0:is>
          <ns0:t>arch</ns0:t>
        </ns0:is>
      </ns0:c>
      <ns0:c r="B18" s="10" t="inlineStr">
        <ns0:is>
          <ns0:t>대한민국 한국관광공사 · 독립문바위</ns0:t>
        </ns0:is>
      </ns0:c>
      <ns0:c r="C18" s="10" t="inlineStr">
        <ns0:is>
          <ns0:t>https://korean.visitkorea.or.kr/detail/ms_detail.do?cotid=0fe4eeb6-3f6a-48b1-ab75-c8d4ab6b43be</ns0:t>
        </ns0:is>
      </ns0:c>
      <ns0:c r="D18" s="10" t="inlineStr">
        <ns0:is>
          <ns0:t>동도 해식아치의 형태와 형성</ns0:t>
        </ns0:is>
      </ns0:c>
      <ns0:c r="E18" s="10" t="inlineStr">
        <ns0:is>
          <ns0:t>대한민국</ns0:t>
        </ns0:is>
      </ns0:c>
      <ns0:c r="F18" s="10" t="inlineStr">
        <ns0:is>
          <ns0:t>official-indexed-text; live-page access limited</ns0:t>
        </ns0:is>
      </ns0:c>
      <ns0:c r="G18" s="10" t="inlineStr">
        <ns0:is>
          <ns0:t>현재 공개된 기관 안내; 조사 시기·범위의 한계를 유지</ns0:t>
        </ns0:is>
      </ns0:c>
      <ns0:c r="H18" s="10" t="inlineStr">
        <ns0:is>
          <ns0:t>""</ns0:t>
        </ns0:is>
      </ns0:c>
      <ns0:c r="I18" s="10" t="inlineStr">
        <ns0:is>
          <ns0:t>2026-09-12</ns0:t>
        </ns0:is>
      </ns0:c>
    </ns0:row>
    <ns0:row r="19" ht="38" customHeight="1">
      <ns0:c r="A19" s="12" t="inlineStr">
        <ns0:is>
          <ns0:t>cave</ns0:t>
        </ns0:is>
      </ns0:c>
      <ns0:c r="B19" s="12" t="inlineStr">
        <ns0:is>
          <ns0:t>대한민국 한국관광공사 · 천장굴</ns0:t>
        </ns0:is>
      </ns0:c>
      <ns0:c r="C19" s="12" t="inlineStr">
        <ns0:is>
          <ns0:t>https://korean.visitkorea.or.kr/detail/ms_detail.do?cotid=21978541-1e2d-4dd8-83fd-92ce4f55dec6</ns0:t>
        </ns0:is>
      </ns0:c>
      <ns0:c r="D19" s="12" t="inlineStr">
        <ns0:is>
          <ns0:t>동도 중앙의 우물 모양 함몰 지형</ns0:t>
        </ns0:is>
      </ns0:c>
      <ns0:c r="E19" s="12" t="inlineStr">
        <ns0:is>
          <ns0:t>대한민국</ns0:t>
        </ns0:is>
      </ns0:c>
      <ns0:c r="F19" s="12" t="inlineStr">
        <ns0:is>
          <ns0:t>official-indexed-text; live-page access limited</ns0:t>
        </ns0:is>
      </ns0:c>
      <ns0:c r="G19" s="12" t="inlineStr">
        <ns0:is>
          <ns0:t>현재 공개된 기관 안내; 조사 시기·범위의 한계를 유지</ns0:t>
        </ns0:is>
      </ns0:c>
      <ns0:c r="H19" s="12" t="inlineStr">
        <ns0:is>
          <ns0:t>""</ns0:t>
        </ns0:is>
      </ns0:c>
      <ns0:c r="I19" s="12" t="inlineStr">
        <ns0:is>
          <ns0:t>2026-09-12</ns0:t>
        </ns0:is>
      </ns0:c>
    </ns0:row>
    <ns0:row r="20" ht="33" customHeight="1">
      <ns0:c r="A20" s="10" t="inlineStr">
        <ns0:is>
          <ns0:t>photos</ns0:t>
        </ns0:is>
      </ns0:c>
      <ns0:c r="B20" s="10" t="inlineStr">
        <ns0:is>
          <ns0:t>대한민국 전북교육청 · 독도 사진 자료</ns0:t>
        </ns0:is>
      </ns0:c>
      <ns0:c r="C20" s="10" t="inlineStr">
        <ns0:is>
          <ns0:t>https://www.jbe.go.kr/dokdo/assets/sub/picture.html</ns0:t>
        </ns0:is>
      </ns0:c>
      <ns0:c r="D20" s="10" t="inlineStr">
        <ns0:is>
          <ns0:t>두 섬·선착장·등대로 가는 길·바위의 사진 설명; 사진 파일은 재배포하지 않음</ns0:t>
        </ns0:is>
      </ns0:c>
      <ns0:c r="E20" s="10" t="inlineStr">
        <ns0:is>
          <ns0:t>대한민국</ns0:t>
        </ns0:is>
      </ns0:c>
      <ns0:c r="F20" s="10" t="inlineStr">
        <ns0:is>
          <ns0:t>official-page text or official indexed text</ns0:t>
        </ns0:is>
      </ns0:c>
      <ns0:c r="G20" s="10" t="inlineStr">
        <ns0:is>
          <ns0:t>현재 공개된 기관 안내; 조사 시기·범위의 한계를 유지</ns0:t>
        </ns0:is>
      </ns0:c>
      <ns0:c r="H20" s="10" t="inlineStr">
        <ns0:is>
          <ns0:t>""</ns0:t>
        </ns0:is>
      </ns0:c>
      <ns0:c r="I20" s="10" t="inlineStr">
        <ns0:is>
          <ns0:t>2026-09-12</ns0:t>
        </ns0:is>
      </ns0:c>
    </ns0:row>
    <ns0:row r="21" ht="38" customHeight="1">
      <ns0:c r="A21" s="12" t="inlineStr">
        <ns0:is>
          <ns0:t>reserve</ns0:t>
        </ns0:is>
      </ns0:c>
      <ns0:c r="B21" s="12" t="inlineStr">
        <ns0:is>
          <ns0:t>대한민국 국가유산청 · 독도 천연보호구역</ns0:t>
        </ns0:is>
      </ns0:c>
      <ns0:c r="C21" s="12" t="inlineStr">
        <ns0:is>
          <ns0:t>https://www.heritage.go.kr/heri/cul/culSelectDetail.do?VdkVgwKey=16%2C03360000%2C37&amp;pageNo=1_1_2_0</ns0:t>
        </ns0:is>
      </ns0:c>
      <ns0:c r="D21" s="12" t="inlineStr">
        <ns0:is>
          <ns0:t>해안지형·조류 번식지·식생 보호; 지정 날짜를 묻는 문항은 제외</ns0:t>
        </ns0:is>
      </ns0:c>
      <ns0:c r="E21" s="12" t="inlineStr">
        <ns0:is>
          <ns0:t>대한민국</ns0:t>
        </ns0:is>
      </ns0:c>
      <ns0:c r="F21" s="12" t="inlineStr">
        <ns0:is>
          <ns0:t>official-indexed-text; live-page access limited</ns0:t>
        </ns0:is>
      </ns0:c>
      <ns0:c r="G21" s="12" t="inlineStr">
        <ns0:is>
          <ns0:t>현재 공개된 기관 안내; 조사 시기·범위의 한계를 유지</ns0:t>
        </ns0:is>
      </ns0:c>
      <ns0:c r="H21" s="12" t="inlineStr">
        <ns0:is>
          <ns0:t>""</ns0:t>
        </ns0:is>
      </ns0:c>
      <ns0:c r="I21" s="12" t="inlineStr">
        <ns0:is>
          <ns0:t>2026-09-12</ns0:t>
        </ns0:is>
      </ns0:c>
    </ns0:row>
    <ns0:row r="22" ht="33" customHeight="1">
      <ns0:c r="A22" s="10" t="inlineStr">
        <ns0:is>
          <ns0:t>gangchi</ns0:t>
        </ns0:is>
      </ns0:c>
      <ns0:c r="B22" s="10" t="inlineStr">
        <ns0:is>
          <ns0:t>대한민국 해양수산부 · 독도 강치 연구 발표(2022)</ns0:t>
        </ns0:is>
      </ns0:c>
      <ns0:c r="C22" s="10" t="inlineStr">
        <ns0:is>
          <ns0:t>https://www.mof.go.kr/doc/ko/selectDoc.do?bbsSeq=10&amp;docSeq=45126&amp;menuSeq=971</ns0:t>
        </ns0:is>
      </ns0:c>
      <ns0:c r="D22" s="10" t="inlineStr">
        <ns0:is>
          <ns0:t>포획 자료 기반 개체군 추정과 남획의 영향; 모델과 직접 관측 구분</ns0:t>
        </ns0:is>
      </ns0:c>
      <ns0:c r="E22" s="10" t="inlineStr">
        <ns0:is>
          <ns0:t>대한민국</ns0:t>
        </ns0:is>
      </ns0:c>
      <ns0:c r="F22" s="10" t="inlineStr">
        <ns0:is>
          <ns0:t>official-indexed-text; live-page access limited</ns0:t>
        </ns0:is>
      </ns0:c>
      <ns0:c r="G22" s="10" t="inlineStr">
        <ns0:is>
          <ns0:t>현재 공개된 기관 안내; 조사 시기·범위의 한계를 유지</ns0:t>
        </ns0:is>
      </ns0:c>
      <ns0:c r="H22" s="10" t="inlineStr">
        <ns0:is>
          <ns0:t>""</ns0:t>
        </ns0:is>
      </ns0:c>
      <ns0:c r="I22" s="10" t="inlineStr">
        <ns0:is>
          <ns0:t>2026-09-12</ns0:t>
        </ns0:is>
      </ns0:c>
    </ns0:row>
    <ns0:row r="23" ht="33" customHeight="1">
      <ns0:c r="A23" s="12" t="inlineStr">
        <ns0:is>
          <ns0:t>effect</ns0:t>
        </ns0:is>
      </ns0:c>
      <ns0:c r="B23" s="12" t="inlineStr">
        <ns0:is>
          <ns0:t>대한민국 한국해양과학기술원 · 독도 섬효과</ns0:t>
        </ns0:is>
      </ns0:c>
      <ns0:c r="C23" s="12" t="inlineStr">
        <ns0:is>
          <ns0:t>https://www.dokdo.re.kr/home/cms/cmsCont.do?cntnts_sn=82</ns0:t>
        </ns0:is>
      </ns0:c>
      <ns0:c r="D23" s="12" t="inlineStr">
        <ns0:is>
          <ns0:t>난류·한류 혼합 / 영양염의 상층 공급 / 식물플랑크톤과 성육장 기능</ns0:t>
        </ns0:is>
      </ns0:c>
      <ns0:c r="E23" s="12" t="inlineStr">
        <ns0:is>
          <ns0:t>대한민국</ns0:t>
        </ns0:is>
      </ns0:c>
      <ns0:c r="F23" s="12" t="inlineStr">
        <ns0:is>
          <ns0:t>official-indexed-text; live-page access limited</ns0:t>
        </ns0:is>
      </ns0:c>
      <ns0:c r="G23" s="12" t="inlineStr">
        <ns0:is>
          <ns0:t>현재 공개된 기관 안내; 조사 시기·범위의 한계를 유지</ns0:t>
        </ns0:is>
      </ns0:c>
      <ns0:c r="H23" s="12" t="inlineStr">
        <ns0:is>
          <ns0:t>""</ns0:t>
        </ns0:is>
      </ns0:c>
      <ns0:c r="I23" s="12" t="inlineStr">
        <ns0:is>
          <ns0:t>2026-09-12</ns0:t>
        </ns0:is>
      </ns0:c>
    </ns0:row>
    <ns0:row r="24" ht="38" customHeight="1">
      <ns0:c r="A24" s="10" t="inlineStr">
        <ns0:is>
          <ns0:t>gangchi-paper</ns0:t>
        </ns0:is>
      </ns0:c>
      <ns0:c r="B24" s="10" t="inlineStr">
        <ns0:is>
          <ns0:t>국제 학술지 JMSE · Lee 외 강치 개체군 연구(2022)</ns0:t>
        </ns0:is>
      </ns0:c>
      <ns0:c r="C24" s="10" t="inlineStr">
        <ns0:is>
          <ns0:t>https://www.mdpi.com/2077-1312/10/2/271</ns0:t>
        </ns0:is>
      </ns0:c>
      <ns0:c r="D24" s="10" t="inlineStr">
        <ns0:is>
          <ns0:t>Abstract 및 Discussion / 포획 압력·모델 가정과 환경 변화 미포함의 한계; CC BY 4.0</ns0:t>
        </ns0:is>
      </ns0:c>
      <ns0:c r="E24" s="10" t="inlineStr">
        <ns0:is>
          <ns0:t>international-journal</ns0:t>
        </ns0:is>
      </ns0:c>
      <ns0:c r="F24" s="10" t="inlineStr">
        <ns0:is>
          <ns0:t>official-indexed-text; live-page access limited</ns0:t>
        </ns0:is>
      </ns0:c>
      <ns0:c r="G24" s="10" t="inlineStr">
        <ns0:is>
          <ns0:t>동료심사 논문의 연구 모형·가정 설명</ns0:t>
        </ns0:is>
      </ns0:c>
      <ns0:c r="H24" s="10" t="inlineStr">
        <ns0:is>
          <ns0:t>""</ns0:t>
        </ns0:is>
      </ns0:c>
      <ns0:c r="I24" s="10" t="inlineStr">
        <ns0:is>
          <ns0:t>2026-09-12</ns0:t>
        </ns0:is>
      </ns0:c>
    </ns0:row>
    <ns0:row r="25" ht="38" customHeight="1">
      <ns0:c r="A25" s="12" t="inlineStr">
        <ns0:is>
          <ns0:t>names</ns0:t>
        </ns0:is>
      </ns0:c>
      <ns0:c r="B25" s="12" t="inlineStr">
        <ns0:is>
          <ns0:t>대한민국 한국해양과학기술원 · 독도의 지명</ns0:t>
        </ns0:is>
      </ns0:c>
      <ns0:c r="C25" s="12" t="inlineStr">
        <ns0:is>
          <ns0:t>https://www.dokdo.re.kr/home/cms/cmsCont.do?cntnts_sn=65</ns0:t>
        </ns0:is>
      </ns0:c>
      <ns0:c r="D25" s="12" t="inlineStr">
        <ns0:is>
          <ns0:t>천장굴·독립문바위·숫돌바위·가제바위·탕건봉의 지명 유래; 지도용 정확한 좌표로 사용하지 않음</ns0:t>
        </ns0:is>
      </ns0:c>
      <ns0:c r="E25" s="12" t="inlineStr">
        <ns0:is>
          <ns0:t>대한민국</ns0:t>
        </ns0:is>
      </ns0:c>
      <ns0:c r="F25" s="12" t="inlineStr">
        <ns0:is>
          <ns0:t>official-indexed-text; live-page access limited</ns0:t>
        </ns0:is>
      </ns0:c>
      <ns0:c r="G25" s="12" t="inlineStr">
        <ns0:is>
          <ns0:t>현재 공개된 기관 안내; 조사 시기·범위의 한계를 유지</ns0:t>
        </ns0:is>
      </ns0:c>
      <ns0:c r="H25" s="12" t="inlineStr">
        <ns0:is>
          <ns0:t>""</ns0:t>
        </ns0:is>
      </ns0:c>
      <ns0:c r="I25" s="12" t="inlineStr">
        <ns0:is>
          <ns0:t>2026-09-12</ns0:t>
        </ns0:is>
      </ns0:c>
    </ns0:row>
    <ns0:row r="26" ht="38" customHeight="1">
      <ns0:c r="A26" s="10" t="inlineStr">
        <ns0:is>
          <ns0:t>sutdol</ns0:t>
        </ns0:is>
      </ns0:c>
      <ns0:c r="B26" s="10" t="inlineStr">
        <ns0:is>
          <ns0:t>대한민국 한국관광공사 · 숫돌바위</ns0:t>
        </ns0:is>
      </ns0:c>
      <ns0:c r="C26" s="10" t="inlineStr">
        <ns0:is>
          <ns0:t>https://korean.visitkorea.or.kr/detail/ms_detail.do?cotid=603167d6-1056-43c1-8a3d-c8640dd25938</ns0:t>
        </ns0:is>
      </ns0:c>
      <ns0:c r="D26" s="10" t="inlineStr">
        <ns0:is>
          <ns0:t>동도 선착장 근처 / 숫돌과 비슷한 암질 / 수평 주상절리</ns0:t>
        </ns0:is>
      </ns0:c>
      <ns0:c r="E26" s="10" t="inlineStr">
        <ns0:is>
          <ns0:t>대한민국</ns0:t>
        </ns0:is>
      </ns0:c>
      <ns0:c r="F26" s="10" t="inlineStr">
        <ns0:is>
          <ns0:t>official-indexed-text; live-page access limited</ns0:t>
        </ns0:is>
      </ns0:c>
      <ns0:c r="G26" s="10" t="inlineStr">
        <ns0:is>
          <ns0:t>현재 공개된 기관 안내; 조사 시기·범위의 한계를 유지</ns0:t>
        </ns0:is>
      </ns0:c>
      <ns0:c r="H26" s="10" t="inlineStr">
        <ns0:is>
          <ns0:t>""</ns0:t>
        </ns0:is>
      </ns0:c>
      <ns0:c r="I26" s="10" t="inlineStr">
        <ns0:is>
          <ns0:t>2026-09-12</ns0:t>
        </ns0:is>
      </ns0:c>
    </ns0:row>
    <ns0:row r="27" ht="33" customHeight="1">
      <ns0:c r="A27" s="12" t="inlineStr">
        <ns0:is>
          <ns0:t>address</ns0:t>
        </ns0:is>
      </ns0:c>
      <ns0:c r="B27" s="12" t="inlineStr">
        <ns0:is>
          <ns0:t>대한민국 해양수산부 · 독도의 주소와 위치</ns0:t>
        </ns0:is>
      </ns0:c>
      <ns0:c r="C27" s="12" t="inlineStr">
        <ns0:is>
          <ns0:t>https://www.mof.go.kr/doc/ko/selectDoc.do?bbsSeq=27&amp;docSeq=20937&amp;menuSeq=929</ns0:t>
        </ns0:is>
      </ns0:c>
      <ns0:c r="D27" s="12" t="inlineStr">
        <ns0:is>
          <ns0:t>동도·서도의 도로명 주소와 위치; 2018년 등록 자료, 2026-09-11 대조</ns0:t>
        </ns0:is>
      </ns0:c>
      <ns0:c r="E27" s="12" t="inlineStr">
        <ns0:is>
          <ns0:t>대한민국</ns0:t>
        </ns0:is>
      </ns0:c>
      <ns0:c r="F27" s="12" t="inlineStr">
        <ns0:is>
          <ns0:t>official-page text or official indexed text</ns0:t>
        </ns0:is>
      </ns0:c>
      <ns0:c r="G27" s="12" t="inlineStr">
        <ns0:is>
          <ns0:t>현재 공개된 기관 안내; 조사 시기·범위의 한계를 유지</ns0:t>
        </ns0:is>
      </ns0:c>
      <ns0:c r="H27" s="12" t="inlineStr">
        <ns0:is>
          <ns0:t>""</ns0:t>
        </ns0:is>
      </ns0:c>
      <ns0:c r="I27" s="12" t="inlineStr">
        <ns0:is>
          <ns0:t>2026-09-12</ns0:t>
        </ns0:is>
      </ns0:c>
    </ns0:row>
    <ns0:row r="28" ht="38" customHeight="1">
      <ns0:c r="A28" s="10" t="inlineStr">
        <ns0:is>
          <ns0:t>ban1696</ns0:t>
        </ns0:is>
      </ns0:c>
      <ns0:c r="B28" s="10" t="inlineStr">
        <ns0:is>
          <ns0:t>대한민국 외교부 · 울릉도 도해금지령(1696)</ns0:t>
        </ns0:is>
      </ns0:c>
      <ns0:c r="C28" s="10" t="inlineStr">
        <ns0:is>
          <ns0:t>https://dokdo.mofa.go.kr/kor/pds/part05_view06.jsp</ns0:t>
        </ns0:is>
      </ns0:c>
      <ns0:c r="D28" s="10" t="inlineStr">
        <ns0:is>
          <ns0:t>1696년 금지령 역문, 다케시마(울릉도)로의 도항 금지</ns0:t>
        </ns0:is>
      </ns0:c>
      <ns0:c r="E28" s="10" t="inlineStr">
        <ns0:is>
          <ns0:t>대한민국</ns0:t>
        </ns0:is>
      </ns0:c>
      <ns0:c r="F28" s="10" t="inlineStr">
        <ns0:is>
          <ns0:t>official-page text or official indexed text</ns0:t>
        </ns0:is>
      </ns0:c>
      <ns0:c r="G28" s="10" t="inlineStr">
        <ns0:is>
          <ns0:t>역사 원문·역문과 현대 대한민국 기관의 해설을 구분</ns0:t>
        </ns0:is>
      </ns0:c>
      <ns0:c r="H28" s="10" t="inlineStr">
        <ns0:is>
          <ns0:t>{"ko": "1696년 일본 에도 막부", "en": "Japan’s Edo shogunate, 1696"}</ns0:t>
        </ns0:is>
      </ns0:c>
      <ns0:c r="I28" s="10" t="inlineStr">
        <ns0:is>
          <ns0:t>2026-09-12</ns0:t>
        </ns0:is>
      </ns0:c>
    </ns0:row>
    <ns0:row r="29" ht="53" customHeight="1">
      <ns0:c r="A29" s="12" t="inlineStr">
        <ns0:is>
          <ns0:t>dajokan-analysis</ns0:t>
        </ns0:is>
      </ns0:c>
      <ns0:c r="B29" s="12" t="inlineStr">
        <ns0:is>
          <ns0:t>대한민국 외교부 · 태정관지령과 기죽도약도(1877)</ns0:t>
        </ns0:is>
      </ns0:c>
      <ns0:c r="C29" s="12" t="inlineStr">
        <ns0:is>
          <ns0:t>https://dokdo.mofa.go.kr/kor/pds/part06_view09.jsp</ns0:t>
        </ns0:is>
      </ns0:c>
      <ns0:c r="D29" s="12" t="inlineStr">
        <ns0:is>
          <ns0:t>지령 배경, 첨부 지도, 외 1도=독도 해설과 역문</ns0:t>
        </ns0:is>
      </ns0:c>
      <ns0:c r="E29" s="12" t="inlineStr">
        <ns0:is>
          <ns0:t>대한민국</ns0:t>
        </ns0:is>
      </ns0:c>
      <ns0:c r="F29" s="12" t="inlineStr">
        <ns0:is>
          <ns0:t>official-page text or official indexed text</ns0:t>
        </ns0:is>
      </ns0:c>
      <ns0:c r="G29" s="12" t="inlineStr">
        <ns0:is>
          <ns0:t>역사 원문·역문과 현대 대한민국 기관의 해설을 구분</ns0:t>
        </ns0:is>
      </ns0:c>
      <ns0:c r="H29" s="12" t="inlineStr">
        <ns0:is>
          <ns0:t>{"ko": "1877년 일본 태정관 및 내무성 관련 문서·첨부 지도", "en": "Japanese Dajokan/Home Ministry records and attached map, 1877"}</ns0:t>
        </ns0:is>
      </ns0:c>
      <ns0:c r="I29" s="12" t="inlineStr">
        <ns0:is>
          <ns0:t>2026-09-12</ns0:t>
        </ns0:is>
      </ns0:c>
    </ns0:row>
    <ns0:row r="30" ht="38" customHeight="1">
      <ns0:c r="A30" s="10" t="inlineStr">
        <ns0:is>
          <ns0:t>decree-analysis</ns0:t>
        </ns0:is>
      </ns0:c>
      <ns0:c r="B30" s="10" t="inlineStr">
        <ns0:is>
          <ns0:t>대한민국 외교부 · 칙령 제41호와 독도 관할 해설</ns0:t>
        </ns0:is>
      </ns0:c>
      <ns0:c r="C30" s="10" t="inlineStr">
        <ns0:is>
          <ns0:t>https://dokdo.mofa.go.kr/kor/include/print_faq.jsp?class_faq=q8</ns0:t>
        </ns0:is>
      </ns0:c>
      <ns0:c r="D30" s="10" t="inlineStr">
        <ns0:is>
          <ns0:t>제2조 석도(독도)의 울도군 관할 설명; 원문과 현대 해설 구분</ns0:t>
        </ns0:is>
      </ns0:c>
      <ns0:c r="E30" s="10" t="inlineStr">
        <ns0:is>
          <ns0:t>대한민국</ns0:t>
        </ns0:is>
      </ns0:c>
      <ns0:c r="F30" s="10" t="inlineStr">
        <ns0:is>
          <ns0:t>official-page text or official indexed text</ns0:t>
        </ns0:is>
      </ns0:c>
      <ns0:c r="G30" s="10" t="inlineStr">
        <ns0:is>
          <ns0:t>역사 원문·역문과 현대 대한민국 기관의 해설을 구분</ns0:t>
        </ns0:is>
      </ns0:c>
      <ns0:c r="H30" s="10" t="inlineStr">
        <ns0:is>
          <ns0:t>{"ko": "1900년 대한제국 칙령 제41호", "en": "Korean Empire Decree No. 41, 1900"}</ns0:t>
        </ns0:is>
      </ns0:c>
      <ns0:c r="I30" s="10" t="inlineStr">
        <ns0:is>
          <ns0:t>2026-09-12</ns0:t>
        </ns0:is>
      </ns0:c>
    </ns0:row>
    <ns0:row r="31" ht="33" customHeight="1">
      <ns0:c r="A31" s="12" t="inlineStr">
        <ns0:is>
          <ns0:t>size</ns0:t>
        </ns0:is>
      </ns0:c>
      <ns0:c r="B31" s="12" t="inlineStr">
        <ns0:is>
          <ns0:t>대한민국 한국해양과학기술원 · 독도 위치 및 규모</ns0:t>
        </ns0:is>
      </ns0:c>
      <ns0:c r="C31" s="12" t="inlineStr">
        <ns0:is>
          <ns0:t>https://www.dokdo.re.kr/home/cms/cmsCont.do?cntnts_sn=64</ns0:t>
        </ns0:is>
      </ns0:c>
      <ns0:c r="D31" s="12" t="inlineStr">
        <ns0:is>
          <ns0:t>동도 73,297㎡ / 서도 88,740㎡ / 부속 도서 25,517㎡ / 전체 187,554㎡</ns0:t>
        </ns0:is>
      </ns0:c>
      <ns0:c r="E31" s="12" t="inlineStr">
        <ns0:is>
          <ns0:t>대한민국</ns0:t>
        </ns0:is>
      </ns0:c>
      <ns0:c r="F31" s="12" t="inlineStr">
        <ns0:is>
          <ns0:t>official-indexed-text; live-page access limited</ns0:t>
        </ns0:is>
      </ns0:c>
      <ns0:c r="G31" s="12" t="inlineStr">
        <ns0:is>
          <ns0:t>현재 공개된 기관 안내; 조사 시기·범위의 한계를 유지</ns0:t>
        </ns0:is>
      </ns0:c>
      <ns0:c r="H31" s="12" t="inlineStr">
        <ns0:is>
          <ns0:t>""</ns0:t>
        </ns0:is>
      </ns0:c>
      <ns0:c r="I31" s="12" t="inlineStr">
        <ns0:is>
          <ns0:t>2026-09-12</ns0:t>
        </ns0:is>
      </ns0:c>
    </ns0:row>
  </ns0:sheetData>
  <ns0:autoFilter ref="A1:I31"/>
  <ns0:pageMargins left="0.75" right="0.75" top="1" bottom="1" header="0.5" footer="0.5"/>
  <ns0:pageSetup orientation="landscape" paperSize="8" fitToHeight="0" fitToWidth="1"/>
</ns0:worksheet>
</file>

<file path=xl/worksheets/sheet8.xml><?xml version="1.0" encoding="utf-8"?>
<ns0:worksheet xmlns:ns0="http://schemas.openxmlformats.org/spreadsheetml/2006/main">
  <ns0:sheetPr>
    <ns0:outlinePr summaryBelow="1" summaryRight="1"/>
    <ns0:pageSetUpPr fitToPage="1"/>
  </ns0:sheetPr>
  <ns0:dimension ref="A1:F6"/>
  <ns0:sheetViews>
    <ns0:sheetView showGridLines="0" workbookViewId="0">
      <ns0:pane xSplit="2" ySplit="1" topLeftCell="C2" activePane="bottomRight" state="frozen"/>
      <ns0:selection pane="topRight"/>
      <ns0:selection pane="bottomLeft"/>
      <ns0:selection pane="bottomRight" activeCell="A1" sqref="A1"/>
    </ns0:sheetView>
  </ns0:sheetViews>
  <ns0:sheetFormatPr baseColWidth="8" defaultRowHeight="15"/>
  <ns0:cols>
    <ns0:col width="18" customWidth="1" min="1" max="1"/>
    <ns0:col width="12" customWidth="1" min="2" max="2"/>
    <ns0:col width="15" customWidth="1" min="3" max="3"/>
    <ns0:col width="15" customWidth="1" min="4" max="4"/>
    <ns0:col width="18" customWidth="1" min="5" max="5"/>
    <ns0:col width="110" customWidth="1" min="6" max="6"/>
  </ns0:cols>
  <ns0:sheetData>
    <ns0:row r="1" ht="34" customHeight="1">
      <ns0:c r="A1" s="9" t="inlineStr">
        <ns0:is>
          <ns0:t>track</ns0:t>
        </ns0:is>
      </ns0:c>
      <ns0:c r="B1" s="9" t="inlineStr">
        <ns0:is>
          <ns0:t>ID</ns0:t>
        </ns0:is>
      </ns0:c>
      <ns0:c r="C1" s="9" t="inlineStr">
        <ns0:is>
          <ns0:t>질문+최장보기 글자수</ns0:t>
        </ns0:is>
      </ns0:c>
      <ns0:c r="D1" s="9" t="inlineStr">
        <ns0:is>
          <ns0:t>권장 길이</ns0:t>
        </ns0:is>
      </ns0:c>
      <ns0:c r="E1" s="9" t="inlineStr">
        <ns0:is>
          <ns0:t>자료 포함 글자수</ns0:t>
        </ns0:is>
      </ns0:c>
      <ns0:c r="F1" s="9" t="inlineStr">
        <ns0:is>
          <ns0:t>검토 메모</ns0:t>
        </ns0:is>
      </ns0:c>
    </ns0:row>
    <ns0:row r="2" ht="38" customHeight="1">
      <ns0:c r="A2" s="14" t="inlineStr">
        <ns0:is>
          <ns0:t>early</ns0:t>
        </ns0:is>
      </ns0:c>
      <ns0:c r="B2" s="14" t="n">
        <ns0:v>920201</ns0:v>
      </ns0:c>
      <ns0:c r="C2" s="14" t="n">
        <ns0:v>52</ns0:v>
      </ns0:c>
      <ns0:c r="D2" s="14" t="n">
        <ns0:v>48</ns0:v>
      </ns0:c>
      <ns0:c r="E2" s="14" t="n">
        <ns0:v>101</ns0:v>
      </ns0:c>
      <ns0:c r="F2" s="14" t="inlineStr">
        <ns0:is>
          <ns0:t>질문에서 주체·시기·대상을 삭제하지 않음. 참고 상한 초과이며 실제 학습자 읽기 검토가 필요함. 글자수만으로 학년 적합성을 승인하지 않음.</ns0:t>
        </ns0:is>
      </ns0:c>
    </ns0:row>
    <ns0:row r="3" ht="38" customHeight="1">
      <ns0:c r="A3" s="14" t="inlineStr">
        <ns0:is>
          <ns0:t>early</ns0:t>
        </ns0:is>
      </ns0:c>
      <ns0:c r="B3" s="14" t="n">
        <ns0:v>920234</ns0:v>
      </ns0:c>
      <ns0:c r="C3" s="14" t="n">
        <ns0:v>49</ns0:v>
      </ns0:c>
      <ns0:c r="D3" s="14" t="n">
        <ns0:v>48</ns0:v>
      </ns0:c>
      <ns0:c r="E3" s="14" t="n">
        <ns0:v>49</ns0:v>
      </ns0:c>
      <ns0:c r="F3" s="14" t="inlineStr">
        <ns0:is>
          <ns0:t>질문에서 주체·시기·대상을 삭제하지 않음. 참고 상한 초과이며 실제 학습자 읽기 검토가 필요함. 글자수만으로 학년 적합성을 승인하지 않음.</ns0:t>
        </ns0:is>
      </ns0:c>
    </ns0:row>
    <ns0:row r="4" ht="38" customHeight="1">
      <ns0:c r="A4" s="14" t="inlineStr">
        <ns0:is>
          <ns0:t>primary</ns0:t>
        </ns0:is>
      </ns0:c>
      <ns0:c r="B4" s="14" t="n">
        <ns0:v>920205</ns0:v>
      </ns0:c>
      <ns0:c r="C4" s="14" t="n">
        <ns0:v>57</ns0:v>
      </ns0:c>
      <ns0:c r="D4" s="14" t="n">
        <ns0:v>48</ns0:v>
      </ns0:c>
      <ns0:c r="E4" s="14" t="n">
        <ns0:v>57</ns0:v>
      </ns0:c>
      <ns0:c r="F4" s="14" t="inlineStr">
        <ns0:is>
          <ns0:t>질문에서 주체·시기·대상을 삭제하지 않음. 참고 상한 초과이며 실제 학습자 읽기 검토가 필요함. 글자수만으로 학년 적합성을 승인하지 않음.</ns0:t>
        </ns0:is>
      </ns0:c>
    </ns0:row>
    <ns0:row r="5" ht="38" customHeight="1">
      <ns0:c r="A5" s="14" t="inlineStr">
        <ns0:is>
          <ns0:t>primary</ns0:t>
        </ns0:is>
      </ns0:c>
      <ns0:c r="B5" s="14" t="n">
        <ns0:v>920222</ns0:v>
      </ns0:c>
      <ns0:c r="C5" s="14" t="n">
        <ns0:v>56</ns0:v>
      </ns0:c>
      <ns0:c r="D5" s="14" t="n">
        <ns0:v>48</ns0:v>
      </ns0:c>
      <ns0:c r="E5" s="14" t="n">
        <ns0:v>56</ns0:v>
      </ns0:c>
      <ns0:c r="F5" s="14" t="inlineStr">
        <ns0:is>
          <ns0:t>질문에서 주체·시기·대상을 삭제하지 않음. 참고 상한 초과이며 실제 학습자 읽기 검토가 필요함. 글자수만으로 학년 적합성을 승인하지 않음.</ns0:t>
        </ns0:is>
      </ns0:c>
    </ns0:row>
    <ns0:row r="6" ht="38" customHeight="1">
      <ns0:c r="A6" s="14" t="inlineStr">
        <ns0:is>
          <ns0:t>primary</ns0:t>
        </ns0:is>
      </ns0:c>
      <ns0:c r="B6" s="14" t="n">
        <ns0:v>920234</ns0:v>
      </ns0:c>
      <ns0:c r="C6" s="14" t="n">
        <ns0:v>49</ns0:v>
      </ns0:c>
      <ns0:c r="D6" s="14" t="n">
        <ns0:v>48</ns0:v>
      </ns0:c>
      <ns0:c r="E6" s="14" t="n">
        <ns0:v>49</ns0:v>
      </ns0:c>
      <ns0:c r="F6" s="14" t="inlineStr">
        <ns0:is>
          <ns0:t>질문에서 주체·시기·대상을 삭제하지 않음. 참고 상한 초과이며 실제 학습자 읽기 검토가 필요함. 글자수만으로 학년 적합성을 승인하지 않음.</ns0:t>
        </ns0:is>
      </ns0:c>
    </ns0:row>
  </ns0:sheetData>
  <ns0:autoFilter ref="A1:F6"/>
  <ns0:pageMargins left="0.75" right="0.75" top="1" bottom="1" header="0.5" footer="0.5"/>
  <ns0:pageSetup orientation="landscape" paperSize="8" fitToHeight="0" fitToWidth="1"/>
</ns0:worksheet>
</file>

<file path=xl/worksheets/sheet9.xml><?xml version="1.0" encoding="utf-8"?>
<ns0:worksheet xmlns:ns0="http://schemas.openxmlformats.org/spreadsheetml/2006/main">
  <ns0:sheetPr>
    <ns0:outlinePr summaryBelow="1" summaryRight="1"/>
    <ns0:pageSetUpPr fitToPage="1"/>
  </ns0:sheetPr>
  <ns0:dimension ref="A1:C11"/>
  <ns0:sheetViews>
    <ns0:sheetView showGridLines="0" workbookViewId="0">
      <ns0:pane xSplit="2" ySplit="1" topLeftCell="C2" activePane="bottomRight" state="frozen"/>
      <ns0:selection pane="topRight"/>
      <ns0:selection pane="bottomLeft"/>
      <ns0:selection pane="bottomRight" activeCell="A1" sqref="A1"/>
    </ns0:sheetView>
  </ns0:sheetViews>
  <ns0:sheetFormatPr baseColWidth="8" defaultRowHeight="15"/>
  <ns0:cols>
    <ns0:col width="28" customWidth="1" min="1" max="1"/>
    <ns0:col width="100" customWidth="1" min="2" max="2"/>
    <ns0:col width="90" customWidth="1" min="3" max="3"/>
  </ns0:cols>
  <ns0:sheetData>
    <ns0:row r="1" ht="34" customHeight="1">
      <ns0:c r="A1" s="9" t="inlineStr">
        <ns0:is>
          <ns0:t>검수 항목</ns0:t>
        </ns0:is>
      </ns0:c>
      <ns0:c r="B1" s="9" t="inlineStr">
        <ns0:is>
          <ns0:t>수정 기준</ns0:t>
        </ns0:is>
      </ns0:c>
      <ns0:c r="C1" s="9" t="inlineStr">
        <ns0:is>
          <ns0:t>검토 메모</ns0:t>
        </ns0:is>
      </ns0:c>
    </ns0:row>
    <ns0:row r="2" ht="38" customHeight="1">
      <ns0:c r="A2" s="10" t="inlineStr">
        <ns0:is>
          <ns0:t>문제 정의</ns0:t>
        </ns0:is>
      </ns0:c>
      <ns0:c r="B2" s="10" t="inlineStr">
        <ns0:is>
          <ns0:t>독도에 관한 한 가지 사실·명칭·관계·판단을 분명하게 묻고, 정답의 이유와 독도 지식 하나를 남기는 질문</ns0:t>
        </ns0:is>
      </ns0:c>
      <ns0:c r="C2" s="10" t="inlineStr">
        <ns0:is>
          <ns0:t>앱 조작법과 일반 예절로 독도 수업을 대체하지 않음</ns0:t>
        </ns0:is>
      </ns0:c>
    </ns0:row>
    <ns0:row r="3" ht="33" customHeight="1">
      <ns0:c r="A3" s="12" t="inlineStr">
        <ns0:is>
          <ns0:t>질문</ns0:t>
        </ns0:is>
      </ns0:c>
      <ns0:c r="B3" s="12" t="inlineStr">
        <ns0:is>
          <ns0:t>무엇을 답할지 질문 안에 명시. 행동 주체·시기·대상을 필요한 만큼 포함</ns0:t>
        </ns0:is>
      </ns0:c>
      <ns0:c r="C3" s="12" t="inlineStr">
        <ns0:is>
          <ns0:t>출처 기관을 반복하는 머리말은 넣지 않음</ns0:t>
        </ns0:is>
      </ns0:c>
    </ns0:row>
    <ns0:row r="4" ht="33" customHeight="1">
      <ns0:c r="A4" s="10" t="inlineStr">
        <ns0:is>
          <ns0:t>보기</ns0:t>
        </ns0:is>
      </ns0:c>
      <ns0:c r="B4" s="10" t="inlineStr">
        <ns0:is>
          <ns0:t>같은 범주의 비교 가능한 보기 2~4개. 정답은 하나</ns0:t>
        </ns0:is>
      </ns0:c>
      <ns0:c r="C4" s="10" t="inlineStr">
        <ns0:is>
          <ns0:t>번호가 아니라 고유 choice ID에 피드백을 연결</ns0:t>
        </ns0:is>
      </ns0:c>
    </ns0:row>
    <ns0:row r="5" ht="33" customHeight="1">
      <ns0:c r="A5" s="12" t="inlineStr">
        <ns0:is>
          <ns0:t>해설</ns0:t>
        </ns0:is>
      </ns0:c>
      <ns0:c r="B5" s="12" t="inlineStr">
        <ns0:is>
          <ns0:t>각 보기마다 왜 맞거나 틀린지 직접 설명</ns0:t>
        </ns0:is>
      </ns0:c>
      <ns0:c r="C5" s="12" t="inlineStr">
        <ns0:is>
          <ns0:t>개념 공통 문장을 빈 해설의 대체재로 사용하지 않음</ns0:t>
        </ns0:is>
      </ns0:c>
    </ns0:row>
    <ns0:row r="6" ht="33" customHeight="1">
      <ns0:c r="A6" s="10" t="inlineStr">
        <ns0:is>
          <ns0:t>자료</ns0:t>
        </ns0:is>
      </ns0:c>
      <ns0:c r="B6" s="10" t="inlineStr">
        <ns0:is>
          <ns0:t>자료가 필요한 문항에는 난이도와 무관하게 표시</ns0:t>
        </ns0:is>
      </ns0:c>
      <ns0:c r="C6" s="10" t="inlineStr">
        <ns0:is>
          <ns0:t>존재하지 않는 지도나 사진을 본 것으로 가정하지 않음</ns0:t>
        </ns0:is>
      </ns0:c>
    </ns0:row>
    <ns0:row r="7" ht="33" customHeight="1">
      <ns0:c r="A7" s="12" t="inlineStr">
        <ns0:is>
          <ns0:t>국가와 사료</ns0:t>
        </ns0:is>
      </ns0:c>
      <ns0:c r="B7" s="12" t="inlineStr">
        <ns0:is>
          <ns0:t>원문 작성기관과 현재 번역·해설 공개기관을 구분</ns0:t>
        </ns0:is>
      </ns0:c>
      <ns0:c r="C7" s="12" t="inlineStr">
        <ns0:is>
          <ns0:t>대한민국 외교부 자료 / 역사 행위자는 일본 태정관·내무성·에도 막부 등</ns0:t>
        </ns0:is>
      </ns0:c>
    </ns0:row>
    <ns0:row r="8" ht="38" customHeight="1">
      <ns0:c r="A8" s="10" t="inlineStr">
        <ns0:is>
          <ns0:t>영유권 근거</ns0:t>
        </ns0:is>
      </ns0:c>
      <ns0:c r="B8" s="10" t="inlineStr">
        <ns0:is>
          <ns0:t>자료가 실제 뒷받침하는 의미를 정확히 전달</ns0:t>
        </ns0:is>
      </ns0:c>
      <ns0:c r="C8" s="10" t="inlineStr">
        <ns0:is>
          <ns0:t>1696년 문서의 명시적 목적지를 독도까지 임의 확장하지 않음. 태정관지령의 사료적 의미를 지우지 않음</ns0:t>
        </ns0:is>
      </ns0:c>
    </ns0:row>
    <ns0:row r="9" ht="33" customHeight="1">
      <ns0:c r="A9" s="12" t="inlineStr">
        <ns0:is>
          <ns0:t>전수 범위</ns0:t>
        </ns0:is>
      </ns0:c>
      <ns0:c r="B9" s="12" t="inlineStr">
        <ns0:is>
          <ns0:t>현재 출제 중인 240개를 새 ID로 교체</ns0:t>
        </ns0:is>
      </ns0:c>
      <ns0:c r="C9" s="12" t="inlineStr">
        <ns0:is>
          <ns0:t>원래 1,513개와 이전 48개는 보관·출제 제외. 이 숫자에 합산하지 않음</ns0:t>
        </ns0:is>
      </ns0:c>
    </ns0:row>
    <ns0:row r="10" ht="33" customHeight="1">
      <ns0:c r="A10" s="10" t="inlineStr">
        <ns0:is>
          <ns0:t>검증 한계</ns0:t>
        </ns0:is>
      </ns0:c>
      <ns0:c r="B10" s="10" t="inlineStr">
        <ns0:is>
          <ns0:t>작성자 자체 대조와 자동 반례 검증</ns0:t>
        </ns0:is>
      </ns0:c>
      <ns0:c r="C10" s="10" t="inlineStr">
        <ns0:is>
          <ns0:t>독립 교사·역사 전문가·어린이 실사용 검토 완료가 아님</ns0:t>
        </ns0:is>
      </ns0:c>
    </ns0:row>
    <ns0:row r="11" ht="33" customHeight="1">
      <ns0:c r="A11" s="12" t="inlineStr">
        <ns0:is>
          <ns0:t>편집 방법</ns0:t>
        </ns0:is>
      </ns0:c>
      <ns0:c r="B11" s="12" t="inlineStr">
        <ns0:is>
          <ns0:t>실행 원본은 tools/content/authored-questions.json</ns0:t>
        </ns0:is>
      </ns0:c>
      <ns0:c r="C11" s="12" t="inlineStr">
        <ns0:is>
          <ns0:t>이 Excel은 열람·검토용이며 저장만으로 앱에 반영되지 않음</ns0:t>
        </ns0:is>
      </ns0:c>
    </ns0:row>
  </ns0:sheetData>
  <ns0:autoFilter ref="A1:C11"/>
  <ns0:pageMargins left="0.75" right="0.75" top="1" bottom="1" header="0.5" footer="0.5"/>
  <ns0:pageSetup orientation="landscape" paperSize="8" fitToHeight="0" fitToWidth="1"/>
</ns0: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2026-09-11T15:35:11Z</dcterms:created>
  <dcterms:modified xmlns:dcterms="http://purl.org/dc/terms/" xmlns:xsi="http://www.w3.org/2001/XMLSchema-instance" xsi:type="dcterms:W3CDTF">2026-09-11T15:35:14Z</dcterms:modified>
</cp:coreProperties>
</file>